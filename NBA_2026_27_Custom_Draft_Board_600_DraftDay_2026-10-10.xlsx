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3fd44048cb4718" /></Relationships>
</file>

<file path=xl/workbook.xml><?xml version="1.0" encoding="utf-8"?>
<x:workbook xmlns:x="http://schemas.openxmlformats.org/spreadsheetml/2006/main">
  <x:sheets>
    <x:sheet xmlns:r="http://schemas.openxmlformats.org/officeDocument/2006/relationships" name="START HERE" sheetId="1" r:id="Rb45d0a6fec28485f"/>
    <x:sheet xmlns:r="http://schemas.openxmlformats.org/officeDocument/2006/relationships" name="Draft Board" sheetId="2" r:id="R97f909ab212c4872"/>
    <x:sheet xmlns:r="http://schemas.openxmlformats.org/officeDocument/2006/relationships" name="PG" sheetId="3" r:id="Rb01ed038c1584848"/>
    <x:sheet xmlns:r="http://schemas.openxmlformats.org/officeDocument/2006/relationships" name="SG" sheetId="4" r:id="R6100a853c8ec4053"/>
    <x:sheet xmlns:r="http://schemas.openxmlformats.org/officeDocument/2006/relationships" name="SF" sheetId="5" r:id="R72173b3731014018"/>
    <x:sheet xmlns:r="http://schemas.openxmlformats.org/officeDocument/2006/relationships" name="PF" sheetId="6" r:id="Rd01f2000897948d0"/>
    <x:sheet xmlns:r="http://schemas.openxmlformats.org/officeDocument/2006/relationships" name="C" sheetId="7" r:id="Rc6d7556f1cdc4a49"/>
    <x:sheet xmlns:r="http://schemas.openxmlformats.org/officeDocument/2006/relationships" name="Scoring" sheetId="8" r:id="R9726a66a744649d8"/>
    <x:sheet xmlns:r="http://schemas.openxmlformats.org/officeDocument/2006/relationships" name="Assumptions" sheetId="9" r:id="Rd84a3633dd38461b"/>
    <x:sheet xmlns:r="http://schemas.openxmlformats.org/officeDocument/2006/relationships" name="History 25-26" sheetId="10" r:id="R2d56e839a12d4810"/>
    <x:sheet xmlns:r="http://schemas.openxmlformats.org/officeDocument/2006/relationships" name="FP 26-27" sheetId="11" r:id="R37c8eea153df496c"/>
    <x:sheet xmlns:r="http://schemas.openxmlformats.org/officeDocument/2006/relationships" name="HT 26-27" sheetId="12" r:id="Rf9e23249157f4bc2"/>
    <x:sheet xmlns:r="http://schemas.openxmlformats.org/officeDocument/2006/relationships" name="Older Baselines" sheetId="13" r:id="Rc1ced1ef2bb4426e"/>
    <x:sheet xmlns:r="http://schemas.openxmlformats.org/officeDocument/2006/relationships" name="Sources" sheetId="14" r:id="R7507639a2a2940e7"/>
    <x:sheet xmlns:r="http://schemas.openxmlformats.org/officeDocument/2006/relationships" name="DRAFT DAY 10-13" sheetId="15" r:id="R717e78e7e3ce413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0"/>
    <x:numFmt numFmtId="202" formatCode="0.0%"/>
    <x:numFmt numFmtId="203" formatCode="#,##0"/>
    <x:numFmt numFmtId="204" formatCode="0"/>
    <x:numFmt numFmtId="205" formatCode="+0;-0;0"/>
  </x:numFmts>
  <x:fonts count="17">
    <x:font>
      <x:sz val="11"/>
      <x:name val="Carlito"/>
    </x:font>
    <x:font>
      <x:b/>
      <x:sz val="11"/>
      <x:color rgb="FFFFFFFF"/>
      <x:name val="Carlito"/>
    </x:font>
    <x:font>
      <x:sz val="11"/>
      <x:color rgb="FF285A8F"/>
      <x:name val="Carlito"/>
    </x:font>
    <x:font>
      <x:b/>
      <x:sz val="11"/>
      <x:color rgb="FF14253D"/>
      <x:name val="Carlito"/>
    </x:font>
    <x:font>
      <x:sz val="9"/>
      <x:name val="Carlito"/>
    </x:font>
    <x:font>
      <x:sz val="9"/>
      <x:color rgb="FF1F2937"/>
      <x:name val="Carlito"/>
    </x:font>
    <x:font>
      <x:sz val="9"/>
      <x:color rgb="FF2F6FA3"/>
      <x:name val="Carlito"/>
    </x:font>
    <x:font>
      <x:sz val="8"/>
      <x:color rgb="FF374151"/>
      <x:name val="Carlito"/>
    </x:font>
    <x:font>
      <x:b/>
      <x:sz val="14"/>
      <x:color rgb="FFFFFFFF"/>
      <x:name val="Carlito"/>
    </x:font>
    <x:font>
      <x:sz val="10"/>
      <x:color rgb="FF1F2937"/>
      <x:name val="Carlito"/>
    </x:font>
    <x:font>
      <x:b/>
      <x:sz val="9"/>
      <x:color rgb="FFFFFFFF"/>
      <x:name val="Carlito"/>
    </x:font>
    <x:font>
      <x:b/>
      <x:sz val="13"/>
      <x:color rgb="FFFFFFFF"/>
      <x:name val="Carlito"/>
    </x:font>
    <x:font>
      <x:b/>
      <x:sz val="18"/>
      <x:color rgb="FFF97316"/>
      <x:name val="Carlito"/>
    </x:font>
    <x:font>
      <x:i/>
      <x:sz val="10"/>
      <x:color rgb="FFE5E7EB"/>
      <x:name val="Carlito"/>
    </x:font>
    <x:font>
      <x:b/>
      <x:sz val="12"/>
      <x:color rgb="FFF8FAFC"/>
      <x:name val="Carlito"/>
    </x:font>
    <x:font>
      <x:sz val="11"/>
      <x:color rgb="FF111827"/>
      <x:name val="Carlito"/>
    </x:font>
    <x:font>
      <x:sz val="11"/>
      <x:color rgb="FF7C2D12"/>
      <x:name val="Carlito"/>
    </x:font>
  </x:fonts>
  <x:fills count="18">
    <x:fill>
      <x:patternFill patternType="none"/>
    </x:fill>
    <x:fill>
      <x:patternFill patternType="gray125"/>
    </x:fill>
    <x:fill>
      <x:patternFill patternType="solid">
        <x:fgColor rgb="FF14253D"/>
      </x:patternFill>
    </x:fill>
    <x:fill>
      <x:patternFill patternType="solid">
        <x:fgColor rgb="FFEEF4FA"/>
      </x:patternFill>
    </x:fill>
    <x:fill>
      <x:patternFill patternType="solid">
        <x:fgColor rgb="FF285A8F"/>
      </x:patternFill>
    </x:fill>
    <x:fill>
      <x:patternFill patternType="solid">
        <x:fgColor rgb="FF147D83"/>
      </x:patternFill>
    </x:fill>
    <x:fill>
      <x:patternFill patternType="solid">
        <x:fgColor rgb="FFFFFFFF"/>
      </x:patternFill>
    </x:fill>
    <x:fill>
      <x:patternFill patternType="solid">
        <x:fgColor rgb="FF10243E"/>
      </x:patternFill>
    </x:fill>
    <x:fill>
      <x:patternFill patternType="solid">
        <x:fgColor rgb="FFE8F1F8"/>
      </x:patternFill>
    </x:fill>
    <x:fill>
      <x:patternFill patternType="solid">
        <x:fgColor rgb="FF2D6596"/>
      </x:patternFill>
    </x:fill>
    <x:fill>
      <x:patternFill patternType="solid">
        <x:fgColor rgb="FF111827"/>
      </x:patternFill>
    </x:fill>
    <x:fill>
      <x:patternFill patternType="solid">
        <x:fgColor rgb="FF1F2937"/>
      </x:patternFill>
    </x:fill>
    <x:fill>
      <x:patternFill patternType="solid">
        <x:fgColor rgb="FF0F172A"/>
      </x:patternFill>
    </x:fill>
    <x:fill>
      <x:patternFill patternType="solid">
        <x:fgColor rgb="FF1D4ED8"/>
      </x:patternFill>
    </x:fill>
    <x:fill>
      <x:patternFill patternType="solid">
        <x:fgColor rgb="FFF8FAFC"/>
      </x:patternFill>
    </x:fill>
    <x:fill>
      <x:patternFill patternType="solid">
        <x:fgColor rgb="FFEEF2FF"/>
      </x:patternFill>
    </x:fill>
    <x:fill>
      <x:patternFill patternType="solid">
        <x:fgColor rgb="FFC2410C"/>
      </x:patternFill>
    </x:fill>
    <x:fill>
      <x:patternFill patternType="solid">
        <x:fgColor rgb="FFFFF7ED"/>
      </x:patternFill>
    </x:fill>
  </x:fills>
  <x:borders count="2">
    <x:border/>
    <x:border/>
  </x:borders>
  <x:cellStyleXfs count="1">
    <x:xf numFmtId="0" fontId="0" fillId="0" borderId="0"/>
  </x:cellStyleXfs>
  <x:cellXfs count="1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x:xf numFmtId="0" fontId="3" fillId="3" borderId="1" xfId="0" applyNumberFormat="1" applyFont="1" applyFill="1" applyBorder="1" applyAlignment="1">
      <x:alignment horizont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0" fillId="0" borderId="0" xfId="0" applyNumberFormat="1" applyFont="1" applyFill="1" applyBorder="1"/>
    <x:xf numFmtId="204" fontId="0"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0" xfId="0" applyNumberFormat="1" applyFont="1" applyFill="1" applyBorder="1" applyAlignment="1">
      <x:alignment wrapText="1"/>
    </x:xf>
    <x:xf numFmtId="204" fontId="0" fillId="6"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203" fontId="0" fillId="6" borderId="0" xfId="0" applyNumberFormat="1" applyFont="1" applyFill="1" applyBorder="1"/>
    <x:xf numFmtId="0" fontId="0" fillId="6" borderId="0" xfId="0" applyNumberFormat="1" applyFont="1" applyFill="1" applyBorder="1" applyAlignment="1">
      <x:alignment wrapText="1"/>
    </x:xf>
    <x:xf numFmtId="0" fontId="4" fillId="6" borderId="0" xfId="0" applyNumberFormat="1" applyFont="1" applyFill="1" applyBorder="1" applyAlignment="1">
      <x:alignment horizontal="center"/>
    </x:xf>
    <x:xf numFmtId="0" fontId="4" fillId="6" borderId="0" xfId="0" applyNumberFormat="1" applyFont="1" applyFill="1" applyBorder="1" applyAlignment="1">
      <x:alignment wrapText="1"/>
    </x:xf>
    <x:xf numFmtId="204" fontId="5"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203"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x:xf>
    <x:xf numFmtId="204" fontId="5" fillId="6" borderId="0" xfId="0" applyNumberFormat="1" applyFont="1" applyFill="1" applyBorder="1" applyAlignment="1">
      <x:alignment horizontal="right"/>
    </x:xf>
    <x:xf numFmtId="0" fontId="5" fillId="6" borderId="0" xfId="0" applyNumberFormat="1" applyFont="1" applyFill="1" applyBorder="1" applyAlignment="1">
      <x:alignment vertical="center"/>
    </x:xf>
    <x:xf numFmtId="204" fontId="5" fillId="6" borderId="0" xfId="0" applyNumberFormat="1" applyFont="1" applyFill="1" applyBorder="1" applyAlignment="1">
      <x:alignment vertical="center"/>
    </x:xf>
    <x:xf numFmtId="200" fontId="5" fillId="6" borderId="0" xfId="0" applyNumberFormat="1" applyFont="1" applyFill="1" applyBorder="1" applyAlignment="1">
      <x:alignment vertical="center"/>
    </x:xf>
    <x:xf numFmtId="203" fontId="5"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wrapText="1"/>
    </x:xf>
    <x:xf numFmtId="0" fontId="1" fillId="7" borderId="0" xfId="0" applyNumberFormat="1" applyFont="1" applyFill="1" applyBorder="1" applyAlignment="1">
      <x:alignment vertical="center"/>
    </x:xf>
    <x:xf numFmtId="0" fontId="1" fillId="7" borderId="0" xfId="0" applyNumberFormat="1" applyFont="1" applyFill="1" applyBorder="1"/>
    <x:xf numFmtId="0" fontId="0" fillId="7" borderId="0" xfId="0" applyNumberFormat="1" applyFont="1" applyFill="1" applyBorder="1"/>
    <x:xf numFmtId="0" fontId="8" fillId="7" borderId="0" xfId="0" applyNumberFormat="1" applyFont="1" applyFill="1" applyBorder="1" applyAlignment="1">
      <x:alignment vertical="center"/>
    </x:xf>
    <x:xf numFmtId="0" fontId="8" fillId="7" borderId="0" xfId="0" applyNumberFormat="1" applyFont="1" applyFill="1" applyBorder="1"/>
    <x:xf numFmtId="0" fontId="0" fillId="8" borderId="0" xfId="0" applyNumberFormat="1" applyFont="1" applyFill="1" applyBorder="1" applyAlignment="1">
      <x:alignment vertical="center" wrapText="1"/>
    </x:xf>
    <x:xf numFmtId="0" fontId="0" fillId="8" borderId="0" xfId="0" applyNumberFormat="1" applyFont="1" applyFill="1" applyBorder="1" applyAlignment="1">
      <x:alignment wrapText="1"/>
    </x:xf>
    <x:xf numFmtId="0" fontId="0" fillId="8" borderId="0" xfId="0" applyNumberFormat="1" applyFont="1" applyFill="1" applyBorder="1"/>
    <x:xf numFmtId="0" fontId="9" fillId="8" borderId="0" xfId="0" applyNumberFormat="1" applyFont="1" applyFill="1" applyBorder="1" applyAlignment="1">
      <x:alignment vertical="center" wrapText="1"/>
    </x:xf>
    <x:xf numFmtId="0" fontId="9" fillId="8" borderId="0" xfId="0" applyNumberFormat="1" applyFont="1" applyFill="1" applyBorder="1" applyAlignment="1">
      <x:alignment wrapText="1"/>
    </x:xf>
    <x:xf numFmtId="0" fontId="9" fillId="8"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11" fillId="7" borderId="0" xfId="0" applyNumberFormat="1" applyFont="1" applyFill="1" applyBorder="1" applyAlignment="1">
      <x:alignment vertical="center"/>
    </x:xf>
    <x:xf numFmtId="0" fontId="11" fillId="7" borderId="0" xfId="0" applyNumberFormat="1" applyFont="1" applyFill="1" applyBorder="1"/>
    <x:xf numFmtId="0" fontId="5" fillId="8" borderId="0" xfId="0" applyNumberFormat="1" applyFont="1" applyFill="1" applyBorder="1" applyAlignment="1">
      <x:alignment vertical="center" wrapText="1"/>
    </x:xf>
    <x:xf numFmtId="0" fontId="5" fillId="8" borderId="0" xfId="0" applyNumberFormat="1" applyFont="1" applyFill="1" applyBorder="1" applyAlignment="1">
      <x:alignment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horizontal="center"/>
    </x:xf>
    <x:xf numFmtId="0" fontId="12" fillId="10" borderId="0" xfId="0" applyNumberFormat="1" applyFont="1" applyFill="1" applyBorder="1" applyAlignment="1">
      <x:alignment horizontal="center" vertical="center"/>
    </x:xf>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horizontal="center"/>
    </x:xf>
    <x:xf numFmtId="0" fontId="13" fillId="11" borderId="0" xfId="0" applyNumberFormat="1" applyFont="1" applyFill="1" applyBorder="1" applyAlignment="1">
      <x:alignment horizontal="center" vertical="center"/>
    </x:xf>
    <x:xf numFmtId="0" fontId="0" fillId="12" borderId="0" xfId="0" applyNumberFormat="1" applyFont="1" applyFill="1" applyBorder="1"/>
    <x:xf numFmtId="0" fontId="14" fillId="12" borderId="0" xfId="0" applyNumberFormat="1" applyFont="1" applyFill="1" applyBorder="1"/>
    <x:xf numFmtId="0" fontId="14" fillId="12" borderId="0" xfId="0" applyNumberFormat="1" applyFont="1" applyFill="1" applyBorder="1" applyAlignment="1">
      <x:alignment vertic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1" fillId="13" borderId="0" xfId="0" applyNumberFormat="1" applyFont="1" applyFill="1" applyBorder="1" applyAlignment="1">
      <x:alignment horizontal="center" vertical="center"/>
    </x:xf>
    <x:xf numFmtId="0" fontId="0" fillId="14" borderId="0" xfId="0" applyNumberFormat="1" applyFont="1" applyFill="1" applyBorder="1"/>
    <x:xf numFmtId="0" fontId="15" fillId="14" borderId="0" xfId="0" applyNumberFormat="1" applyFont="1" applyFill="1" applyBorder="1"/>
    <x:xf numFmtId="0" fontId="15" fillId="14" borderId="0" xfId="0" applyNumberFormat="1" applyFont="1" applyFill="1" applyBorder="1" applyAlignment="1">
      <x:alignment vertical="center"/>
    </x:xf>
    <x:xf numFmtId="0" fontId="15" fillId="15" borderId="0" xfId="0" applyNumberFormat="1" applyFont="1" applyFill="1" applyBorder="1" applyAlignment="1">
      <x:alignment vertic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0" fillId="17" borderId="0" xfId="0" applyNumberFormat="1" applyFont="1" applyFill="1" applyBorder="1"/>
    <x:xf numFmtId="0" fontId="16" fillId="17" borderId="0" xfId="0" applyNumberFormat="1" applyFont="1" applyFill="1" applyBorder="1"/>
    <x:xf numFmtId="0" fontId="16" fillId="17" borderId="0" xfId="0" applyNumberFormat="1" applyFont="1" applyFill="1" applyBorder="1" applyAlignment="1">
      <x:alignment wrapText="1"/>
    </x:xf>
    <x:xf numFmtId="0" fontId="16" fillId="17" borderId="0" xfId="0" applyNumberFormat="1" applyFont="1" applyFill="1" applyBorder="1" applyAlignment="1">
      <x:alignment vertical="top" wrapText="1"/>
    </x:xf>
    <x:xf numFmtId="205" fontId="12" fillId="10" borderId="0" xfId="0" applyNumberFormat="1" applyFont="1" applyFill="1" applyBorder="1" applyAlignment="1">
      <x:alignment horizontal="center" vertical="center"/>
    </x:xf>
    <x:xf numFmtId="200" fontId="12" fillId="10" borderId="0" xfId="0" applyNumberFormat="1" applyFont="1" applyFill="1" applyBorder="1" applyAlignment="1">
      <x:alignment horizontal="center" vertical="center"/>
    </x:xf>
    <x:xf numFmtId="0" fontId="15" fillId="14"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5" fillId="14" borderId="0" xfId="0" applyNumberFormat="1" applyFont="1" applyFill="1" applyBorder="1" applyAlignment="1">
      <x:alignment horizontal="center" vertical="center"/>
    </x:xf>
    <x:xf numFmtId="0" fontId="15" fillId="15" borderId="0" xfId="0" applyNumberFormat="1" applyFont="1" applyFill="1" applyBorder="1" applyAlignment="1">
      <x:alignment horizontal="center" vertical="center"/>
    </x:xf>
    <x:xf numFmtId="0" fontId="1" fillId="10" borderId="0" xfId="0" applyNumberFormat="1" applyFont="1" applyFill="1" applyBorder="1" applyAlignment="1">
      <x:alignment vertical="center"/>
    </x:xf>
    <x:xf numFmtId="0" fontId="1" fillId="10" borderId="0" xfId="0" applyNumberFormat="1" applyFont="1" applyFill="1" applyBorder="1"/>
    <x:xf numFmtId="0" fontId="12" fillId="10" borderId="0" xfId="0" applyNumberFormat="1" applyFont="1" applyFill="1" applyBorder="1" applyAlignment="1">
      <x:alignment vertical="center"/>
    </x:xf>
    <x:xf numFmtId="0" fontId="0" fillId="11" borderId="0" xfId="0" applyNumberFormat="1" applyFont="1" applyFill="1" applyBorder="1" applyAlignment="1">
      <x:alignment vertical="center" wrapText="1"/>
    </x:xf>
    <x:xf numFmtId="0" fontId="0" fillId="11" borderId="0" xfId="0" applyNumberFormat="1" applyFont="1" applyFill="1" applyBorder="1" applyAlignment="1">
      <x:alignment wrapText="1"/>
    </x:xf>
    <x:xf numFmtId="0" fontId="13" fillId="11" borderId="0" xfId="0" applyNumberFormat="1" applyFont="1" applyFill="1" applyBorder="1" applyAlignment="1">
      <x:alignment vertical="center" wrapText="1"/>
    </x:xf>
    <x:xf numFmtId="0" fontId="13" fillId="11" borderId="0" xfId="0" applyNumberFormat="1" applyFont="1" applyFill="1" applyBorder="1" applyAlignment="1">
      <x:alignment wrapText="1"/>
    </x:xf>
    <x:xf numFmtId="0" fontId="13" fillId="11" borderId="0" xfId="0" applyNumberFormat="1" applyFont="1" applyFill="1" applyBorder="1" applyAlignment="1">
      <x:alignment horizontal="center" vertical="center" wrapText="1"/>
    </x:xf>
    <x:xf numFmtId="0" fontId="13" fillId="11" borderId="0" xfId="0" applyNumberFormat="1" applyFont="1" applyFill="1" applyBorder="1" applyAlignment="1">
      <x:alignment horizontal="center" wrapText="1"/>
    </x:xf>
    <x:xf numFmtId="0" fontId="1" fillId="13" borderId="0" xfId="0" applyNumberFormat="1" applyFont="1" applyFill="1" applyBorder="1" applyAlignment="1">
      <x:alignment vertical="center" wrapText="1"/>
    </x:xf>
    <x:xf numFmtId="0" fontId="1" fillId="13" borderId="0" xfId="0" applyNumberFormat="1" applyFont="1" applyFill="1" applyBorder="1" applyAlignment="1">
      <x:alignment horizontal="center" vertical="center" wrapText="1"/>
    </x:xf>
    <x:xf numFmtId="0" fontId="16" fillId="16"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1" fillId="16" borderId="0" xfId="0" applyNumberFormat="1" applyFont="1" applyFill="1" applyBorder="1" applyAlignment="1">
      <x:alignment horizontal="center" vertical="top" wrapText="1"/>
    </x:xf>
  </x:cellXfs>
  <x:cellStyles count="1">
    <x:cellStyle name="Normal" xfId="0"/>
  </x:cellStyles>
  <x:dxfs count="40">
    <x:dxf>
      <x:fill>
        <x:patternFill>
          <x:bgColor rgb="FFFCE2E0"/>
        </x:patternFill>
      </x:fill>
    </x:dxf>
    <x:dxf>
      <x:fill>
        <x:patternFill>
          <x:bgColor rgb="FFFFF1C4"/>
        </x:patternFill>
      </x:fill>
    </x:dxf>
    <x:dxf>
      <x:fill>
        <x:patternFill>
          <x:bgColor rgb="FFFCE2E0"/>
        </x:patternFill>
      </x:fill>
    </x:dxf>
    <x:dxf>
      <x:fill>
        <x:patternFill>
          <x:bgColor rgb="FFFFF1C4"/>
        </x:patternFill>
      </x:fill>
    </x:dxf>
    <x:dxf>
      <x:fill>
        <x:patternFill>
          <x:bgColor rgb="FFFCE2E0"/>
        </x:patternFill>
      </x:fill>
    </x:dxf>
    <x:dxf>
      <x:fill>
        <x:patternFill>
          <x:bgColor rgb="FFFFF1C4"/>
        </x:patternFill>
      </x:fill>
    </x:dxf>
    <x:dxf>
      <x:fill>
        <x:patternFill>
          <x:bgColor rgb="FFFCE2E0"/>
        </x:patternFill>
      </x:fill>
    </x:dxf>
    <x:dxf>
      <x:fill>
        <x:patternFill>
          <x:bgColor rgb="FFFFF1C4"/>
        </x:patternFill>
      </x:fill>
    </x:dxf>
    <x:dxf>
      <x:fill>
        <x:patternFill>
          <x:bgColor rgb="FFFCE2E0"/>
        </x:patternFill>
      </x:fill>
    </x:dxf>
    <x:dxf>
      <x:fill>
        <x:patternFill>
          <x:bgColor rgb="FFFFF1C4"/>
        </x:patternFill>
      </x:fill>
    </x:dxf>
    <x:dxf>
      <x:fill>
        <x:patternFill>
          <x:bgColor rgb="FFFCE2E0"/>
        </x:patternFill>
      </x:fill>
    </x:dxf>
    <x:dxf>
      <x:fill>
        <x:patternFill>
          <x:bgColor rgb="FFFFF1C4"/>
        </x:patternFill>
      </x:fill>
    </x:dxf>
    <x:dxf>
      <x:fill>
        <x:patternFill>
          <x:bgColor rgb="FFD9EEF7"/>
        </x:patternFill>
      </x:fill>
    </x:dxf>
    <x:dxf>
      <x:font>
        <x:color rgb="FF667085"/>
      </x:font>
    </x:dxf>
    <x:dxf>
      <x:font>
        <x:i/>
        <x:color rgb="FF6B7280"/>
      </x:font>
      <x:fill>
        <x:patternFill>
          <x:bgColor rgb="FFF3F4F6"/>
        </x:patternFill>
      </x:fill>
    </x:dxf>
    <x:dxf>
      <x:fill>
        <x:patternFill>
          <x:bgColor rgb="FFFEF3C7"/>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EDF6FA"/>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ont>
        <x:color rgb="FF6B7280"/>
      </x:font>
      <x:fill>
        <x:patternFill>
          <x:bgColor rgb="FFF3F4F6"/>
        </x:patternFill>
      </x:fill>
    </x:dxf>
    <x:dxf>
      <x:fill>
        <x:patternFill>
          <x:bgColor rgb="FFD9EEF7"/>
        </x:patternFill>
      </x:fill>
    </x:dxf>
    <x:dxf>
      <x:fill>
        <x:patternFill>
          <x:bgColor rgb="FFFEF3C7"/>
        </x:patternFill>
      </x:fill>
    </x:dxf>
    <x:dxf>
      <x:font>
        <x:i/>
        <x:color rgb="FF6B7280"/>
      </x:font>
      <x:fill>
        <x:patternFill>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4f10e8fd494f72" /><Relationship Type="http://schemas.openxmlformats.org/officeDocument/2006/relationships/theme" Target="/xl/theme/theme1.xml" Id="Rb71704f5c1a64b89" /><Relationship Type="http://schemas.openxmlformats.org/officeDocument/2006/relationships/sharedStrings" Target="/xl/sharedStrings.xml" Id="Rdd9c24305c6c4158" /><Relationship Type="http://schemas.openxmlformats.org/officeDocument/2006/relationships/worksheet" Target="/xl/worksheets/sheet1.xml" Id="Rb45d0a6fec28485f" /><Relationship Type="http://schemas.openxmlformats.org/officeDocument/2006/relationships/worksheet" Target="/xl/worksheets/sheet2.xml" Id="R97f909ab212c4872" /><Relationship Type="http://schemas.openxmlformats.org/officeDocument/2006/relationships/worksheet" Target="/xl/worksheets/sheet3.xml" Id="Rb01ed038c1584848" /><Relationship Type="http://schemas.openxmlformats.org/officeDocument/2006/relationships/worksheet" Target="/xl/worksheets/sheet4.xml" Id="R6100a853c8ec4053" /><Relationship Type="http://schemas.openxmlformats.org/officeDocument/2006/relationships/worksheet" Target="/xl/worksheets/sheet5.xml" Id="R72173b3731014018" /><Relationship Type="http://schemas.openxmlformats.org/officeDocument/2006/relationships/worksheet" Target="/xl/worksheets/sheet6.xml" Id="Rd01f2000897948d0" /><Relationship Type="http://schemas.openxmlformats.org/officeDocument/2006/relationships/worksheet" Target="/xl/worksheets/sheet7.xml" Id="Rc6d7556f1cdc4a49" /><Relationship Type="http://schemas.openxmlformats.org/officeDocument/2006/relationships/worksheet" Target="/xl/worksheets/sheet8.xml" Id="R9726a66a744649d8" /><Relationship Type="http://schemas.openxmlformats.org/officeDocument/2006/relationships/worksheet" Target="/xl/worksheets/sheet9.xml" Id="Rd84a3633dd38461b" /><Relationship Type="http://schemas.openxmlformats.org/officeDocument/2006/relationships/worksheet" Target="/xl/worksheets/sheet10.xml" Id="R2d56e839a12d4810" /><Relationship Type="http://schemas.openxmlformats.org/officeDocument/2006/relationships/worksheet" Target="/xl/worksheets/sheet11.xml" Id="R37c8eea153df496c" /><Relationship Type="http://schemas.openxmlformats.org/officeDocument/2006/relationships/worksheet" Target="/xl/worksheets/sheet12.xml" Id="Rf9e23249157f4bc2" /><Relationship Type="http://schemas.openxmlformats.org/officeDocument/2006/relationships/worksheet" Target="/xl/worksheets/sheet13.xml" Id="Rc1ced1ef2bb4426e" /><Relationship Type="http://schemas.openxmlformats.org/officeDocument/2006/relationships/worksheet" Target="/xl/worksheets/sheet14.xml" Id="R7507639a2a2940e7" /><Relationship Type="http://schemas.openxmlformats.org/officeDocument/2006/relationships/worksheet" Target="/xl/worksheets/sheet15.xml" Id="R717e78e7e3ce4135" /></Relationships>
</file>

<file path=xl/tables/table1.xml><?xml version="1.0" encoding="utf-8"?>
<x:table xmlns:x="http://schemas.openxmlformats.org/spreadsheetml/2006/main" id="6" name="CustomDraftBoard" displayName="CustomDraftBoard" ref="A5:T125" headerRowCount="1" totalsRowCount="0" totalsRowShown="0">
  <x:tableColumns count="20">
    <x:tableColumn id="1" name="Overall"/>
    <x:tableColumn id="2" name="Player"/>
    <x:tableColumn id="3" name="Team"/>
    <x:tableColumn id="4" name="Main group"/>
    <x:tableColumn id="5" name="Source position tags"/>
    <x:tableColumn id="6" name="2025-26 GP"/>
    <x:tableColumn id="7" name="2025-26 FP/G"/>
    <x:tableColumn id="8" name="2026-27 low"/>
    <x:tableColumn id="9" name="2026-27 high"/>
    <x:tableColumn id="10" name="Planning GP"/>
    <x:tableColumn id="11" name="Risk"/>
    <x:tableColumn id="12" name="2026-27 center"/>
    <x:tableColumn id="13" name="Planning season FP"/>
    <x:tableColumn id="14" name="Status"/>
    <x:tableColumn id="15" name="Draft rationale"/>
    <x:tableColumn id="16" name="FP custom FP/G"/>
    <x:tableColumn id="17" name="HT custom FP/G"/>
    <x:tableColumn id="18" name="Raw consensus"/>
    <x:tableColumn id="19" name="Analyst adjustment"/>
    <x:tableColumn id="20" name="Context source"/>
  </x:tableColumns>
  <x:tableStyleInfo name="TableStyleMedium2" showFirstColumn="0" showLastColumn="0" showRowStripes="1" showColumnStripes="0"/>
</x:table>
</file>

<file path=xl/tables/table2.xml><?xml version="1.0" encoding="utf-8"?>
<x:table xmlns:x="http://schemas.openxmlformats.org/spreadsheetml/2006/main" id="7" name="PositionPG" displayName="PositionPG" ref="A5:L38" headerRowCount="1" totalsRowCount="0" totalsRowShown="0">
  <x:tableColumns count="12">
    <x:tableColumn id="1" name="Pos. rank"/>
    <x:tableColumn id="2" name="Overall"/>
    <x:tableColumn id="3" name="Player"/>
    <x:tableColumn id="4" name="Team"/>
    <x:tableColumn id="5" name="2025-26 GP"/>
    <x:tableColumn id="6" name="2025-26 FP/G"/>
    <x:tableColumn id="7" name="2026 low"/>
    <x:tableColumn id="8" name="2026 high"/>
    <x:tableColumn id="9" name="Planning GP"/>
    <x:tableColumn id="10" name="Risk"/>
    <x:tableColumn id="11" name="Source position tags"/>
    <x:tableColumn id="12" name="Draft rationale"/>
  </x:tableColumns>
  <x:tableStyleInfo name="TableStyleMedium2" showFirstColumn="0" showLastColumn="0" showRowStripes="1" showColumnStripes="0"/>
</x:table>
</file>

<file path=xl/tables/table3.xml><?xml version="1.0" encoding="utf-8"?>
<x:table xmlns:x="http://schemas.openxmlformats.org/spreadsheetml/2006/main" id="8" name="PositionSG" displayName="PositionSG" ref="A5:L23" headerRowCount="1" totalsRowCount="0" totalsRowShown="0">
  <x:tableColumns count="12">
    <x:tableColumn id="1" name="Pos. rank"/>
    <x:tableColumn id="2" name="Overall"/>
    <x:tableColumn id="3" name="Player"/>
    <x:tableColumn id="4" name="Team"/>
    <x:tableColumn id="5" name="2025-26 GP"/>
    <x:tableColumn id="6" name="2025-26 FP/G"/>
    <x:tableColumn id="7" name="2026 low"/>
    <x:tableColumn id="8" name="2026 high"/>
    <x:tableColumn id="9" name="Planning GP"/>
    <x:tableColumn id="10" name="Risk"/>
    <x:tableColumn id="11" name="Source position tags"/>
    <x:tableColumn id="12" name="Draft rationale"/>
  </x:tableColumns>
  <x:tableStyleInfo name="TableStyleMedium2" showFirstColumn="0" showLastColumn="0" showRowStripes="1" showColumnStripes="0"/>
</x:table>
</file>

<file path=xl/tables/table4.xml><?xml version="1.0" encoding="utf-8"?>
<x:table xmlns:x="http://schemas.openxmlformats.org/spreadsheetml/2006/main" id="9" name="PositionSF" displayName="PositionSF" ref="A5:L28" headerRowCount="1" totalsRowCount="0" totalsRowShown="0">
  <x:tableColumns count="12">
    <x:tableColumn id="1" name="Pos. rank"/>
    <x:tableColumn id="2" name="Overall"/>
    <x:tableColumn id="3" name="Player"/>
    <x:tableColumn id="4" name="Team"/>
    <x:tableColumn id="5" name="2025-26 GP"/>
    <x:tableColumn id="6" name="2025-26 FP/G"/>
    <x:tableColumn id="7" name="2026 low"/>
    <x:tableColumn id="8" name="2026 high"/>
    <x:tableColumn id="9" name="Planning GP"/>
    <x:tableColumn id="10" name="Risk"/>
    <x:tableColumn id="11" name="Source position tags"/>
    <x:tableColumn id="12" name="Draft rationale"/>
  </x:tableColumns>
  <x:tableStyleInfo name="TableStyleMedium2" showFirstColumn="0" showLastColumn="0" showRowStripes="1" showColumnStripes="0"/>
</x:table>
</file>

<file path=xl/tables/table5.xml><?xml version="1.0" encoding="utf-8"?>
<x:table xmlns:x="http://schemas.openxmlformats.org/spreadsheetml/2006/main" id="10" name="PositionPF" displayName="PositionPF" ref="A5:L26" headerRowCount="1" totalsRowCount="0" totalsRowShown="0">
  <x:tableColumns count="12">
    <x:tableColumn id="1" name="Pos. rank"/>
    <x:tableColumn id="2" name="Overall"/>
    <x:tableColumn id="3" name="Player"/>
    <x:tableColumn id="4" name="Team"/>
    <x:tableColumn id="5" name="2025-26 GP"/>
    <x:tableColumn id="6" name="2025-26 FP/G"/>
    <x:tableColumn id="7" name="2026 low"/>
    <x:tableColumn id="8" name="2026 high"/>
    <x:tableColumn id="9" name="Planning GP"/>
    <x:tableColumn id="10" name="Risk"/>
    <x:tableColumn id="11" name="Source position tags"/>
    <x:tableColumn id="12" name="Draft rationale"/>
  </x:tableColumns>
  <x:tableStyleInfo name="TableStyleMedium2" showFirstColumn="0" showLastColumn="0" showRowStripes="1" showColumnStripes="0"/>
</x:table>
</file>

<file path=xl/tables/table6.xml><?xml version="1.0" encoding="utf-8"?>
<x:table xmlns:x="http://schemas.openxmlformats.org/spreadsheetml/2006/main" id="11" name="PositionC" displayName="PositionC" ref="A5:L30" headerRowCount="1" totalsRowCount="0" totalsRowShown="0">
  <x:tableColumns count="12">
    <x:tableColumn id="1" name="Pos. rank"/>
    <x:tableColumn id="2" name="Overall"/>
    <x:tableColumn id="3" name="Player"/>
    <x:tableColumn id="4" name="Team"/>
    <x:tableColumn id="5" name="2025-26 GP"/>
    <x:tableColumn id="6" name="2025-26 FP/G"/>
    <x:tableColumn id="7" name="2026 low"/>
    <x:tableColumn id="8" name="2026 high"/>
    <x:tableColumn id="9" name="Planning GP"/>
    <x:tableColumn id="10" name="Risk"/>
    <x:tableColumn id="11" name="Source position tags"/>
    <x:tableColumn id="12" name="Draft rationale"/>
  </x:tableColumns>
  <x:tableStyleInfo name="TableStyleMedium2" showFirstColumn="0" showLastColumn="0" showRowStripes="1" showColumnStripes="0"/>
</x:table>
</file>

<file path=xl/tables/table7.xml><?xml version="1.0" encoding="utf-8"?>
<x:table xmlns:x="http://schemas.openxmlformats.org/spreadsheetml/2006/main" id="3" name="AnalystAssumptions" displayName="AnalystAssumptions" ref="A5:M125" headerRowCount="1" totalsRowCount="0" totalsRowShown="0">
  <x:tableColumns count="13">
    <x:tableColumn id="1" name="Player"/>
    <x:tableColumn id="2" name="Draft rank"/>
    <x:tableColumn id="3" name="Main group"/>
    <x:tableColumn id="4" name="Planning GP"/>
    <x:tableColumn id="5" name="FP/G adjustment"/>
    <x:tableColumn id="6" name="Range half-width"/>
    <x:tableColumn id="7" name="Risk flag"/>
    <x:tableColumn id="8" name="FTM / PTS"/>
    <x:tableColumn id="9" name="OREB / MIN"/>
    <x:tableColumn id="10" name="Rate basis"/>
    <x:tableColumn id="11" name="Analyst rationale"/>
    <x:tableColumn id="12" name="Context source"/>
    <x:tableColumn id="13" name="Rate source"/>
  </x:tableColumns>
  <x:tableStyleInfo name="TableStyleMedium2" showFirstColumn="0" showLastColumn="0" showRowStripes="1" showColumnStripes="0"/>
</x:table>
</file>

<file path=xl/tables/table8.xml><?xml version="1.0" encoding="utf-8"?>
<x:table xmlns:x="http://schemas.openxmlformats.org/spreadsheetml/2006/main" id="1" name="HistoricalStats" displayName="HistoricalStats" ref="A5:Q116" headerRowCount="1" totalsRowCount="0" totalsRowShown="0">
  <x:tableColumns count="17">
    <x:tableColumn id="1" name="Player"/>
    <x:tableColumn id="2" name="GP"/>
    <x:tableColumn id="3" name="MIN"/>
    <x:tableColumn id="4" name="PTS"/>
    <x:tableColumn id="5" name="FGM"/>
    <x:tableColumn id="6" name="FGA"/>
    <x:tableColumn id="7" name="3PM"/>
    <x:tableColumn id="8" name="FTM"/>
    <x:tableColumn id="9" name="FTA"/>
    <x:tableColumn id="10" name="OREB"/>
    <x:tableColumn id="11" name="REB"/>
    <x:tableColumn id="12" name="AST"/>
    <x:tableColumn id="13" name="STL"/>
    <x:tableColumn id="14" name="BLK"/>
    <x:tableColumn id="15" name="TO"/>
    <x:tableColumn id="16" name="Custom FP/G"/>
    <x:tableColumn id="17" name="Source"/>
  </x:tableColumns>
  <x:tableStyleInfo name="TableStyleMedium2" showFirstColumn="0" showLastColumn="0" showRowStripes="1" showColumnStripes="0"/>
</x:table>
</file>

<file path=xl/tables/table9.xml><?xml version="1.0" encoding="utf-8"?>
<x:table xmlns:x="http://schemas.openxmlformats.org/spreadsheetml/2006/main" id="4" name="FantasyProsInputs" displayName="FantasyProsInputs" ref="A5:X125" headerRowCount="1" totalsRowCount="0" totalsRowShown="0">
  <x:tableColumns count="24">
    <x:tableColumn id="1" name="Player"/>
    <x:tableColumn id="2" name="Team"/>
    <x:tableColumn id="3" name="Source position tags"/>
    <x:tableColumn id="4" name="PTS"/>
    <x:tableColumn id="5" name="REB"/>
    <x:tableColumn id="6" name="AST"/>
    <x:tableColumn id="7" name="BLK"/>
    <x:tableColumn id="8" name="STL"/>
    <x:tableColumn id="9" name="FG%"/>
    <x:tableColumn id="10" name="FT%"/>
    <x:tableColumn id="11" name="3PM"/>
    <x:tableColumn id="12" name="GP"/>
    <x:tableColumn id="13" name="MIN"/>
    <x:tableColumn id="14" name="TO"/>
    <x:tableColumn id="15" name="FTM / PTS"/>
    <x:tableColumn id="16" name="OREB / MIN"/>
    <x:tableColumn id="17" name="Est. FTM"/>
    <x:tableColumn id="18" name="Est. FTA"/>
    <x:tableColumn id="19" name="Est. FGM"/>
    <x:tableColumn id="20" name="Est. FGA"/>
    <x:tableColumn id="21" name="Est. OREB"/>
    <x:tableColumn id="22" name="Custom season FP"/>
    <x:tableColumn id="23" name="Custom FP/G"/>
    <x:tableColumn id="24" name="Source"/>
  </x:tableColumns>
  <x:tableStyleInfo name="TableStyleMedium2" showFirstColumn="0" showLastColumn="0" showRowStripes="1" showColumnStripes="0"/>
</x:table>
</file>

<file path=xl/tables/table10.xml><?xml version="1.0" encoding="utf-8"?>
<x:table xmlns:x="http://schemas.openxmlformats.org/spreadsheetml/2006/main" id="5" name="HashtagInputs" displayName="HashtagInputs" ref="A5:R35" headerRowCount="1" totalsRowCount="0" totalsRowShown="0">
  <x:tableColumns count="18">
    <x:tableColumn id="1" name="Player"/>
    <x:tableColumn id="2" name="GP"/>
    <x:tableColumn id="3" name="MIN"/>
    <x:tableColumn id="4" name="FGM"/>
    <x:tableColumn id="5" name="FGA"/>
    <x:tableColumn id="6" name="FTM"/>
    <x:tableColumn id="7" name="FTA"/>
    <x:tableColumn id="8" name="3PM"/>
    <x:tableColumn id="9" name="PTS"/>
    <x:tableColumn id="10" name="REB"/>
    <x:tableColumn id="11" name="AST"/>
    <x:tableColumn id="12" name="STL"/>
    <x:tableColumn id="13" name="BLK"/>
    <x:tableColumn id="14" name="TO"/>
    <x:tableColumn id="15" name="OREB / MIN"/>
    <x:tableColumn id="16" name="Est. OREB"/>
    <x:tableColumn id="17" name="Custom FP/G"/>
    <x:tableColumn id="18" name="Source"/>
  </x:tableColumns>
  <x:tableStyleInfo name="TableStyleMedium2" showFirstColumn="0" showLastColumn="0" showRowStripes="1" showColumnStripes="0"/>
</x:table>
</file>

<file path=xl/tables/table11.xml><?xml version="1.0" encoding="utf-8"?>
<x:table xmlns:x="http://schemas.openxmlformats.org/spreadsheetml/2006/main" id="2" name="OlderStats" displayName="OlderStats" ref="A5:Q9" headerRowCount="1" totalsRowCount="0" totalsRowShown="0">
  <x:tableColumns count="17">
    <x:tableColumn id="1" name="Player"/>
    <x:tableColumn id="2" name="GP"/>
    <x:tableColumn id="3" name="MIN"/>
    <x:tableColumn id="4" name="PTS"/>
    <x:tableColumn id="5" name="FGM"/>
    <x:tableColumn id="6" name="FGA"/>
    <x:tableColumn id="7" name="3PM"/>
    <x:tableColumn id="8" name="FTM"/>
    <x:tableColumn id="9" name="FTA"/>
    <x:tableColumn id="10" name="OREB"/>
    <x:tableColumn id="11" name="REB"/>
    <x:tableColumn id="12" name="AST"/>
    <x:tableColumn id="13" name="STL"/>
    <x:tableColumn id="14" name="BLK"/>
    <x:tableColumn id="15" name="TO"/>
    <x:tableColumn id="16" name="Custom FP/G"/>
    <x:tableColumn id="17" name="Source"/>
  </x:tableColumns>
  <x:tableStyleInfo name="TableStyleMedium2" showFirstColumn="0" showLastColumn="0" showRowStripes="1" showColumnStripes="0"/>
</x:table>
</file>

<file path=xl/tables/table12.xml><?xml version="1.0" encoding="utf-8"?>
<x:table xmlns:x="http://schemas.openxmlformats.org/spreadsheetml/2006/main" id="12" name="SourceRegister" displayName="SourceRegister" ref="A5:E35" headerRowCount="1" totalsRowCount="0" totalsRowShown="0">
  <x:tableColumns count="5">
    <x:tableColumn id="1" name="Use"/>
    <x:tableColumn id="2" name="Publisher"/>
    <x:tableColumn id="3" name="Period / update"/>
    <x:tableColumn id="4" name="Scope and limitations"/>
    <x:tableColumn id="5"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740e557c2894ccb" /></Relationships>
</file>

<file path=xl/worksheets/_rels/sheet3.xml.rels>&#65279;<?xml version="1.0" encoding="utf-8"?><Relationships xmlns="http://schemas.openxmlformats.org/package/2006/relationships"><Relationship Type="http://schemas.openxmlformats.org/officeDocument/2006/relationships/table" Target="/xl/tables/table2.xml" Id="Ra228f1308b34468b" /></Relationships>
</file>

<file path=xl/worksheets/_rels/sheet4.xml.rels>&#65279;<?xml version="1.0" encoding="utf-8"?><Relationships xmlns="http://schemas.openxmlformats.org/package/2006/relationships"><Relationship Type="http://schemas.openxmlformats.org/officeDocument/2006/relationships/table" Target="/xl/tables/table3.xml" Id="R3c67733826bc4406" /></Relationships>
</file>

<file path=xl/worksheets/_rels/sheet5.xml.rels>&#65279;<?xml version="1.0" encoding="utf-8"?><Relationships xmlns="http://schemas.openxmlformats.org/package/2006/relationships"><Relationship Type="http://schemas.openxmlformats.org/officeDocument/2006/relationships/table" Target="/xl/tables/table4.xml" Id="R277f7db3e10945bd" /></Relationships>
</file>

<file path=xl/worksheets/_rels/sheet6.xml.rels>&#65279;<?xml version="1.0" encoding="utf-8"?><Relationships xmlns="http://schemas.openxmlformats.org/package/2006/relationships"><Relationship Type="http://schemas.openxmlformats.org/officeDocument/2006/relationships/table" Target="/xl/tables/table5.xml" Id="R01439ec3ab1f4936" /></Relationships>
</file>

<file path=xl/worksheets/_rels/sheet7.xml.rels>&#65279;<?xml version="1.0" encoding="utf-8"?><Relationships xmlns="http://schemas.openxmlformats.org/package/2006/relationships"><Relationship Type="http://schemas.openxmlformats.org/officeDocument/2006/relationships/table" Target="/xl/tables/table6.xml" Id="R3ed06a84fbeb429e" /></Relationships>
</file>

<file path=xl/worksheets/_rels/sheet9.xml.rels>&#65279;<?xml version="1.0" encoding="utf-8"?><Relationships xmlns="http://schemas.openxmlformats.org/package/2006/relationships"><Relationship Type="http://schemas.openxmlformats.org/officeDocument/2006/relationships/table" Target="/xl/tables/table7.xml" Id="R875a8feefa8548c1" /></Relationships>
</file>

<file path=xl/worksheets/_rels/sheet10.xml.rels>&#65279;<?xml version="1.0" encoding="utf-8"?><Relationships xmlns="http://schemas.openxmlformats.org/package/2006/relationships"><Relationship Type="http://schemas.openxmlformats.org/officeDocument/2006/relationships/table" Target="/xl/tables/table8.xml" Id="R3d1f40f8a9a04a45" /></Relationships>
</file>

<file path=xl/worksheets/_rels/sheet11.xml.rels>&#65279;<?xml version="1.0" encoding="utf-8"?><Relationships xmlns="http://schemas.openxmlformats.org/package/2006/relationships"><Relationship Type="http://schemas.openxmlformats.org/officeDocument/2006/relationships/table" Target="/xl/tables/table9.xml" Id="Raf6457045dd048fc" /></Relationships>
</file>

<file path=xl/worksheets/_rels/sheet12.xml.rels>&#65279;<?xml version="1.0" encoding="utf-8"?><Relationships xmlns="http://schemas.openxmlformats.org/package/2006/relationships"><Relationship Type="http://schemas.openxmlformats.org/officeDocument/2006/relationships/table" Target="/xl/tables/table10.xml" Id="R10aaac38a84647e4" /></Relationships>
</file>

<file path=xl/worksheets/_rels/sheet13.xml.rels>&#65279;<?xml version="1.0" encoding="utf-8"?><Relationships xmlns="http://schemas.openxmlformats.org/package/2006/relationships"><Relationship Type="http://schemas.openxmlformats.org/officeDocument/2006/relationships/table" Target="/xl/tables/table11.xml" Id="Rc6a65bdd0b934ffb" /></Relationships>
</file>

<file path=xl/worksheets/_rels/sheet14.xml.rels>&#65279;<?xml version="1.0" encoding="utf-8"?><Relationships xmlns="http://schemas.openxmlformats.org/package/2006/relationships"><Relationship Type="http://schemas.openxmlformats.org/officeDocument/2006/relationships/table" Target="/xl/tables/table12.xml" Id="Rf006ba6c3d054d57"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0" customHeight="1">
      <x:c r="A1" s="3" t="str">
        <x:v>NBA FANTASY 2026–27 | YOUR CUSTOM DRAFT KIT</x:v>
      </x:c>
      <x:c r="B1" s="3"/>
      <x:c r="C1" s="3"/>
      <x:c r="D1" s="3"/>
      <x:c r="E1" s="3"/>
      <x:c r="F1" s="3"/>
      <x:c r="G1" s="3"/>
      <x:c r="H1" s="3"/>
      <x:c r="I1" s="3"/>
      <x:c r="J1" s="3"/>
    </x:row>
    <x:row r="2" ht="23" customHeight="1">
      <x:c r="A2" s="7" t="str">
        <x:v>Draft-day refresh: October 10, 2026 • Draft: Tuesday, October 13 • 2025–26 actuals + Oct. 9 projections/ADP + preseason injury/role updates</x:v>
      </x:c>
      <x:c r="B2" s="7"/>
      <x:c r="C2" s="7"/>
      <x:c r="D2" s="7"/>
      <x:c r="E2" s="7"/>
      <x:c r="F2" s="7"/>
      <x:c r="G2" s="7"/>
      <x:c r="H2" s="7"/>
      <x:c r="I2" s="7"/>
      <x:c r="J2" s="7"/>
    </x:row>
    <x:row r="3" ht="23" customHeight="1">
      <x:c r="A3" s="7"/>
      <x:c r="B3" s="7"/>
      <x:c r="C3" s="7"/>
      <x:c r="D3" s="7"/>
      <x:c r="E3" s="7"/>
      <x:c r="F3" s="7"/>
      <x:c r="G3" s="7"/>
      <x:c r="H3" s="7"/>
      <x:c r="I3" s="7"/>
      <x:c r="J3" s="7"/>
    </x:row>
    <x:row r="5" ht="27" customHeight="1">
      <x:c r="A5" s="33" t="str">
        <x:v>RESEARCHED PLAYER POOL</x:v>
      </x:c>
      <x:c r="B5" s="33"/>
      <x:c r="C5" s="33"/>
      <x:c r="D5" s="33"/>
      <x:c r="E5" s="33" t="str">
        <x:v>REGULAR ROSTER SPOTS</x:v>
      </x:c>
      <x:c r="F5" s="33"/>
      <x:c r="G5" s="33"/>
      <x:c r="H5" s="33"/>
      <x:c r="I5" s="33" t="str">
        <x:v>STARTERS</x:v>
      </x:c>
      <x:c r="J5" s="33"/>
    </x:row>
    <x:row r="6" ht="25" customHeight="1">
      <x:c r="A6" s="37" t="n">
        <x:f>COUNTA('Draft Board'!B6:B605)</x:f>
        <x:v>600</x:v>
      </x:c>
      <x:c r="B6" s="37"/>
      <x:c r="C6" s="37"/>
      <x:c r="E6" s="37" t="n">
        <x:f>Scoring!G6+Scoring!G7</x:f>
        <x:v>15</x:v>
      </x:c>
      <x:c r="F6" s="37"/>
      <x:c r="G6" s="37"/>
      <x:c r="I6" s="37" t="n">
        <x:f>Scoring!G6</x:f>
        <x:v>11</x:v>
      </x:c>
      <x:c r="J6" s="37"/>
    </x:row>
    <x:row r="7" ht="25" customHeight="1">
      <x:c r="A7" s="37"/>
      <x:c r="B7" s="37"/>
      <x:c r="C7" s="37"/>
      <x:c r="E7" s="37"/>
      <x:c r="F7" s="37"/>
      <x:c r="G7" s="37"/>
      <x:c r="I7" s="37"/>
      <x:c r="J7" s="37"/>
    </x:row>
    <x:row r="9" ht="25" customHeight="1">
      <x:c r="A9" s="11" t="str">
        <x:v>HOW TO USE THIS</x:v>
      </x:c>
      <x:c r="B9" s="11"/>
      <x:c r="C9" s="11"/>
      <x:c r="D9" s="11"/>
      <x:c r="E9" s="11"/>
      <x:c r="F9" s="11"/>
      <x:c r="G9" s="11"/>
      <x:c r="H9" s="11"/>
      <x:c r="I9" s="11"/>
      <x:c r="J9" s="11"/>
    </x:row>
    <x:row r="10" ht="24" customHeight="1">
      <x:c r="A10" s="7" t="str">
        <x:v>Start with DRAFT DAY 10-13 for the refreshed short board, then Draft Board for the full 1–600 order. PG/SG/SF/PF/C group players once by main role; legal eligibility is determined by your fantasy app. Mark Available / Drafted / My Team / Pass on Draft Board. Ranks 430–600 remain a watch pool rather than a normal draft list.</x:v>
      </x:c>
      <x:c r="B10" s="7"/>
      <x:c r="C10" s="7"/>
      <x:c r="D10" s="7"/>
      <x:c r="E10" s="7"/>
      <x:c r="F10" s="7"/>
      <x:c r="G10" s="7"/>
      <x:c r="H10" s="7"/>
      <x:c r="I10" s="7"/>
      <x:c r="J10" s="7"/>
    </x:row>
    <x:row r="11" ht="24" customHeight="1">
      <x:c r="A11" s="7"/>
      <x:c r="B11" s="7"/>
      <x:c r="C11" s="7"/>
      <x:c r="D11" s="7"/>
      <x:c r="E11" s="7"/>
      <x:c r="F11" s="7"/>
      <x:c r="G11" s="7"/>
      <x:c r="H11" s="7"/>
      <x:c r="I11" s="7"/>
      <x:c r="J11" s="7"/>
    </x:row>
    <x:row r="13" ht="25" customHeight="1">
      <x:c r="A13" s="11" t="str">
        <x:v>WHAT THE NUMBERS MEAN</x:v>
      </x:c>
      <x:c r="B13" s="11"/>
      <x:c r="C13" s="11"/>
      <x:c r="D13" s="11"/>
      <x:c r="E13" s="11"/>
      <x:c r="F13" s="11"/>
      <x:c r="G13" s="11"/>
      <x:c r="H13" s="11"/>
      <x:c r="I13" s="11"/>
      <x:c r="J13" s="11"/>
    </x:row>
    <x:row r="14" ht="24" customHeight="1">
      <x:c r="A14" s="7" t="str">
        <x:v>2025–26 FP/G is my reconstruction under YOUR new scoring, not last year's platform score. 2026–27 low/high are plausible planning bands WHEN PLAYING, not confidence intervals. Planning GP and season points are scenarios, not guarantees.</x:v>
      </x:c>
      <x:c r="B14" s="7"/>
      <x:c r="C14" s="7"/>
      <x:c r="D14" s="7"/>
      <x:c r="E14" s="7"/>
      <x:c r="F14" s="7"/>
      <x:c r="G14" s="7"/>
      <x:c r="H14" s="7"/>
      <x:c r="I14" s="7"/>
      <x:c r="J14" s="7"/>
    </x:row>
    <x:row r="15" ht="24" customHeight="1">
      <x:c r="A15" s="7"/>
      <x:c r="B15" s="7"/>
      <x:c r="C15" s="7"/>
      <x:c r="D15" s="7"/>
      <x:c r="E15" s="7"/>
      <x:c r="F15" s="7"/>
      <x:c r="G15" s="7"/>
      <x:c r="H15" s="7"/>
      <x:c r="I15" s="7"/>
      <x:c r="J15" s="7"/>
    </x:row>
    <x:row r="17" ht="25" customHeight="1">
      <x:c r="A17" s="11" t="str">
        <x:v>HOW THE MODEL WORKS</x:v>
      </x:c>
      <x:c r="B17" s="11"/>
      <x:c r="C17" s="11"/>
      <x:c r="D17" s="11"/>
      <x:c r="E17" s="11"/>
      <x:c r="F17" s="11"/>
      <x:c r="G17" s="11"/>
      <x:c r="H17" s="11"/>
      <x:c r="I17" s="11"/>
      <x:c r="J17" s="11"/>
    </x:row>
    <x:row r="18" ht="24" customHeight="1">
      <x:c r="A18" s="7" t="str">
        <x:v>Ranks 1–150 were refreshed using the Oct. 9 FantasyPros public projection set. The Hashtag Basketball public projection page (retrieved Oct. 10; page updated Oct. 6) provides a second custom-scoring cross-check for its visible leaders, and Oct. 9 blended ADP provides market context. The original research board, 2025–26 custom-scored history and role assumptions remain anchors.</x:v>
      </x:c>
      <x:c r="B18" s="7"/>
      <x:c r="C18" s="7"/>
      <x:c r="D18" s="7"/>
      <x:c r="E18" s="7"/>
      <x:c r="F18" s="7"/>
      <x:c r="G18" s="7"/>
      <x:c r="H18" s="7"/>
      <x:c r="I18" s="7"/>
      <x:c r="J18" s="7"/>
    </x:row>
    <x:row r="19" ht="24" customHeight="1">
      <x:c r="A19" s="7"/>
      <x:c r="B19" s="7"/>
      <x:c r="C19" s="7"/>
      <x:c r="D19" s="7"/>
      <x:c r="E19" s="7"/>
      <x:c r="F19" s="7"/>
      <x:c r="G19" s="7"/>
      <x:c r="H19" s="7"/>
      <x:c r="I19" s="7"/>
      <x:c r="J19" s="7"/>
    </x:row>
    <x:row r="20" ht="24" customHeight="1">
      <x:c r="A20" s="7"/>
      <x:c r="B20" s="7"/>
      <x:c r="C20" s="7"/>
      <x:c r="D20" s="7"/>
      <x:c r="E20" s="7"/>
      <x:c r="F20" s="7"/>
      <x:c r="G20" s="7"/>
      <x:c r="H20" s="7"/>
      <x:c r="I20" s="7"/>
      <x:c r="J20" s="7"/>
    </x:row>
    <x:row r="22" ht="25" customHeight="1">
      <x:c r="A22" s="11" t="str">
        <x:v>HISTORY AND ANALYST JUDGMENT</x:v>
      </x:c>
      <x:c r="B22" s="11"/>
      <x:c r="C22" s="11"/>
      <x:c r="D22" s="11"/>
      <x:c r="E22" s="11"/>
      <x:c r="F22" s="11"/>
      <x:c r="G22" s="11"/>
      <x:c r="H22" s="11"/>
      <x:c r="I22" s="11"/>
      <x:c r="J22" s="11"/>
    </x:row>
    <x:row r="23" ht="24" customHeight="1">
      <x:c r="A23" s="7" t="str">
        <x:v>The original 600-player master remains intact as the player universe. The draft order has been re-ranked for Oct. 13 using refreshed projections, expected availability, team context and explicit injury/role adjustments. Deep-player confidence and projection type remain visible on Draft Board in columns U:AA.</x:v>
      </x:c>
      <x:c r="B23" s="7"/>
      <x:c r="C23" s="7"/>
      <x:c r="D23" s="7"/>
      <x:c r="E23" s="7"/>
      <x:c r="F23" s="7"/>
      <x:c r="G23" s="7"/>
      <x:c r="H23" s="7"/>
      <x:c r="I23" s="7"/>
      <x:c r="J23" s="7"/>
    </x:row>
    <x:row r="24" ht="24" customHeight="1">
      <x:c r="A24" s="7"/>
      <x:c r="B24" s="7"/>
      <x:c r="C24" s="7"/>
      <x:c r="D24" s="7"/>
      <x:c r="E24" s="7"/>
      <x:c r="F24" s="7"/>
      <x:c r="G24" s="7"/>
      <x:c r="H24" s="7"/>
      <x:c r="I24" s="7"/>
      <x:c r="J24" s="7"/>
    </x:row>
    <x:row r="25" ht="24" customHeight="1">
      <x:c r="A25" s="7"/>
      <x:c r="B25" s="7"/>
      <x:c r="C25" s="7"/>
      <x:c r="D25" s="7"/>
      <x:c r="E25" s="7"/>
      <x:c r="F25" s="7"/>
      <x:c r="G25" s="7"/>
      <x:c r="H25" s="7"/>
      <x:c r="I25" s="7"/>
      <x:c r="J25" s="7"/>
    </x:row>
    <x:row r="27" ht="25" customHeight="1">
      <x:c r="A27" s="11" t="str">
        <x:v>CRITICAL LIVE FLAGS</x:v>
      </x:c>
      <x:c r="B27" s="11"/>
      <x:c r="C27" s="11"/>
      <x:c r="D27" s="11"/>
      <x:c r="E27" s="11"/>
      <x:c r="F27" s="11"/>
      <x:c r="G27" s="11"/>
      <x:c r="H27" s="11"/>
      <x:c r="I27" s="11"/>
      <x:c r="J27" s="11"/>
    </x:row>
    <x:row r="28" ht="24" customHeight="1">
      <x:c r="A28" s="7" t="str">
        <x:v>Duren: extension resolved — prior contract discount removed. Haliburton: Achilles return plus a minor preseason ankle tweak; still a ramp-risk pick. Porzingis: out indefinitely. Butler: targeting roughly Jan./Feb. return. Ingram: heel surgery + partial Achilles and out to start. Nurkic: foot tear, four-week re-evaluation. Kessler: finger issue. Knueppel and Coby White: preseason soft-tissue injuries. Re-check all flags again on draft day.</x:v>
      </x:c>
      <x:c r="B28" s="7"/>
      <x:c r="C28" s="7"/>
      <x:c r="D28" s="7"/>
      <x:c r="E28" s="7"/>
      <x:c r="F28" s="7"/>
      <x:c r="G28" s="7"/>
      <x:c r="H28" s="7"/>
      <x:c r="I28" s="7"/>
      <x:c r="J28" s="7"/>
    </x:row>
    <x:row r="29" ht="24" customHeight="1">
      <x:c r="A29" s="7"/>
      <x:c r="B29" s="7"/>
      <x:c r="C29" s="7"/>
      <x:c r="D29" s="7"/>
      <x:c r="E29" s="7"/>
      <x:c r="F29" s="7"/>
      <x:c r="G29" s="7"/>
      <x:c r="H29" s="7"/>
      <x:c r="I29" s="7"/>
      <x:c r="J29" s="7"/>
    </x:row>
    <x:row r="30" ht="24" customHeight="1">
      <x:c r="A30" s="7"/>
      <x:c r="B30" s="7"/>
      <x:c r="C30" s="7"/>
      <x:c r="D30" s="7"/>
      <x:c r="E30" s="7"/>
      <x:c r="F30" s="7"/>
      <x:c r="G30" s="7"/>
      <x:c r="H30" s="7"/>
      <x:c r="I30" s="7"/>
      <x:c r="J30" s="7"/>
    </x:row>
    <x:row r="32" ht="25" customHeight="1">
      <x:c r="A32" s="11" t="str">
        <x:v>LEAGUE ASSUMPTIONS TO CONFIRM</x:v>
      </x:c>
      <x:c r="B32" s="11"/>
      <x:c r="C32" s="11"/>
      <x:c r="D32" s="11"/>
      <x:c r="E32" s="11"/>
      <x:c r="F32" s="11"/>
      <x:c r="G32" s="11"/>
      <x:c r="H32" s="11"/>
      <x:c r="I32" s="11"/>
      <x:c r="J32" s="11"/>
    </x:row>
    <x:row r="33" ht="24" customHeight="1">
      <x:c r="A33" s="7" t="str">
        <x:v>The league is 10 teams. Draft is Tuesday, October 13, 2026. The screenshots confirm 11 starters, 4 bench and 2 IR. Redraft, head-to-head points and the custom scoring are the working setup. Draft slot is still unknown. NBA final-roster deadline is Oct. 19 and the regular season opens Oct. 20, so a final same-day injury/rotation check is still worthwhile.</x:v>
      </x:c>
      <x:c r="B33" s="7"/>
      <x:c r="C33" s="7"/>
      <x:c r="D33" s="7"/>
      <x:c r="E33" s="7"/>
      <x:c r="F33" s="7"/>
      <x:c r="G33" s="7"/>
      <x:c r="H33" s="7"/>
      <x:c r="I33" s="7"/>
      <x:c r="J33" s="7"/>
    </x:row>
    <x:row r="34" ht="24" customHeight="1">
      <x:c r="A34" s="7"/>
      <x:c r="B34" s="7"/>
      <x:c r="C34" s="7"/>
      <x:c r="D34" s="7"/>
      <x:c r="E34" s="7"/>
      <x:c r="F34" s="7"/>
      <x:c r="G34" s="7"/>
      <x:c r="H34" s="7"/>
      <x:c r="I34" s="7"/>
      <x:c r="J34" s="7"/>
    </x:row>
    <x:row r="35" ht="24" customHeight="1">
      <x:c r="A35" s="7"/>
      <x:c r="B35" s="7"/>
      <x:c r="C35" s="7"/>
      <x:c r="D35" s="7"/>
      <x:c r="E35" s="7"/>
      <x:c r="F35" s="7"/>
      <x:c r="G35" s="7"/>
      <x:c r="H35" s="7"/>
      <x:c r="I35" s="7"/>
      <x:c r="J35" s="7"/>
    </x:row>
    <x:row r="37" ht="25" customHeight="1">
      <x:c r="A37" s="11" t="str">
        <x:v>SCORING AND DRAFT STRATEGY</x:v>
      </x:c>
      <x:c r="B37" s="11"/>
      <x:c r="C37" s="11"/>
      <x:c r="D37" s="11"/>
      <x:c r="E37" s="11"/>
      <x:c r="F37" s="11"/>
      <x:c r="G37" s="11"/>
      <x:c r="H37" s="11"/>
      <x:c r="I37" s="11"/>
      <x:c r="J37" s="11"/>
    </x:row>
    <x:row r="38" ht="24" customHeight="1">
      <x:c r="A38" s="7" t="str">
        <x:v>An offensive board earns 3 total points. Made 2s earn 3, made 3s earn 5, and made free throws earn 2. Efficient rebounders deserve UTIL consideration. Ejections remain +10 in the scoring setup but are not projected. Do not draft for ejections.</x:v>
      </x:c>
      <x:c r="B38" s="7"/>
      <x:c r="C38" s="7"/>
      <x:c r="D38" s="7"/>
      <x:c r="E38" s="7"/>
      <x:c r="F38" s="7"/>
      <x:c r="G38" s="7"/>
      <x:c r="H38" s="7"/>
      <x:c r="I38" s="7"/>
      <x:c r="J38" s="7"/>
    </x:row>
    <x:row r="39" ht="24" customHeight="1">
      <x:c r="A39" s="7"/>
      <x:c r="B39" s="7"/>
      <x:c r="C39" s="7"/>
      <x:c r="D39" s="7"/>
      <x:c r="E39" s="7"/>
      <x:c r="F39" s="7"/>
      <x:c r="G39" s="7"/>
      <x:c r="H39" s="7"/>
      <x:c r="I39" s="7"/>
      <x:c r="J39" s="7"/>
    </x:row>
    <x:row r="40" ht="24" customHeight="1">
      <x:c r="A40" s="7"/>
      <x:c r="B40" s="7"/>
      <x:c r="C40" s="7"/>
      <x:c r="D40" s="7"/>
      <x:c r="E40" s="7"/>
      <x:c r="F40" s="7"/>
      <x:c r="G40" s="7"/>
      <x:c r="H40" s="7"/>
      <x:c r="I40" s="7"/>
      <x:c r="J40" s="7"/>
    </x:row>
    <x:row r="42" ht="25" customHeight="1">
      <x:c r="A42" s="11" t="str">
        <x:v>SCOPE AND LIMITATIONS</x:v>
      </x:c>
      <x:c r="B42" s="11"/>
      <x:c r="C42" s="11"/>
      <x:c r="D42" s="11"/>
      <x:c r="E42" s="11"/>
      <x:c r="F42" s="11"/>
      <x:c r="G42" s="11"/>
      <x:c r="H42" s="11"/>
      <x:c r="I42" s="11"/>
      <x:c r="J42" s="11"/>
    </x:row>
    <x:row r="43" ht="24" customHeight="1">
      <x:c r="A43" s="7" t="str">
        <x:v>This is a 600-player master for a 10-team league, not an official ESPN ranking. The original Top 200 is retained except one duplicate cleanup. Picks 201–429 are model-based deep values; picks 430–600 are searchable watch entries without projected FP/G. Training-camp and contract status can change quickly, so final roster verification remains essential.</x:v>
      </x:c>
      <x:c r="B43" s="7"/>
      <x:c r="C43" s="7"/>
      <x:c r="D43" s="7"/>
      <x:c r="E43" s="7"/>
      <x:c r="F43" s="7"/>
      <x:c r="G43" s="7"/>
      <x:c r="H43" s="7"/>
      <x:c r="I43" s="7"/>
      <x:c r="J43" s="7"/>
    </x:row>
    <x:row r="44" ht="24" customHeight="1">
      <x:c r="A44" s="7"/>
      <x:c r="B44" s="7"/>
      <x:c r="C44" s="7"/>
      <x:c r="D44" s="7"/>
      <x:c r="E44" s="7"/>
      <x:c r="F44" s="7"/>
      <x:c r="G44" s="7"/>
      <x:c r="H44" s="7"/>
      <x:c r="I44" s="7"/>
      <x:c r="J44" s="7"/>
    </x:row>
    <x:row r="45" ht="24" customHeight="1">
      <x:c r="A45" s="7"/>
      <x:c r="B45" s="7"/>
      <x:c r="C45" s="7"/>
      <x:c r="D45" s="7"/>
      <x:c r="E45" s="7"/>
      <x:c r="F45" s="7"/>
      <x:c r="G45" s="7"/>
      <x:c r="H45" s="7"/>
      <x:c r="I45" s="7"/>
      <x:c r="J45" s="7"/>
    </x:row>
    <x:row r="47" ht="25" customHeight="1">
      <x:c r="A47" s="11" t="str">
        <x:v>EDITING THE WORKBOOK</x:v>
      </x:c>
      <x:c r="B47" s="11"/>
      <x:c r="C47" s="11"/>
      <x:c r="D47" s="11"/>
      <x:c r="E47" s="11"/>
      <x:c r="F47" s="11"/>
      <x:c r="G47" s="11"/>
      <x:c r="H47" s="11"/>
      <x:c r="I47" s="11"/>
      <x:c r="J47" s="11"/>
    </x:row>
    <x:row r="48" ht="24" customHeight="1">
      <x:c r="A48" s="7" t="str">
        <x:v>Blue text highlights discretionary inputs and draft status. Changing projections/scoring does not automatically reorder manually ranked rows. Source URLs are retained in Draft Board metadata and Sources. For the draft app, import the entire master but default normal recommendations to the projected pool rather than the WATCH tier.</x:v>
      </x:c>
      <x:c r="B48" s="7"/>
      <x:c r="C48" s="7"/>
      <x:c r="D48" s="7"/>
      <x:c r="E48" s="7"/>
      <x:c r="F48" s="7"/>
      <x:c r="G48" s="7"/>
      <x:c r="H48" s="7"/>
      <x:c r="I48" s="7"/>
      <x:c r="J48" s="7"/>
    </x:row>
    <x:row r="49" ht="24" customHeight="1">
      <x:c r="A49" s="7"/>
      <x:c r="B49" s="7"/>
      <x:c r="C49" s="7"/>
      <x:c r="D49" s="7"/>
      <x:c r="E49" s="7"/>
      <x:c r="F49" s="7"/>
      <x:c r="G49" s="7"/>
      <x:c r="H49" s="7"/>
      <x:c r="I49" s="7"/>
      <x:c r="J49" s="7"/>
    </x:row>
    <x:row r="50" ht="24" customHeight="1">
      <x:c r="A50" s="7"/>
      <x:c r="B50" s="7"/>
      <x:c r="C50" s="7"/>
      <x:c r="D50" s="7"/>
      <x:c r="E50" s="7"/>
      <x:c r="F50" s="7"/>
      <x:c r="G50" s="7"/>
      <x:c r="H50" s="7"/>
      <x:c r="I50" s="7"/>
      <x:c r="J50" s="7"/>
    </x:row>
    <x:row r="51" ht="24" customHeight="1">
      <x:c r="A51" s="7"/>
      <x:c r="B51" s="7"/>
      <x:c r="C51" s="7"/>
      <x:c r="D51" s="7"/>
      <x:c r="E51" s="7"/>
      <x:c r="F51" s="7"/>
      <x:c r="G51" s="7"/>
      <x:c r="H51" s="7"/>
      <x:c r="I51" s="7"/>
      <x:c r="J51" s="7"/>
    </x:row>
  </x:sheetData>
  <x:mergeCells>
    <x:mergeCell ref="A1:J1"/>
    <x:mergeCell ref="A2:J3"/>
    <x:mergeCell ref="A5:C5"/>
    <x:mergeCell ref="E5:G5"/>
    <x:mergeCell ref="I5:J5"/>
    <x:mergeCell ref="A6:C7"/>
    <x:mergeCell ref="E6:G7"/>
    <x:mergeCell ref="I6:J7"/>
    <x:mergeCell ref="A9:J9"/>
    <x:mergeCell ref="A10:J11"/>
    <x:mergeCell ref="A13:J13"/>
    <x:mergeCell ref="A14:J15"/>
    <x:mergeCell ref="A17:J17"/>
    <x:mergeCell ref="A18:J20"/>
    <x:mergeCell ref="A22:J22"/>
    <x:mergeCell ref="A23:J25"/>
    <x:mergeCell ref="A27:J27"/>
    <x:mergeCell ref="A28:J30"/>
    <x:mergeCell ref="A32:J32"/>
    <x:mergeCell ref="A33:J35"/>
    <x:mergeCell ref="A37:J37"/>
    <x:mergeCell ref="A38:J40"/>
    <x:mergeCell ref="A42:J42"/>
    <x:mergeCell ref="A43:J45"/>
    <x:mergeCell ref="A47:J47"/>
    <x:mergeCell ref="A48:J5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4" hidden="0" customWidth="1"/>
    <x:col min="3" max="3" width="8" hidden="0" customWidth="1"/>
    <x:col min="4" max="4" width="10" hidden="0" customWidth="1"/>
    <x:col min="5" max="5" width="16" hidden="0" customWidth="1"/>
    <x:col min="6" max="6" width="11" hidden="0" customWidth="1"/>
    <x:col min="7" max="7" width="12" hidden="0" customWidth="1"/>
    <x:col min="8" max="8" width="11" hidden="0" customWidth="1"/>
    <x:col min="9" max="9" width="11" hidden="0" customWidth="1"/>
    <x:col min="10" max="10" width="11" hidden="0" customWidth="1"/>
    <x:col min="11" max="11" width="13" hidden="0" customWidth="1"/>
    <x:col min="12" max="12" width="13" hidden="0" customWidth="1"/>
    <x:col min="13" max="13" width="15" hidden="0" customWidth="1"/>
    <x:col min="14" max="14" width="12" hidden="0" customWidth="1"/>
    <x:col min="15" max="15" width="48" hidden="0" customWidth="1"/>
    <x:col min="16" max="16" width="14" hidden="0" customWidth="1"/>
    <x:col min="17" max="17" width="14" hidden="0" customWidth="1"/>
    <x:col min="18" max="18" width="13" hidden="0" customWidth="1"/>
    <x:col min="19" max="19" width="14" hidden="0" customWidth="1"/>
    <x:col min="20" max="20" width="40" hidden="0" customWidth="1"/>
    <x:col min="21" max="21" width="12" hidden="0" customWidth="1"/>
    <x:col min="22" max="22" width="14" hidden="0" customWidth="1"/>
    <x:col min="23" max="23" width="16" hidden="0" customWidth="1"/>
    <x:col min="24" max="24" width="16" hidden="0" customWidth="1"/>
    <x:col min="25" max="25" width="22" hidden="0" customWidth="1"/>
    <x:col min="26" max="26" width="38" hidden="0" customWidth="1"/>
    <x:col min="27" max="27" width="38" hidden="0" customWidth="1"/>
  </x:cols>
  <x:sheetData>
    <x:row r="1" ht="26" customHeight="1">
      <x:c r="A1" s="76" t="str">
        <x:v>2026–27 NBA | CUSTOM DRAFT BOARD — 600 PLAYER MASTER</x:v>
      </x:c>
      <x:c r="B1" s="76"/>
      <x:c r="C1" s="76"/>
      <x:c r="D1" s="76"/>
      <x:c r="E1" s="76"/>
      <x:c r="F1" s="76"/>
      <x:c r="G1" s="76"/>
      <x:c r="H1" s="76"/>
      <x:c r="I1" s="76"/>
      <x:c r="J1" s="76"/>
      <x:c r="K1" s="76"/>
      <x:c r="L1" s="76"/>
      <x:c r="M1" s="76"/>
      <x:c r="N1" s="76"/>
      <x:c r="O1" s="76"/>
      <x:c r="P1" s="76"/>
      <x:c r="Q1" s="76"/>
      <x:c r="R1" s="76"/>
      <x:c r="S1" s="76"/>
      <x:c r="T1" s="76"/>
      <x:c r="U1" s="76"/>
      <x:c r="V1" s="76"/>
      <x:c r="W1" s="76"/>
      <x:c r="X1" s="76"/>
      <x:c r="Y1" s="76"/>
      <x:c r="Z1" s="76"/>
      <x:c r="AA1" s="76"/>
    </x:row>
    <x:row r="2" ht="24" customHeight="1">
      <x:c r="A2" s="81" t="str">
        <x:v>As of September 28, 2026. Original research board retained except one duplicate cleanup (Darius Acuff duplicate replaced by Jusuf Nurkic). Ranks 201–429 are conservative deep-pool model estimates using 2025–26 custom scoring plus 2026–27 roster/role context. Ranks 430–600 are camp/summer watch entries with no reliable fantasy projection; verify final rosters before draft day.</x:v>
      </x:c>
      <x:c r="B2" s="81"/>
      <x:c r="C2" s="81"/>
      <x:c r="D2" s="81"/>
      <x:c r="E2" s="81"/>
      <x:c r="F2" s="81"/>
      <x:c r="G2" s="81"/>
      <x:c r="H2" s="81"/>
      <x:c r="I2" s="81"/>
      <x:c r="J2" s="81"/>
      <x:c r="K2" s="81"/>
      <x:c r="L2" s="81"/>
      <x:c r="M2" s="81"/>
      <x:c r="N2" s="81"/>
      <x:c r="O2" s="81"/>
      <x:c r="P2" s="81"/>
      <x:c r="Q2" s="81"/>
      <x:c r="R2" s="81"/>
      <x:c r="S2" s="81"/>
      <x:c r="T2" s="81"/>
      <x:c r="U2" s="81"/>
      <x:c r="V2" s="81"/>
      <x:c r="W2" s="81"/>
      <x:c r="X2" s="81"/>
      <x:c r="Y2" s="81"/>
      <x:c r="Z2" s="81"/>
      <x:c r="AA2" s="81"/>
    </x:row>
    <x:row r="3" ht="24" customHeight="1">
      <x:c r="A3" s="81"/>
      <x:c r="B3" s="81"/>
      <x:c r="C3" s="81"/>
      <x:c r="D3" s="81"/>
      <x:c r="E3" s="81"/>
      <x:c r="F3" s="81"/>
      <x:c r="G3" s="81"/>
      <x:c r="H3" s="81"/>
      <x:c r="I3" s="81"/>
      <x:c r="J3" s="81"/>
      <x:c r="K3" s="81"/>
      <x:c r="L3" s="81"/>
      <x:c r="M3" s="81"/>
      <x:c r="N3" s="81"/>
      <x:c r="O3" s="81"/>
      <x:c r="P3" s="81"/>
      <x:c r="Q3" s="81"/>
      <x:c r="R3" s="81"/>
      <x:c r="S3" s="81"/>
      <x:c r="T3" s="81"/>
      <x:c r="U3" s="81"/>
      <x:c r="V3" s="81"/>
      <x:c r="W3" s="81"/>
      <x:c r="X3" s="81"/>
      <x:c r="Y3" s="81"/>
      <x:c r="Z3" s="81"/>
      <x:c r="AA3" s="81"/>
    </x:row>
    <x:row r="5" ht="26" customHeight="1">
      <x:c r="A5" s="44" t="str">
        <x:v>Overall</x:v>
      </x:c>
      <x:c r="B5" s="44" t="str">
        <x:v>Player</x:v>
      </x:c>
      <x:c r="C5" s="44" t="str">
        <x:v>Team</x:v>
      </x:c>
      <x:c r="D5" s="44" t="str">
        <x:v>Main group</x:v>
      </x:c>
      <x:c r="E5" s="44" t="str">
        <x:v>Source position tags</x:v>
      </x:c>
      <x:c r="F5" s="44" t="str">
        <x:v>2025-26 GP</x:v>
      </x:c>
      <x:c r="G5" s="44" t="str">
        <x:v>2025-26 FP/G</x:v>
      </x:c>
      <x:c r="H5" s="44" t="str">
        <x:v>2026-27 low</x:v>
      </x:c>
      <x:c r="I5" s="44" t="str">
        <x:v>2026-27 high</x:v>
      </x:c>
      <x:c r="J5" s="44" t="str">
        <x:v>Planning GP</x:v>
      </x:c>
      <x:c r="K5" s="44" t="str">
        <x:v>Risk</x:v>
      </x:c>
      <x:c r="L5" s="44" t="str">
        <x:v>2026-27 center</x:v>
      </x:c>
      <x:c r="M5" s="44" t="str">
        <x:v>Planning season FP</x:v>
      </x:c>
      <x:c r="N5" s="44" t="str">
        <x:v>Status</x:v>
      </x:c>
      <x:c r="O5" s="44" t="str">
        <x:v>Draft rationale</x:v>
      </x:c>
      <x:c r="P5" s="44" t="str">
        <x:v>FP custom FP/G</x:v>
      </x:c>
      <x:c r="Q5" s="44" t="str">
        <x:v>HT custom FP/G</x:v>
      </x:c>
      <x:c r="R5" s="44" t="str">
        <x:v>Raw consensus</x:v>
      </x:c>
      <x:c r="S5" s="44" t="str">
        <x:v>Analyst adjustment</x:v>
      </x:c>
      <x:c r="T5" s="44" t="str">
        <x:v>Context source</x:v>
      </x:c>
      <x:c r="U5" s="86" t="str">
        <x:v>Pool tier</x:v>
      </x:c>
      <x:c r="V5" s="86" t="str">
        <x:v>Data confidence</x:v>
      </x:c>
      <x:c r="W5" s="86" t="str">
        <x:v>Projection type</x:v>
      </x:c>
      <x:c r="X5" s="86" t="str">
        <x:v>Roster status</x:v>
      </x:c>
      <x:c r="Y5" s="86" t="str">
        <x:v>Verified / snapshot</x:v>
      </x:c>
      <x:c r="Z5" s="86" t="str">
        <x:v>Roster source</x:v>
      </x:c>
      <x:c r="AA5" s="86" t="str">
        <x:v>History source</x:v>
      </x:c>
    </x:row>
    <x:row r="6" ht="22" customHeight="1">
      <x:c r="A6" s="47" t="n">
        <x:v>1</x:v>
      </x:c>
      <x:c r="B6" t="str">
        <x:v>Nikola Jokic</x:v>
      </x:c>
      <x:c r="C6" t="str">
        <x:v>DEN</x:v>
      </x:c>
      <x:c r="D6" t="str">
        <x:v>C</x:v>
      </x:c>
      <x:c r="E6" t="str">
        <x:v>C</x:v>
      </x:c>
      <x:c r="F6" s="47" t="n">
        <x:v>65</x:v>
      </x:c>
      <x:c r="G6" s="22" t="n">
        <x:v>68.15</x:v>
      </x:c>
      <x:c r="H6" s="22" t="n">
        <x:v>64.2253229466321</x:v>
      </x:c>
      <x:c r="I6" s="22" t="n">
        <x:v>71.2253229466321</x:v>
      </x:c>
      <x:c r="J6" s="22" t="n">
        <x:v>75</x:v>
      </x:c>
      <x:c r="K6" s="22" t="str">
        <x:v>STANDARD</x:v>
      </x:c>
      <x:c r="L6" s="22" t="n">
        <x:v>67.7253229466321</x:v>
      </x:c>
      <x:c r="M6" s="30" t="n">
        <x:v>5079.399220997408</x:v>
      </x:c>
      <x:c r="N6" s="18" t="str">
        <x:v>Available</x:v>
      </x:c>
      <x:c r="O6" s="16" t="str">
        <x:v>Best overall fit: scoring efficiency, assists and offensive boards; clear first pick.</x:v>
      </x:c>
      <x:c r="P6" s="22" t="n">
        <x:v>66.54892175533318</x:v>
      </x:c>
      <x:c r="Q6" s="22" t="n">
        <x:v>68.90172413793101</x:v>
      </x:c>
      <x:c r="R6" s="22" t="n">
        <x:v>67.7253229466321</x:v>
      </x:c>
      <x:c r="S6" s="22" t="n">
        <x:v>0</x:v>
      </x:c>
      <x:c r="T6" t="str">
        <x:v>https://www.fantasypros.com/nba/projections/overall.php | https://hashtagbasketball.com/fantasy-basketball-projections</x:v>
      </x:c>
      <x:c r="U6" s="49" t="str">
        <x:v>CORE</x:v>
      </x:c>
      <x:c r="V6" s="49" t="str">
        <x:v>HIGH</x:v>
      </x:c>
      <x:c r="W6" s="49" t="str">
        <x:v>DRAFT_DAY_BLEND</x:v>
      </x:c>
      <x:c r="X6" s="49" t="str">
        <x:v>TOP-200 RESEARCH</x:v>
      </x:c>
      <x:c r="Y6" s="49" t="str">
        <x:v>2026-10-10</x:v>
      </x:c>
      <x:c r="Z6" s="50" t="str">
        <x:v>https://www.nba.com/players</x:v>
      </x:c>
      <x:c r="AA6" s="50" t="str">
        <x:v>https://basketball.realgm.com/nba/stats/2026/Averages/All/points/All/desc/1/Regular_Season</x:v>
      </x:c>
    </x:row>
    <x:row r="7" ht="22" customHeight="1">
      <x:c r="A7" s="47" t="n">
        <x:v>2</x:v>
      </x:c>
      <x:c r="B7" t="str">
        <x:v>Shai Gilgeous-Alexander</x:v>
      </x:c>
      <x:c r="C7" t="str">
        <x:v>OKC</x:v>
      </x:c>
      <x:c r="D7" t="str">
        <x:v>PG</x:v>
      </x:c>
      <x:c r="E7" t="str">
        <x:v>PG</x:v>
      </x:c>
      <x:c r="F7" s="47" t="n">
        <x:v>68</x:v>
      </x:c>
      <x:c r="G7" s="22" t="n">
        <x:v>56.80000000000001</x:v>
      </x:c>
      <x:c r="H7" s="22" t="n">
        <x:v>53.74382007182563</x:v>
      </x:c>
      <x:c r="I7" s="22" t="n">
        <x:v>60.74382007182563</x:v>
      </x:c>
      <x:c r="J7" s="22" t="n">
        <x:v>77</x:v>
      </x:c>
      <x:c r="K7" s="22" t="str">
        <x:v>STANDARD</x:v>
      </x:c>
      <x:c r="L7" s="22" t="n">
        <x:v>57.24382007182563</x:v>
      </x:c>
      <x:c r="M7" s="30" t="n">
        <x:v>4407.774145530573</x:v>
      </x:c>
      <x:c r="N7" s="18" t="str">
        <x:v>Available</x:v>
      </x:c>
      <x:c r="O7" s="16" t="str">
        <x:v>Elite efficient guard; excellent first-round combination of per-game value and availability.</x:v>
      </x:c>
      <x:c r="P7" s="22" t="n">
        <x:v>56.276796770157276</x:v>
      </x:c>
      <x:c r="Q7" s="22" t="n">
        <x:v>58.21084337349399</x:v>
      </x:c>
      <x:c r="R7" s="22" t="n">
        <x:v>57.24382007182563</x:v>
      </x:c>
      <x:c r="S7" s="22" t="n">
        <x:v>0</x:v>
      </x:c>
      <x:c r="T7" t="str">
        <x:v>https://www.fantasypros.com/nba/projections/overall.php | https://hashtagbasketball.com/fantasy-basketball-projections</x:v>
      </x:c>
      <x:c r="U7" s="49" t="str">
        <x:v>CORE</x:v>
      </x:c>
      <x:c r="V7" s="49" t="str">
        <x:v>HIGH</x:v>
      </x:c>
      <x:c r="W7" s="49" t="str">
        <x:v>DRAFT_DAY_BLEND</x:v>
      </x:c>
      <x:c r="X7" s="49" t="str">
        <x:v>TOP-200 RESEARCH</x:v>
      </x:c>
      <x:c r="Y7" s="49" t="str">
        <x:v>2026-10-10</x:v>
      </x:c>
      <x:c r="Z7" s="50" t="str">
        <x:v>https://www.nba.com/players</x:v>
      </x:c>
      <x:c r="AA7" s="50" t="str">
        <x:v>https://basketball.realgm.com/nba/stats/2026/Averages/All/points/All/desc/1/Regular_Season</x:v>
      </x:c>
    </x:row>
    <x:row r="8" ht="22" customHeight="1">
      <x:c r="A8" s="47" t="n">
        <x:v>3</x:v>
      </x:c>
      <x:c r="B8" t="str">
        <x:v>Luka Doncic</x:v>
      </x:c>
      <x:c r="C8" t="str">
        <x:v>LAL</x:v>
      </x:c>
      <x:c r="D8" t="str">
        <x:v>PG</x:v>
      </x:c>
      <x:c r="E8" t="str">
        <x:v>PG/SG</x:v>
      </x:c>
      <x:c r="F8" s="47" t="n">
        <x:v>64</x:v>
      </x:c>
      <x:c r="G8" s="22" t="n">
        <x:v>59.30000000000001</x:v>
      </x:c>
      <x:c r="H8" s="22" t="n">
        <x:v>55.24899248740708</x:v>
      </x:c>
      <x:c r="I8" s="22" t="n">
        <x:v>62.24899248740708</x:v>
      </x:c>
      <x:c r="J8" s="22" t="n">
        <x:v>74</x:v>
      </x:c>
      <x:c r="K8" s="22" t="str">
        <x:v>STANDARD</x:v>
      </x:c>
      <x:c r="L8" s="22" t="n">
        <x:v>58.74899248740708</x:v>
      </x:c>
      <x:c r="M8" s="30" t="n">
        <x:v>4347.425444068124</x:v>
      </x:c>
      <x:c r="N8" s="18" t="str">
        <x:v>Available</x:v>
      </x:c>
      <x:c r="O8" s="16" t="str">
        <x:v>Incremental upside with LeBron gone; misses and turnovers still reduce raw scoring value.</x:v>
      </x:c>
      <x:c r="P8" s="22" t="n">
        <x:v>55.711392796043214</x:v>
      </x:c>
      <x:c r="Q8" s="22" t="n">
        <x:v>61.286592178770945</x:v>
      </x:c>
      <x:c r="R8" s="22" t="n">
        <x:v>58.49899248740708</x:v>
      </x:c>
      <x:c r="S8" s="22" t="n">
        <x:v>0.25</x:v>
      </x:c>
      <x:c r="T8" t="str">
        <x:v>https://www.fantasypros.com/nba/projections/overall.php | https://hashtagbasketball.com/fantasy-basketball-projections</x:v>
      </x:c>
      <x:c r="U8" s="49" t="str">
        <x:v>CORE</x:v>
      </x:c>
      <x:c r="V8" s="49" t="str">
        <x:v>HIGH</x:v>
      </x:c>
      <x:c r="W8" s="49" t="str">
        <x:v>DRAFT_DAY_BLEND</x:v>
      </x:c>
      <x:c r="X8" s="49" t="str">
        <x:v>TOP-200 RESEARCH</x:v>
      </x:c>
      <x:c r="Y8" s="49" t="str">
        <x:v>2026-10-10</x:v>
      </x:c>
      <x:c r="Z8" s="50" t="str">
        <x:v>https://www.nba.com/players</x:v>
      </x:c>
      <x:c r="AA8" s="50" t="str">
        <x:v>https://basketball.realgm.com/nba/stats/2026/Averages/All/points/All/desc/1/Regular_Season</x:v>
      </x:c>
    </x:row>
    <x:row r="9" ht="22" customHeight="1">
      <x:c r="A9" s="47" t="n">
        <x:v>4</x:v>
      </x:c>
      <x:c r="B9" t="str">
        <x:v>Giannis Antetokounmpo</x:v>
      </x:c>
      <x:c r="C9" t="str">
        <x:v>MIA</x:v>
      </x:c>
      <x:c r="D9" t="str">
        <x:v>PF</x:v>
      </x:c>
      <x:c r="E9" t="str">
        <x:v>PF/C</x:v>
      </x:c>
      <x:c r="F9" s="47" t="n">
        <x:v>36</x:v>
      </x:c>
      <x:c r="G9" s="22" t="n">
        <x:v>54.849999999999994</x:v>
      </x:c>
      <x:c r="H9" s="22" t="n">
        <x:v>57.382894323493865</x:v>
      </x:c>
      <x:c r="I9" s="22" t="n">
        <x:v>68.38289432349387</x:v>
      </x:c>
      <x:c r="J9" s="22" t="n">
        <x:v>73</x:v>
      </x:c>
      <x:c r="K9" s="22" t="str">
        <x:v>MEDIUM</x:v>
      </x:c>
      <x:c r="L9" s="22" t="n">
        <x:v>62.882894323493865</x:v>
      </x:c>
      <x:c r="M9" s="30" t="n">
        <x:v>4590.451285615052</x:v>
      </x:c>
      <x:c r="N9" s="18" t="str">
        <x:v>Available</x:v>
      </x:c>
      <x:c r="O9" s="16" t="str">
        <x:v>Miami move; huge per-game ceiling. Temper minutes and games assumptions after 36-game season.</x:v>
      </x:c>
      <x:c r="P9" s="22" t="n">
        <x:v>62.62547722830261</x:v>
      </x:c>
      <x:c r="Q9" s="22" t="n">
        <x:v>63.89031141868512</x:v>
      </x:c>
      <x:c r="R9" s="22" t="n">
        <x:v>63.257894323493865</x:v>
      </x:c>
      <x:c r="S9" s="22" t="n">
        <x:v>-0.375</x:v>
      </x:c>
      <x:c r="T9" t="str">
        <x:v>https://www.fantasypros.com/nba/projections/overall.php | https://hashtagbasketball.com/fantasy-basketball-projections</x:v>
      </x:c>
      <x:c r="U9" s="49" t="str">
        <x:v>CORE</x:v>
      </x:c>
      <x:c r="V9" s="49" t="str">
        <x:v>HIGH</x:v>
      </x:c>
      <x:c r="W9" s="49" t="str">
        <x:v>DRAFT_DAY_BLEND</x:v>
      </x:c>
      <x:c r="X9" s="49" t="str">
        <x:v>TOP-200 RESEARCH</x:v>
      </x:c>
      <x:c r="Y9" s="49" t="str">
        <x:v>2026-10-10</x:v>
      </x:c>
      <x:c r="Z9" s="50" t="str">
        <x:v>https://www.nba.com/players</x:v>
      </x:c>
      <x:c r="AA9" s="50" t="str">
        <x:v>https://basketball.realgm.com/nba/stats/2026/Averages/All/points/All/desc/1/Regular_Season</x:v>
      </x:c>
    </x:row>
    <x:row r="10" ht="22" customHeight="1">
      <x:c r="A10" s="47" t="n">
        <x:v>5</x:v>
      </x:c>
      <x:c r="B10" t="str">
        <x:v>Victor Wembanyama</x:v>
      </x:c>
      <x:c r="C10" t="str">
        <x:v>SAS</x:v>
      </x:c>
      <x:c r="D10" t="str">
        <x:v>C</x:v>
      </x:c>
      <x:c r="E10" t="str">
        <x:v>C</x:v>
      </x:c>
      <x:c r="F10" s="47" t="n">
        <x:v>64</x:v>
      </x:c>
      <x:c r="G10" s="22" t="n">
        <x:v>53.800000000000004</x:v>
      </x:c>
      <x:c r="H10" s="22" t="n">
        <x:v>48.56869647611466</x:v>
      </x:c>
      <x:c r="I10" s="22" t="n">
        <x:v>59.56869647611466</x:v>
      </x:c>
      <x:c r="J10" s="22" t="n">
        <x:v>73</x:v>
      </x:c>
      <x:c r="K10" s="22" t="str">
        <x:v>MEDIUM</x:v>
      </x:c>
      <x:c r="L10" s="22" t="n">
        <x:v>54.06869647611466</x:v>
      </x:c>
      <x:c r="M10" s="30" t="n">
        <x:v>3947.01484275637</x:v>
      </x:c>
      <x:c r="N10" s="18" t="str">
        <x:v>Available</x:v>
      </x:c>
      <x:c r="O10" s="16" t="str">
        <x:v>Elite, but blocks count only 1.5 here. Do not import a category-league No. 1 valuation.</x:v>
      </x:c>
      <x:c r="P10" s="22" t="n">
        <x:v>53.57300939058548</x:v>
      </x:c>
      <x:c r="Q10" s="22" t="n">
        <x:v>54.56438356164384</x:v>
      </x:c>
      <x:c r="R10" s="22" t="n">
        <x:v>54.06869647611466</x:v>
      </x:c>
      <x:c r="S10" s="22" t="n">
        <x:v>0</x:v>
      </x:c>
      <x:c r="T10" t="str">
        <x:v>https://www.fantasypros.com/nba/projections/overall.php | https://hashtagbasketball.com/fantasy-basketball-projections</x:v>
      </x:c>
      <x:c r="U10" s="49" t="str">
        <x:v>CORE</x:v>
      </x:c>
      <x:c r="V10" s="49" t="str">
        <x:v>HIGH</x:v>
      </x:c>
      <x:c r="W10" s="49" t="str">
        <x:v>DRAFT_DAY_BLEND</x:v>
      </x:c>
      <x:c r="X10" s="49" t="str">
        <x:v>TOP-200 RESEARCH</x:v>
      </x:c>
      <x:c r="Y10" s="49" t="str">
        <x:v>2026-10-10</x:v>
      </x:c>
      <x:c r="Z10" s="50" t="str">
        <x:v>https://www.nba.com/players</x:v>
      </x:c>
      <x:c r="AA10" s="50" t="str">
        <x:v>https://basketball.realgm.com/nba/stats/2026/Averages/All/points/All/desc/1/Regular_Season</x:v>
      </x:c>
    </x:row>
    <x:row r="11" ht="22" customHeight="1">
      <x:c r="A11" s="47" t="n">
        <x:v>6</x:v>
      </x:c>
      <x:c r="B11" t="str">
        <x:v>Karl-Anthony Towns</x:v>
      </x:c>
      <x:c r="C11" t="str">
        <x:v>NYK</x:v>
      </x:c>
      <x:c r="D11" t="str">
        <x:v>C</x:v>
      </x:c>
      <x:c r="E11" t="str">
        <x:v>PF/C</x:v>
      </x:c>
      <x:c r="F11" s="47" t="n">
        <x:v>75</x:v>
      </x:c>
      <x:c r="G11" s="22" t="n">
        <x:v>45.85</x:v>
      </x:c>
      <x:c r="H11" s="22" t="n">
        <x:v>45.14631987304449</x:v>
      </x:c>
      <x:c r="I11" s="22" t="n">
        <x:v>52.14631987304449</x:v>
      </x:c>
      <x:c r="J11" s="22" t="n">
        <x:v>74</x:v>
      </x:c>
      <x:c r="K11" s="22" t="str">
        <x:v>STANDARD</x:v>
      </x:c>
      <x:c r="L11" s="22" t="n">
        <x:v>48.64631987304449</x:v>
      </x:c>
      <x:c r="M11" s="30" t="n">
        <x:v>3599.827670605292</x:v>
      </x:c>
      <x:c r="N11" s="18" t="str">
        <x:v>Available</x:v>
      </x:c>
      <x:c r="O11" s="16" t="str">
        <x:v>Premium combination of offensive rebounding, shooting and scoring for this formula.</x:v>
      </x:c>
      <x:c r="P11" s="22" t="n">
        <x:v>48.982639746088985</x:v>
      </x:c>
      <x:c r="Q11" s="22" t="n">
        <x:v>48.309999999999995</x:v>
      </x:c>
      <x:c r="R11" s="22" t="n">
        <x:v>48.64631987304449</x:v>
      </x:c>
      <x:c r="S11" s="22" t="n">
        <x:v>0</x:v>
      </x:c>
      <x:c r="T11" t="str">
        <x:v>https://www.fantasypros.com/nba/projections/overall.php | https://hashtagbasketball.com/fantasy-basketball-projections</x:v>
      </x:c>
      <x:c r="U11" s="49" t="str">
        <x:v>CORE</x:v>
      </x:c>
      <x:c r="V11" s="49" t="str">
        <x:v>HIGH</x:v>
      </x:c>
      <x:c r="W11" s="49" t="str">
        <x:v>DRAFT_DAY_BLEND</x:v>
      </x:c>
      <x:c r="X11" s="49" t="str">
        <x:v>TOP-200 RESEARCH</x:v>
      </x:c>
      <x:c r="Y11" s="49" t="str">
        <x:v>2026-10-10</x:v>
      </x:c>
      <x:c r="Z11" s="50" t="str">
        <x:v>https://www.nba.com/players</x:v>
      </x:c>
      <x:c r="AA11" s="50" t="str">
        <x:v>https://basketball.realgm.com/nba/stats/2026/Averages/All/points/All/desc/1/Regular_Season</x:v>
      </x:c>
    </x:row>
    <x:row r="12" ht="22" customHeight="1">
      <x:c r="A12" s="47" t="n">
        <x:v>7</x:v>
      </x:c>
      <x:c r="B12" t="str">
        <x:v>Jayson Tatum</x:v>
      </x:c>
      <x:c r="C12" t="str">
        <x:v>BOS</x:v>
      </x:c>
      <x:c r="D12" t="str">
        <x:v>SF</x:v>
      </x:c>
      <x:c r="E12" t="str">
        <x:v>SF/PF</x:v>
      </x:c>
      <x:c r="F12" s="47" t="n">
        <x:v>16</x:v>
      </x:c>
      <x:c r="G12" s="22" t="n">
        <x:v>42.150000000000006</x:v>
      </x:c>
      <x:c r="H12" s="22" t="n">
        <x:v>42.7508360124095</x:v>
      </x:c>
      <x:c r="I12" s="22" t="n">
        <x:v>53.7508360124095</x:v>
      </x:c>
      <x:c r="J12" s="22" t="n">
        <x:v>74</x:v>
      </x:c>
      <x:c r="K12" s="22" t="str">
        <x:v>MEDIUM</x:v>
      </x:c>
      <x:c r="L12" s="22" t="n">
        <x:v>48.2508360124095</x:v>
      </x:c>
      <x:c r="M12" s="30" t="n">
        <x:v>3570.561864918303</x:v>
      </x:c>
      <x:c r="N12" s="18" t="str">
        <x:v>Available</x:v>
      </x:c>
      <x:c r="O12" s="16" t="str">
        <x:v>Boston's central scorer again; 16-game 2025-26 sample is not a full-season baseline.</x:v>
      </x:c>
      <x:c r="P12" s="22" t="n">
        <x:v>48.16792969353066</x:v>
      </x:c>
      <x:c r="Q12" s="22" t="n">
        <x:v>48.33374233128834</x:v>
      </x:c>
      <x:c r="R12" s="22" t="n">
        <x:v>48.2508360124095</x:v>
      </x:c>
      <x:c r="S12" s="22" t="n">
        <x:v>0</x:v>
      </x:c>
      <x:c r="T12" t="str">
        <x:v>https://www.fantasypros.com/nba/projections/overall.php | https://hashtagbasketball.com/fantasy-basketball-projections</x:v>
      </x:c>
      <x:c r="U12" s="49" t="str">
        <x:v>CORE</x:v>
      </x:c>
      <x:c r="V12" s="49" t="str">
        <x:v>HIGH</x:v>
      </x:c>
      <x:c r="W12" s="49" t="str">
        <x:v>DRAFT_DAY_BLEND</x:v>
      </x:c>
      <x:c r="X12" s="49" t="str">
        <x:v>TOP-200 RESEARCH</x:v>
      </x:c>
      <x:c r="Y12" s="49" t="str">
        <x:v>2026-10-10</x:v>
      </x:c>
      <x:c r="Z12" s="50" t="str">
        <x:v>https://www.nba.com/players</x:v>
      </x:c>
      <x:c r="AA12" s="50" t="str">
        <x:v>https://basketball.realgm.com/nba/stats/2026/Averages/All/points/All/desc/1/Regular_Season</x:v>
      </x:c>
    </x:row>
    <x:row r="13" ht="22" customHeight="1">
      <x:c r="A13" s="47" t="n">
        <x:v>8</x:v>
      </x:c>
      <x:c r="B13" t="str">
        <x:v>Cade Cunningham</x:v>
      </x:c>
      <x:c r="C13" t="str">
        <x:v>DET</x:v>
      </x:c>
      <x:c r="D13" t="str">
        <x:v>PG</x:v>
      </x:c>
      <x:c r="E13" t="str">
        <x:v>PG/SG</x:v>
      </x:c>
      <x:c r="F13" s="47" t="n">
        <x:v>64</x:v>
      </x:c>
      <x:c r="G13" s="22" t="n">
        <x:v>46.85000000000001</x:v>
      </x:c>
      <x:c r="H13" s="22" t="n">
        <x:v>43.527196440059626</x:v>
      </x:c>
      <x:c r="I13" s="22" t="n">
        <x:v>50.527196440059626</x:v>
      </x:c>
      <x:c r="J13" s="22" t="n">
        <x:v>74</x:v>
      </x:c>
      <x:c r="K13" s="22" t="str">
        <x:v>STANDARD</x:v>
      </x:c>
      <x:c r="L13" s="22" t="n">
        <x:v>47.027196440059626</x:v>
      </x:c>
      <x:c r="M13" s="30" t="n">
        <x:v>3480.012536564412</x:v>
      </x:c>
      <x:c r="N13" s="18" t="str">
        <x:v>Available</x:v>
      </x:c>
      <x:c r="O13" s="16" t="str">
        <x:v>Core guard target; assists help, but turnovers stop him matching the top three.</x:v>
      </x:c>
      <x:c r="P13" s="22" t="n">
        <x:v>46.854392880119235</x:v>
      </x:c>
      <x:c r="Q13" s="22" t="n">
        <x:v>47.20000000000002</x:v>
      </x:c>
      <x:c r="R13" s="22" t="n">
        <x:v>47.027196440059626</x:v>
      </x:c>
      <x:c r="S13" s="22" t="n">
        <x:v>0</x:v>
      </x:c>
      <x:c r="T13" t="str">
        <x:v>https://www.fantasypros.com/nba/projections/overall.php | https://hashtagbasketball.com/fantasy-basketball-projections</x:v>
      </x:c>
      <x:c r="U13" s="49" t="str">
        <x:v>CORE</x:v>
      </x:c>
      <x:c r="V13" s="49" t="str">
        <x:v>HIGH</x:v>
      </x:c>
      <x:c r="W13" s="49" t="str">
        <x:v>DRAFT_DAY_BLEND</x:v>
      </x:c>
      <x:c r="X13" s="49" t="str">
        <x:v>TOP-200 RESEARCH</x:v>
      </x:c>
      <x:c r="Y13" s="49" t="str">
        <x:v>2026-10-10</x:v>
      </x:c>
      <x:c r="Z13" s="50" t="str">
        <x:v>https://www.nba.com/players</x:v>
      </x:c>
      <x:c r="AA13" s="50" t="str">
        <x:v>https://basketball.realgm.com/nba/stats/2026/Averages/All/points/All/desc/1/Regular_Season</x:v>
      </x:c>
    </x:row>
    <x:row r="14" ht="22" customHeight="1">
      <x:c r="A14" s="47" t="n">
        <x:v>9</x:v>
      </x:c>
      <x:c r="B14" t="str">
        <x:v>Anthony Edwards</x:v>
      </x:c>
      <x:c r="C14" t="str">
        <x:v>MIN</x:v>
      </x:c>
      <x:c r="D14" t="str">
        <x:v>SG</x:v>
      </x:c>
      <x:c r="E14" t="str">
        <x:v>PG/SF/SG</x:v>
      </x:c>
      <x:c r="F14" s="47" t="n">
        <x:v>61</x:v>
      </x:c>
      <x:c r="G14" s="22" t="n">
        <x:v>45.95000000000002</x:v>
      </x:c>
      <x:c r="H14" s="22" t="n">
        <x:v>42.416341830429246</x:v>
      </x:c>
      <x:c r="I14" s="22" t="n">
        <x:v>49.416341830429246</x:v>
      </x:c>
      <x:c r="J14" s="22" t="n">
        <x:v>75</x:v>
      </x:c>
      <x:c r="K14" s="22" t="str">
        <x:v>STANDARD</x:v>
      </x:c>
      <x:c r="L14" s="22" t="n">
        <x:v>45.916341830429246</x:v>
      </x:c>
      <x:c r="M14" s="30" t="n">
        <x:v>3443.7256372821935</x:v>
      </x:c>
      <x:c r="N14" s="18" t="str">
        <x:v>Available</x:v>
      </x:c>
      <x:c r="O14" s="16" t="str">
        <x:v>Minnesota now includes LaMelo; avoid assuming both get full primary-handler usage.</x:v>
      </x:c>
      <x:c r="P14" s="22" t="n">
        <x:v>46.32239794657277</x:v>
      </x:c>
      <x:c r="Q14" s="22" t="n">
        <x:v>45.510285714285715</x:v>
      </x:c>
      <x:c r="R14" s="22" t="n">
        <x:v>45.916341830429246</x:v>
      </x:c>
      <x:c r="S14" s="22" t="n">
        <x:v>0</x:v>
      </x:c>
      <x:c r="T14" t="str">
        <x:v>https://www.fantasypros.com/nba/projections/overall.php | https://hashtagbasketball.com/fantasy-basketball-projections</x:v>
      </x:c>
      <x:c r="U14" s="49" t="str">
        <x:v>CORE</x:v>
      </x:c>
      <x:c r="V14" s="49" t="str">
        <x:v>HIGH</x:v>
      </x:c>
      <x:c r="W14" s="49" t="str">
        <x:v>DRAFT_DAY_BLEND</x:v>
      </x:c>
      <x:c r="X14" s="49" t="str">
        <x:v>TOP-200 RESEARCH</x:v>
      </x:c>
      <x:c r="Y14" s="49" t="str">
        <x:v>2026-10-10</x:v>
      </x:c>
      <x:c r="Z14" s="50" t="str">
        <x:v>https://www.nba.com/players</x:v>
      </x:c>
      <x:c r="AA14" s="50" t="str">
        <x:v>https://basketball.realgm.com/nba/stats/2026/Averages/All/points/All/desc/1/Regular_Season</x:v>
      </x:c>
    </x:row>
    <x:row r="15" ht="22" customHeight="1">
      <x:c r="A15" s="47" t="n">
        <x:v>10</x:v>
      </x:c>
      <x:c r="B15" t="str">
        <x:v>Jalen Johnson</x:v>
      </x:c>
      <x:c r="C15" t="str">
        <x:v>ATL</x:v>
      </x:c>
      <x:c r="D15" t="str">
        <x:v>PF</x:v>
      </x:c>
      <x:c r="E15" t="str">
        <x:v>PF/SF</x:v>
      </x:c>
      <x:c r="F15" s="47" t="n">
        <x:v>72</x:v>
      </x:c>
      <x:c r="G15" s="22" t="n">
        <x:v>47.95000000000001</x:v>
      </x:c>
      <x:c r="H15" s="22" t="n">
        <x:v>42.372139640271136</x:v>
      </x:c>
      <x:c r="I15" s="22" t="n">
        <x:v>49.372139640271136</x:v>
      </x:c>
      <x:c r="J15" s="22" t="n">
        <x:v>75</x:v>
      </x:c>
      <x:c r="K15" s="22" t="str">
        <x:v>STANDARD</x:v>
      </x:c>
      <x:c r="L15" s="22" t="n">
        <x:v>45.872139640271136</x:v>
      </x:c>
      <x:c r="M15" s="30" t="n">
        <x:v>3440.4104730203353</x:v>
      </x:c>
      <x:c r="N15" s="18" t="str">
        <x:v>Available</x:v>
      </x:c>
      <x:c r="O15" s="16" t="str">
        <x:v>Strong all-around production; slight growth preference over the consensus input.</x:v>
      </x:c>
      <x:c r="P15" s="22" t="n">
        <x:v>45.80223382599683</x:v>
      </x:c>
      <x:c r="Q15" s="22" t="n">
        <x:v>45.44204545454544</x:v>
      </x:c>
      <x:c r="R15" s="22" t="n">
        <x:v>45.622139640271136</x:v>
      </x:c>
      <x:c r="S15" s="22" t="n">
        <x:v>0.25</x:v>
      </x:c>
      <x:c r="T15" t="str">
        <x:v>https://www.fantasypros.com/nba/projections/overall.php | https://hashtagbasketball.com/fantasy-basketball-projections</x:v>
      </x:c>
      <x:c r="U15" s="49" t="str">
        <x:v>CORE</x:v>
      </x:c>
      <x:c r="V15" s="49" t="str">
        <x:v>HIGH</x:v>
      </x:c>
      <x:c r="W15" s="49" t="str">
        <x:v>DRAFT_DAY_BLEND</x:v>
      </x:c>
      <x:c r="X15" s="49" t="str">
        <x:v>TOP-200 RESEARCH</x:v>
      </x:c>
      <x:c r="Y15" s="49" t="str">
        <x:v>2026-10-10</x:v>
      </x:c>
      <x:c r="Z15" s="50" t="str">
        <x:v>https://www.nba.com/players</x:v>
      </x:c>
      <x:c r="AA15" s="50" t="str">
        <x:v>https://basketball.realgm.com/nba/stats/2026/Averages/All/points/All/desc/1/Regular_Season</x:v>
      </x:c>
    </x:row>
    <x:row r="16" ht="22" customHeight="1">
      <x:c r="A16" s="47" t="n">
        <x:v>11</x:v>
      </x:c>
      <x:c r="B16" t="str">
        <x:v>Donovan Mitchell</x:v>
      </x:c>
      <x:c r="C16" t="str">
        <x:v>CLE</x:v>
      </x:c>
      <x:c r="D16" t="str">
        <x:v>SG</x:v>
      </x:c>
      <x:c r="E16" t="str">
        <x:v>PG/SG</x:v>
      </x:c>
      <x:c r="F16" s="47" t="n">
        <x:v>70</x:v>
      </x:c>
      <x:c r="G16" s="22" t="n">
        <x:v>47.29999999999999</x:v>
      </x:c>
      <x:c r="H16" s="22" t="n">
        <x:v>41.75042014745523</x:v>
      </x:c>
      <x:c r="I16" s="22" t="n">
        <x:v>48.75042014745523</x:v>
      </x:c>
      <x:c r="J16" s="22" t="n">
        <x:v>75</x:v>
      </x:c>
      <x:c r="K16" s="22" t="str">
        <x:v>STANDARD</x:v>
      </x:c>
      <x:c r="L16" s="22" t="n">
        <x:v>45.25042014745523</x:v>
      </x:c>
      <x:c r="M16" s="30" t="n">
        <x:v>3393.7815110591423</x:v>
      </x:c>
      <x:c r="N16" s="18" t="str">
        <x:v>Available</x:v>
      </x:c>
      <x:c r="O16" s="16" t="str">
        <x:v>Cleveland's Harden partnership already reflected in baseline; strong scoring-efficiency target.</x:v>
      </x:c>
      <x:c r="P16" s="22" t="n">
        <x:v>45.35501939938806</x:v>
      </x:c>
      <x:c r="Q16" s="22" t="n">
        <x:v>45.1458208955224</x:v>
      </x:c>
      <x:c r="R16" s="22" t="n">
        <x:v>45.25042014745523</x:v>
      </x:c>
      <x:c r="S16" s="22" t="n">
        <x:v>0</x:v>
      </x:c>
      <x:c r="T16" t="str">
        <x:v>https://www.fantasypros.com/nba/projections/overall.php | https://hashtagbasketball.com/fantasy-basketball-projections</x:v>
      </x:c>
      <x:c r="U16" s="49" t="str">
        <x:v>CORE</x:v>
      </x:c>
      <x:c r="V16" s="49" t="str">
        <x:v>HIGH</x:v>
      </x:c>
      <x:c r="W16" s="49" t="str">
        <x:v>DRAFT_DAY_BLEND</x:v>
      </x:c>
      <x:c r="X16" s="49" t="str">
        <x:v>TOP-200 RESEARCH</x:v>
      </x:c>
      <x:c r="Y16" s="49" t="str">
        <x:v>2026-10-10</x:v>
      </x:c>
      <x:c r="Z16" s="50" t="str">
        <x:v>https://www.nba.com/players</x:v>
      </x:c>
      <x:c r="AA16" s="50" t="str">
        <x:v>https://basketball.realgm.com/nba/stats/2026/Averages/All/points/All/desc/1/Regular_Season</x:v>
      </x:c>
    </x:row>
    <x:row r="17" ht="22" customHeight="1">
      <x:c r="A17" s="47" t="n">
        <x:v>12</x:v>
      </x:c>
      <x:c r="B17" t="str">
        <x:v>Domantas Sabonis</x:v>
      </x:c>
      <x:c r="C17" t="str">
        <x:v>SAC</x:v>
      </x:c>
      <x:c r="D17" t="str">
        <x:v>C</x:v>
      </x:c>
      <x:c r="E17" t="str">
        <x:v>C/PF</x:v>
      </x:c>
      <x:c r="F17" s="47" t="n">
        <x:v>19</x:v>
      </x:c>
      <x:c r="G17" s="22" t="n">
        <x:v>39.849999999999994</x:v>
      </x:c>
      <x:c r="H17" s="22" t="n">
        <x:v>42.02489100370942</x:v>
      </x:c>
      <x:c r="I17" s="22" t="n">
        <x:v>53.02489100370942</x:v>
      </x:c>
      <x:c r="J17" s="22" t="n">
        <x:v>70</x:v>
      </x:c>
      <x:c r="K17" s="22" t="str">
        <x:v>MEDIUM</x:v>
      </x:c>
      <x:c r="L17" s="22" t="n">
        <x:v>47.52489100370942</x:v>
      </x:c>
      <x:c r="M17" s="30" t="n">
        <x:v>3326.7423702596593</x:v>
      </x:c>
      <x:c r="N17" s="18" t="str">
        <x:v>Available</x:v>
      </x:c>
      <x:c r="O17" s="16" t="str">
        <x:v>Preseason absence/issue merits a small buffer, not a major downgrade absent a serious timetable.</x:v>
      </x:c>
      <x:c r="P17" s="22" t="n">
        <x:v>47.77489100370942</x:v>
      </x:c>
      <x:c r="Q17" s="22"/>
      <x:c r="R17" s="22" t="n">
        <x:v>47.77489100370942</x:v>
      </x:c>
      <x:c r="S17" s="22" t="n">
        <x:v>-0.25</x:v>
      </x:c>
      <x:c r="T17" t="str">
        <x:v>https://www.fantasypros.com/nba/projections/overall.php</x:v>
      </x:c>
      <x:c r="U17" s="49" t="str">
        <x:v>CORE</x:v>
      </x:c>
      <x:c r="V17" s="49" t="str">
        <x:v>HIGH</x:v>
      </x:c>
      <x:c r="W17" s="49" t="str">
        <x:v>DRAFT_DAY_FP</x:v>
      </x:c>
      <x:c r="X17" s="49" t="str">
        <x:v>TOP-200 RESEARCH</x:v>
      </x:c>
      <x:c r="Y17" s="49" t="str">
        <x:v>2026-10-10</x:v>
      </x:c>
      <x:c r="Z17" s="50" t="str">
        <x:v>https://www.nba.com/players</x:v>
      </x:c>
      <x:c r="AA17" s="50" t="str">
        <x:v>https://basketball.realgm.com/nba/stats/2026/Averages/All/points/All/desc/1/Regular_Season</x:v>
      </x:c>
    </x:row>
    <x:row r="18" ht="22" customHeight="1">
      <x:c r="A18" s="47" t="n">
        <x:v>13</x:v>
      </x:c>
      <x:c r="B18" t="str">
        <x:v>Jalen Duren</x:v>
      </x:c>
      <x:c r="C18" t="str">
        <x:v>DET</x:v>
      </x:c>
      <x:c r="D18" t="str">
        <x:v>C</x:v>
      </x:c>
      <x:c r="E18" t="str">
        <x:v>C</x:v>
      </x:c>
      <x:c r="F18" s="47" t="n">
        <x:v>70</x:v>
      </x:c>
      <x:c r="G18" s="22" t="n">
        <x:v>46.20000000000001</x:v>
      </x:c>
      <x:c r="H18" s="22" t="n">
        <x:v>42.40592283030289</x:v>
      </x:c>
      <x:c r="I18" s="22" t="n">
        <x:v>49.40592283030289</x:v>
      </x:c>
      <x:c r="J18" s="22" t="n">
        <x:v>73</x:v>
      </x:c>
      <x:c r="K18" s="22" t="str">
        <x:v>STANDARD</x:v>
      </x:c>
      <x:c r="L18" s="22" t="n">
        <x:v>45.90592283030289</x:v>
      </x:c>
      <x:c r="M18" s="30" t="n">
        <x:v>3351.132366612111</x:v>
      </x:c>
      <x:c r="N18" s="18" t="str">
        <x:v>Available</x:v>
      </x:c>
      <x:c r="O18" s="16" t="str">
        <x:v>Contract resolved: five-year extension signed; back practicing and expected to play in preseason. Remove prior holdout/contract discount.</x:v>
      </x:c>
      <x:c r="P18" s="22" t="n">
        <x:v>45.90592283030289</x:v>
      </x:c>
      <x:c r="Q18" s="22"/>
      <x:c r="R18" s="22" t="n">
        <x:v>45.90592283030289</x:v>
      </x:c>
      <x:c r="S18" s="22" t="n">
        <x:v>0</x:v>
      </x:c>
      <x:c r="T18" t="str">
        <x:v>https://www.nba.com/news/pistons-jalen-duren-rookie-extension</x:v>
      </x:c>
      <x:c r="U18" s="49" t="str">
        <x:v>CORE</x:v>
      </x:c>
      <x:c r="V18" s="49" t="str">
        <x:v>HIGH</x:v>
      </x:c>
      <x:c r="W18" s="49" t="str">
        <x:v>DRAFT_DAY_FP</x:v>
      </x:c>
      <x:c r="X18" s="49" t="str">
        <x:v>TOP-200 RESEARCH</x:v>
      </x:c>
      <x:c r="Y18" s="49" t="str">
        <x:v>2026-10-10</x:v>
      </x:c>
      <x:c r="Z18" s="50" t="str">
        <x:v>https://www.nba.com/players</x:v>
      </x:c>
      <x:c r="AA18" s="50" t="str">
        <x:v>https://basketball.realgm.com/nba/stats/2026/Averages/All/points/All/desc/1/Regular_Season</x:v>
      </x:c>
    </x:row>
    <x:row r="19" ht="22" customHeight="1">
      <x:c r="A19" s="47" t="n">
        <x:v>14</x:v>
      </x:c>
      <x:c r="B19" t="str">
        <x:v>Alperen Sengun</x:v>
      </x:c>
      <x:c r="C19" t="str">
        <x:v>HOU</x:v>
      </x:c>
      <x:c r="D19" t="str">
        <x:v>C</x:v>
      </x:c>
      <x:c r="E19" t="str">
        <x:v>C/PF</x:v>
      </x:c>
      <x:c r="F19" s="47" t="n">
        <x:v>72</x:v>
      </x:c>
      <x:c r="G19" s="22" t="n">
        <x:v>45.449999999999996</x:v>
      </x:c>
      <x:c r="H19" s="22" t="n">
        <x:v>40.20955840348095</x:v>
      </x:c>
      <x:c r="I19" s="22" t="n">
        <x:v>47.20955840348095</x:v>
      </x:c>
      <x:c r="J19" s="22" t="n">
        <x:v>75</x:v>
      </x:c>
      <x:c r="K19" s="22" t="str">
        <x:v>STANDARD</x:v>
      </x:c>
      <x:c r="L19" s="22" t="n">
        <x:v>43.70955840348095</x:v>
      </x:c>
      <x:c r="M19" s="30" t="n">
        <x:v>3278.216880261071</x:v>
      </x:c>
      <x:c r="N19" s="18" t="str">
        <x:v>Available</x:v>
      </x:c>
      <x:c r="O19" s="16" t="str">
        <x:v>High-value big-man blend; slight growth adjustment, not an assumption of unlimited touches.</x:v>
      </x:c>
      <x:c r="P19" s="22" t="n">
        <x:v>43.58455840348095</x:v>
      </x:c>
      <x:c r="Q19" s="22"/>
      <x:c r="R19" s="22" t="n">
        <x:v>43.58455840348095</x:v>
      </x:c>
      <x:c r="S19" s="22" t="n">
        <x:v>0.125</x:v>
      </x:c>
      <x:c r="T19" t="str">
        <x:v>https://www.fantasypros.com/nba/projections/overall.php</x:v>
      </x:c>
      <x:c r="U19" s="49" t="str">
        <x:v>CORE</x:v>
      </x:c>
      <x:c r="V19" s="49" t="str">
        <x:v>HIGH</x:v>
      </x:c>
      <x:c r="W19" s="49" t="str">
        <x:v>DRAFT_DAY_FP</x:v>
      </x:c>
      <x:c r="X19" s="49" t="str">
        <x:v>TOP-200 RESEARCH</x:v>
      </x:c>
      <x:c r="Y19" s="49" t="str">
        <x:v>2026-10-10</x:v>
      </x:c>
      <x:c r="Z19" s="50" t="str">
        <x:v>https://www.nba.com/players</x:v>
      </x:c>
      <x:c r="AA19" s="50" t="str">
        <x:v>https://basketball.realgm.com/nba/stats/2026/Averages/All/points/All/desc/1/Regular_Season</x:v>
      </x:c>
    </x:row>
    <x:row r="20" ht="22" customHeight="1">
      <x:c r="A20" s="47" t="n">
        <x:v>15</x:v>
      </x:c>
      <x:c r="B20" t="str">
        <x:v>Cooper Flagg</x:v>
      </x:c>
      <x:c r="C20" t="str">
        <x:v>DAL</x:v>
      </x:c>
      <x:c r="D20" t="str">
        <x:v>SF</x:v>
      </x:c>
      <x:c r="E20" t="str">
        <x:v>PF/SF/SG</x:v>
      </x:c>
      <x:c r="F20" s="47" t="n">
        <x:v>70</x:v>
      </x:c>
      <x:c r="G20" s="22" t="n">
        <x:v>39</x:v>
      </x:c>
      <x:c r="H20" s="22" t="n">
        <x:v>40.332371397136114</x:v>
      </x:c>
      <x:c r="I20" s="22" t="n">
        <x:v>47.332371397136114</x:v>
      </x:c>
      <x:c r="J20" s="22" t="n">
        <x:v>75</x:v>
      </x:c>
      <x:c r="K20" s="22" t="str">
        <x:v>STANDARD</x:v>
      </x:c>
      <x:c r="L20" s="22" t="n">
        <x:v>43.832371397136114</x:v>
      </x:c>
      <x:c r="M20" s="30" t="n">
        <x:v>3287.4278547852086</x:v>
      </x:c>
      <x:c r="N20" s="18" t="str">
        <x:v>Available</x:v>
      </x:c>
      <x:c r="O20" s="16" t="str">
        <x:v>Second-year growth case; slight upside adjustment, with a wider range than established stars.</x:v>
      </x:c>
      <x:c r="P20" s="22" t="n">
        <x:v>43.171757719645356</x:v>
      </x:c>
      <x:c r="Q20" s="22" t="n">
        <x:v>43.99298507462687</x:v>
      </x:c>
      <x:c r="R20" s="22" t="n">
        <x:v>43.582371397136114</x:v>
      </x:c>
      <x:c r="S20" s="22" t="n">
        <x:v>0.25</x:v>
      </x:c>
      <x:c r="T20" t="str">
        <x:v>https://www.fantasypros.com/nba/projections/overall.php | https://hashtagbasketball.com/fantasy-basketball-projections</x:v>
      </x:c>
      <x:c r="U20" s="49" t="str">
        <x:v>CORE</x:v>
      </x:c>
      <x:c r="V20" s="49" t="str">
        <x:v>HIGH</x:v>
      </x:c>
      <x:c r="W20" s="49" t="str">
        <x:v>DRAFT_DAY_BLEND</x:v>
      </x:c>
      <x:c r="X20" s="49" t="str">
        <x:v>TOP-200 RESEARCH</x:v>
      </x:c>
      <x:c r="Y20" s="49" t="str">
        <x:v>2026-10-10</x:v>
      </x:c>
      <x:c r="Z20" s="50" t="str">
        <x:v>https://www.nba.com/players</x:v>
      </x:c>
      <x:c r="AA20" s="50" t="str">
        <x:v>https://basketball.realgm.com/nba/stats/2026/Averages/All/points/All/desc/1/Regular_Season</x:v>
      </x:c>
    </x:row>
    <x:row r="21" ht="22" customHeight="1">
      <x:c r="A21" s="47" t="n">
        <x:v>16</x:v>
      </x:c>
      <x:c r="B21" t="str">
        <x:v>Tyrese Maxey</x:v>
      </x:c>
      <x:c r="C21" t="str">
        <x:v>PHI</x:v>
      </x:c>
      <x:c r="D21" t="str">
        <x:v>PG</x:v>
      </x:c>
      <x:c r="E21" t="str">
        <x:v>PG/SG</x:v>
      </x:c>
      <x:c r="F21" s="47" t="n">
        <x:v>70</x:v>
      </x:c>
      <x:c r="G21" s="22" t="n">
        <x:v>49.2</x:v>
      </x:c>
      <x:c r="H21" s="22" t="n">
        <x:v>39.54639282818544</x:v>
      </x:c>
      <x:c r="I21" s="22" t="n">
        <x:v>46.54639282818544</x:v>
      </x:c>
      <x:c r="J21" s="22" t="n">
        <x:v>75</x:v>
      </x:c>
      <x:c r="K21" s="22" t="str">
        <x:v>STANDARD</x:v>
      </x:c>
      <x:c r="L21" s="22" t="n">
        <x:v>43.04639282818544</x:v>
      </x:c>
      <x:c r="M21" s="30" t="n">
        <x:v>3228.479462113908</x:v>
      </x:c>
      <x:c r="N21" s="18" t="str">
        <x:v>Available</x:v>
      </x:c>
      <x:c r="O21" s="16" t="str">
        <x:v>Philadelphia's crowded star rotation warrants a substantial fall from last season.</x:v>
      </x:c>
      <x:c r="P21" s="22" t="n">
        <x:v>44.122785656370866</x:v>
      </x:c>
      <x:c r="Q21" s="22" t="n">
        <x:v>42.22000000000001</x:v>
      </x:c>
      <x:c r="R21" s="22" t="n">
        <x:v>43.17139282818544</x:v>
      </x:c>
      <x:c r="S21" s="22" t="n">
        <x:v>-0.125</x:v>
      </x:c>
      <x:c r="T21" t="str">
        <x:v>https://www.fantasypros.com/nba/projections/overall.php | https://hashtagbasketball.com/fantasy-basketball-projections</x:v>
      </x:c>
      <x:c r="U21" s="49" t="str">
        <x:v>CORE</x:v>
      </x:c>
      <x:c r="V21" s="49" t="str">
        <x:v>HIGH</x:v>
      </x:c>
      <x:c r="W21" s="49" t="str">
        <x:v>DRAFT_DAY_BLEND</x:v>
      </x:c>
      <x:c r="X21" s="49" t="str">
        <x:v>TOP-200 RESEARCH</x:v>
      </x:c>
      <x:c r="Y21" s="49" t="str">
        <x:v>2026-10-10</x:v>
      </x:c>
      <x:c r="Z21" s="50" t="str">
        <x:v>https://www.nba.com/players</x:v>
      </x:c>
      <x:c r="AA21" s="50" t="str">
        <x:v>https://basketball.realgm.com/nba/stats/2026/Averages/All/points/All/desc/1/Regular_Season</x:v>
      </x:c>
    </x:row>
    <x:row r="22" ht="22" customHeight="1">
      <x:c r="A22" s="47" t="n">
        <x:v>17</x:v>
      </x:c>
      <x:c r="B22" t="str">
        <x:v>Anthony Davis</x:v>
      </x:c>
      <x:c r="C22" t="str">
        <x:v>WAS</x:v>
      </x:c>
      <x:c r="D22" t="str">
        <x:v>PF</x:v>
      </x:c>
      <x:c r="E22" t="str">
        <x:v>PF/C</x:v>
      </x:c>
      <x:c r="F22" s="47" t="n">
        <x:v>20</x:v>
      </x:c>
      <x:c r="G22" s="22" t="n">
        <x:v>45.14999999999999</x:v>
      </x:c>
      <x:c r="H22" s="22" t="n">
        <x:v>40.63243152213333</x:v>
      </x:c>
      <x:c r="I22" s="22" t="n">
        <x:v>51.63243152213333</x:v>
      </x:c>
      <x:c r="J22" s="22" t="n">
        <x:v>66</x:v>
      </x:c>
      <x:c r="K22" s="22" t="str">
        <x:v>MEDIUM</x:v>
      </x:c>
      <x:c r="L22" s="22" t="n">
        <x:v>46.13243152213333</x:v>
      </x:c>
      <x:c r="M22" s="30" t="n">
        <x:v>3044.7404804608</x:v>
      </x:c>
      <x:c r="N22" s="18" t="str">
        <x:v>Available</x:v>
      </x:c>
      <x:c r="O22" s="16" t="str">
        <x:v>Healthy in camp and productive in preseason debut. Availability history still warrants a modest games discount.</x:v>
      </x:c>
      <x:c r="P22" s="22" t="n">
        <x:v>47.9044796576852</x:v>
      </x:c>
      <x:c r="Q22" s="22" t="n">
        <x:v>44.36038338658147</x:v>
      </x:c>
      <x:c r="R22" s="22" t="n">
        <x:v>46.13243152213333</x:v>
      </x:c>
      <x:c r="S22" s="22" t="n">
        <x:v>0</x:v>
      </x:c>
      <x:c r="T22" t="str">
        <x:v>https://www.nba.com/wizards/player/203076/anthony-davis</x:v>
      </x:c>
      <x:c r="U22" s="49" t="str">
        <x:v>CORE</x:v>
      </x:c>
      <x:c r="V22" s="49" t="str">
        <x:v>HIGH</x:v>
      </x:c>
      <x:c r="W22" s="49" t="str">
        <x:v>DRAFT_DAY_BLEND</x:v>
      </x:c>
      <x:c r="X22" s="49" t="str">
        <x:v>TOP-200 RESEARCH</x:v>
      </x:c>
      <x:c r="Y22" s="49" t="str">
        <x:v>2026-10-10</x:v>
      </x:c>
      <x:c r="Z22" s="50" t="str">
        <x:v>https://www.nba.com/players</x:v>
      </x:c>
      <x:c r="AA22" s="50" t="str">
        <x:v>https://basketball.realgm.com/nba/stats/2026/Averages/All/points/All/desc/1/Regular_Season</x:v>
      </x:c>
    </x:row>
    <x:row r="23" ht="22" customHeight="1">
      <x:c r="A23" s="47" t="n">
        <x:v>18</x:v>
      </x:c>
      <x:c r="B23" t="str">
        <x:v>Devin Booker</x:v>
      </x:c>
      <x:c r="C23" t="str">
        <x:v>PHX</x:v>
      </x:c>
      <x:c r="D23" t="str">
        <x:v>SG</x:v>
      </x:c>
      <x:c r="E23" t="str">
        <x:v>PG/SG</x:v>
      </x:c>
      <x:c r="F23" s="47" t="n">
        <x:v>64</x:v>
      </x:c>
      <x:c r="G23" s="22" t="n">
        <x:v>42.75</x:v>
      </x:c>
      <x:c r="H23" s="22" t="n">
        <x:v>39.338672818307344</x:v>
      </x:c>
      <x:c r="I23" s="22" t="n">
        <x:v>46.338672818307344</x:v>
      </x:c>
      <x:c r="J23" s="22" t="n">
        <x:v>75</x:v>
      </x:c>
      <x:c r="K23" s="22" t="str">
        <x:v>STANDARD</x:v>
      </x:c>
      <x:c r="L23" s="22" t="n">
        <x:v>42.838672818307344</x:v>
      </x:c>
      <x:c r="M23" s="30" t="n">
        <x:v>3212.900461373051</x:v>
      </x:c>
      <x:c r="N23" s="18" t="str">
        <x:v>Available</x:v>
      </x:c>
      <x:c r="O23" s="16" t="str">
        <x:v>Strong scoring foundation; more reliable target than speculative breakout guards.</x:v>
      </x:c>
      <x:c r="P23" s="22" t="n">
        <x:v>44.2273456366147</x:v>
      </x:c>
      <x:c r="Q23" s="22" t="n">
        <x:v>41.449999999999996</x:v>
      </x:c>
      <x:c r="R23" s="22" t="n">
        <x:v>42.838672818307344</x:v>
      </x:c>
      <x:c r="S23" s="22" t="n">
        <x:v>0</x:v>
      </x:c>
      <x:c r="T23" t="str">
        <x:v>https://www.fantasypros.com/nba/projections/overall.php | https://hashtagbasketball.com/fantasy-basketball-projections</x:v>
      </x:c>
      <x:c r="U23" s="49" t="str">
        <x:v>CORE</x:v>
      </x:c>
      <x:c r="V23" s="49" t="str">
        <x:v>HIGH</x:v>
      </x:c>
      <x:c r="W23" s="49" t="str">
        <x:v>DRAFT_DAY_BLEND</x:v>
      </x:c>
      <x:c r="X23" s="49" t="str">
        <x:v>TOP-200 RESEARCH</x:v>
      </x:c>
      <x:c r="Y23" s="49" t="str">
        <x:v>2026-10-10</x:v>
      </x:c>
      <x:c r="Z23" s="50" t="str">
        <x:v>https://www.nba.com/players</x:v>
      </x:c>
      <x:c r="AA23" s="50" t="str">
        <x:v>https://basketball.realgm.com/nba/stats/2026/Averages/All/points/All/desc/1/Regular_Season</x:v>
      </x:c>
    </x:row>
    <x:row r="24" ht="22" customHeight="1">
      <x:c r="A24" s="47" t="n">
        <x:v>19</x:v>
      </x:c>
      <x:c r="B24" t="str">
        <x:v>Jalen Brunson</x:v>
      </x:c>
      <x:c r="C24" t="str">
        <x:v>NYK</x:v>
      </x:c>
      <x:c r="D24" t="str">
        <x:v>PG</x:v>
      </x:c>
      <x:c r="E24" t="str">
        <x:v>PG</x:v>
      </x:c>
      <x:c r="F24" s="47" t="n">
        <x:v>74</x:v>
      </x:c>
      <x:c r="G24" s="22" t="n">
        <x:v>42.45</x:v>
      </x:c>
      <x:c r="H24" s="22" t="n">
        <x:v>39.43539817737335</x:v>
      </x:c>
      <x:c r="I24" s="22" t="n">
        <x:v>46.43539817737335</x:v>
      </x:c>
      <x:c r="J24" s="22" t="n">
        <x:v>75</x:v>
      </x:c>
      <x:c r="K24" s="22" t="str">
        <x:v>STANDARD</x:v>
      </x:c>
      <x:c r="L24" s="22" t="n">
        <x:v>42.93539817737335</x:v>
      </x:c>
      <x:c r="M24" s="30" t="n">
        <x:v>3220.154863303001</x:v>
      </x:c>
      <x:c r="N24" s="18" t="str">
        <x:v>Available</x:v>
      </x:c>
      <x:c r="O24" s="16" t="str">
        <x:v>Excellent guard anchor when the elite early picks are gone.</x:v>
      </x:c>
      <x:c r="P24" s="22" t="n">
        <x:v>42.93539817737335</x:v>
      </x:c>
      <x:c r="Q24" s="22"/>
      <x:c r="R24" s="22" t="n">
        <x:v>42.93539817737335</x:v>
      </x:c>
      <x:c r="S24" s="22" t="n">
        <x:v>0</x:v>
      </x:c>
      <x:c r="T24" t="str">
        <x:v>https://www.fantasypros.com/nba/projections/overall.php</x:v>
      </x:c>
      <x:c r="U24" s="49" t="str">
        <x:v>CORE</x:v>
      </x:c>
      <x:c r="V24" s="49" t="str">
        <x:v>HIGH</x:v>
      </x:c>
      <x:c r="W24" s="49" t="str">
        <x:v>DRAFT_DAY_FP</x:v>
      </x:c>
      <x:c r="X24" s="49" t="str">
        <x:v>TOP-200 RESEARCH</x:v>
      </x:c>
      <x:c r="Y24" s="49" t="str">
        <x:v>2026-10-10</x:v>
      </x:c>
      <x:c r="Z24" s="50" t="str">
        <x:v>https://www.nba.com/players</x:v>
      </x:c>
      <x:c r="AA24" s="50" t="str">
        <x:v>https://basketball.realgm.com/nba/stats/2026/Averages/All/points/All/desc/1/Regular_Season</x:v>
      </x:c>
    </x:row>
    <x:row r="25" ht="22" customHeight="1">
      <x:c r="A25" s="47" t="n">
        <x:v>20</x:v>
      </x:c>
      <x:c r="B25" t="str">
        <x:v>Evan Mobley</x:v>
      </x:c>
      <x:c r="C25" t="str">
        <x:v>CLE</x:v>
      </x:c>
      <x:c r="D25" t="str">
        <x:v>PF</x:v>
      </x:c>
      <x:c r="E25" t="str">
        <x:v>PF/C</x:v>
      </x:c>
      <x:c r="F25" s="47" t="n">
        <x:v>65</x:v>
      </x:c>
      <x:c r="G25" s="22" t="n">
        <x:v>40.75</x:v>
      </x:c>
      <x:c r="H25" s="22" t="n">
        <x:v>39.600207802188834</x:v>
      </x:c>
      <x:c r="I25" s="22" t="n">
        <x:v>46.600207802188834</x:v>
      </x:c>
      <x:c r="J25" s="22" t="n">
        <x:v>72</x:v>
      </x:c>
      <x:c r="K25" s="22" t="str">
        <x:v>STANDARD</x:v>
      </x:c>
      <x:c r="L25" s="22" t="n">
        <x:v>43.100207802188834</x:v>
      </x:c>
      <x:c r="M25" s="30" t="n">
        <x:v>3103.214961757596</x:v>
      </x:c>
      <x:c r="N25" s="18" t="str">
        <x:v>Available</x:v>
      </x:c>
      <x:c r="O25" s="16" t="str">
        <x:v>Efficient big-man production without needing a huge scoring load.</x:v>
      </x:c>
      <x:c r="P25" s="22" t="n">
        <x:v>43.01013347271622</x:v>
      </x:c>
      <x:c r="Q25" s="22" t="n">
        <x:v>43.19028213166145</x:v>
      </x:c>
      <x:c r="R25" s="22" t="n">
        <x:v>43.100207802188834</x:v>
      </x:c>
      <x:c r="S25" s="22" t="n">
        <x:v>0</x:v>
      </x:c>
      <x:c r="T25" t="str">
        <x:v>https://www.fantasypros.com/nba/projections/overall.php | https://hashtagbasketball.com/fantasy-basketball-projections</x:v>
      </x:c>
      <x:c r="U25" s="49" t="str">
        <x:v>CORE</x:v>
      </x:c>
      <x:c r="V25" s="49" t="str">
        <x:v>HIGH</x:v>
      </x:c>
      <x:c r="W25" s="49" t="str">
        <x:v>DRAFT_DAY_BLEND</x:v>
      </x:c>
      <x:c r="X25" s="49" t="str">
        <x:v>TOP-200 RESEARCH</x:v>
      </x:c>
      <x:c r="Y25" s="49" t="str">
        <x:v>2026-10-10</x:v>
      </x:c>
      <x:c r="Z25" s="50" t="str">
        <x:v>https://www.nba.com/players</x:v>
      </x:c>
      <x:c r="AA25" s="50" t="str">
        <x:v>https://basketball.realgm.com/nba/stats/2026/Averages/All/points/All/desc/1/Regular_Season</x:v>
      </x:c>
    </x:row>
    <x:row r="26" ht="22" customHeight="1">
      <x:c r="A26" s="47" t="n">
        <x:v>21</x:v>
      </x:c>
      <x:c r="B26" t="str">
        <x:v>Paolo Banchero</x:v>
      </x:c>
      <x:c r="C26" t="str">
        <x:v>ORL</x:v>
      </x:c>
      <x:c r="D26" t="str">
        <x:v>PF</x:v>
      </x:c>
      <x:c r="E26" t="str">
        <x:v>PF/SF</x:v>
      </x:c>
      <x:c r="F26" s="47" t="n">
        <x:v>72</x:v>
      </x:c>
      <x:c r="G26" s="22" t="n">
        <x:v>41.099999999999994</x:v>
      </x:c>
      <x:c r="H26" s="22" t="n">
        <x:v>39.169358078089516</x:v>
      </x:c>
      <x:c r="I26" s="22" t="n">
        <x:v>46.169358078089516</x:v>
      </x:c>
      <x:c r="J26" s="22" t="n">
        <x:v>74</x:v>
      </x:c>
      <x:c r="K26" s="22" t="str">
        <x:v>STANDARD</x:v>
      </x:c>
      <x:c r="L26" s="22" t="n">
        <x:v>42.669358078089516</x:v>
      </x:c>
      <x:c r="M26" s="30" t="n">
        <x:v>3157.532497778624</x:v>
      </x:c>
      <x:c r="N26" s="18" t="str">
        <x:v>Available</x:v>
      </x:c>
      <x:c r="O26" s="16" t="str">
        <x:v>Balanced forward target; missed shots and free throws can cap his fantasy efficiency.</x:v>
      </x:c>
      <x:c r="P26" s="22" t="n">
        <x:v>42.669358078089516</x:v>
      </x:c>
      <x:c r="Q26" s="22"/>
      <x:c r="R26" s="22" t="n">
        <x:v>42.669358078089516</x:v>
      </x:c>
      <x:c r="S26" s="22" t="n">
        <x:v>0</x:v>
      </x:c>
      <x:c r="T26" t="str">
        <x:v>https://www.fantasypros.com/nba/projections/overall.php</x:v>
      </x:c>
      <x:c r="U26" s="49" t="str">
        <x:v>CORE</x:v>
      </x:c>
      <x:c r="V26" s="49" t="str">
        <x:v>HIGH</x:v>
      </x:c>
      <x:c r="W26" s="49" t="str">
        <x:v>DRAFT_DAY_FP</x:v>
      </x:c>
      <x:c r="X26" s="49" t="str">
        <x:v>TOP-200 RESEARCH</x:v>
      </x:c>
      <x:c r="Y26" s="49" t="str">
        <x:v>2026-10-10</x:v>
      </x:c>
      <x:c r="Z26" s="50" t="str">
        <x:v>https://www.nba.com/players</x:v>
      </x:c>
      <x:c r="AA26" s="50" t="str">
        <x:v>https://basketball.realgm.com/nba/stats/2026/Averages/All/points/All/desc/1/Regular_Season</x:v>
      </x:c>
    </x:row>
    <x:row r="27" ht="22" customHeight="1">
      <x:c r="A27" s="47" t="n">
        <x:v>22</x:v>
      </x:c>
      <x:c r="B27" t="str">
        <x:v>Austin Reaves</x:v>
      </x:c>
      <x:c r="C27" t="str">
        <x:v>LAL</x:v>
      </x:c>
      <x:c r="D27" t="str">
        <x:v>SG</x:v>
      </x:c>
      <x:c r="E27" t="str">
        <x:v>PG/SF/SG</x:v>
      </x:c>
      <x:c r="F27" s="47" t="n">
        <x:v>51</x:v>
      </x:c>
      <x:c r="G27" s="22" t="n">
        <x:v>41.550000000000004</x:v>
      </x:c>
      <x:c r="H27" s="22" t="n">
        <x:v>38.56279650972797</x:v>
      </x:c>
      <x:c r="I27" s="22" t="n">
        <x:v>45.56279650972797</x:v>
      </x:c>
      <x:c r="J27" s="22" t="n">
        <x:v>73</x:v>
      </x:c>
      <x:c r="K27" s="22" t="str">
        <x:v>STANDARD</x:v>
      </x:c>
      <x:c r="L27" s="22" t="n">
        <x:v>42.06279650972797</x:v>
      </x:c>
      <x:c r="M27" s="30" t="n">
        <x:v>3070.5841452101417</x:v>
      </x:c>
      <x:c r="N27" s="18" t="str">
        <x:v>Available</x:v>
      </x:c>
      <x:c r="O27" s="16" t="str">
        <x:v>LeBron's departure supports a bigger offensive role; modest upside over consensus.</x:v>
      </x:c>
      <x:c r="P27" s="22" t="n">
        <x:v>40.87907128032549</x:v>
      </x:c>
      <x:c r="Q27" s="22" t="n">
        <x:v>42.49652173913044</x:v>
      </x:c>
      <x:c r="R27" s="22" t="n">
        <x:v>41.68779650972797</x:v>
      </x:c>
      <x:c r="S27" s="22" t="n">
        <x:v>0.375</x:v>
      </x:c>
      <x:c r="T27" t="str">
        <x:v>https://www.fantasypros.com/nba/projections/overall.php | https://hashtagbasketball.com/fantasy-basketball-projections</x:v>
      </x:c>
      <x:c r="U27" s="49" t="str">
        <x:v>CORE</x:v>
      </x:c>
      <x:c r="V27" s="49" t="str">
        <x:v>HIGH</x:v>
      </x:c>
      <x:c r="W27" s="49" t="str">
        <x:v>DRAFT_DAY_BLEND</x:v>
      </x:c>
      <x:c r="X27" s="49" t="str">
        <x:v>TOP-200 RESEARCH</x:v>
      </x:c>
      <x:c r="Y27" s="49" t="str">
        <x:v>2026-10-10</x:v>
      </x:c>
      <x:c r="Z27" s="50" t="str">
        <x:v>https://www.nba.com/players</x:v>
      </x:c>
      <x:c r="AA27" s="50" t="str">
        <x:v>https://basketball.realgm.com/nba/stats/2026/Averages/All/points/All/desc/1/Regular_Season</x:v>
      </x:c>
    </x:row>
    <x:row r="28" ht="22" customHeight="1">
      <x:c r="A28" s="47" t="n">
        <x:v>23</x:v>
      </x:c>
      <x:c r="B28" t="str">
        <x:v>Kevin Durant</x:v>
      </x:c>
      <x:c r="C28" t="str">
        <x:v>HOU</x:v>
      </x:c>
      <x:c r="D28" t="str">
        <x:v>SF</x:v>
      </x:c>
      <x:c r="E28" t="str">
        <x:v>PF/SF/SG</x:v>
      </x:c>
      <x:c r="F28" s="47" t="n">
        <x:v>78</x:v>
      </x:c>
      <x:c r="G28" s="22" t="n">
        <x:v>43.85</x:v>
      </x:c>
      <x:c r="H28" s="22" t="n">
        <x:v>36.59241362908904</x:v>
      </x:c>
      <x:c r="I28" s="22" t="n">
        <x:v>47.59241362908904</x:v>
      </x:c>
      <x:c r="J28" s="22" t="n">
        <x:v>75</x:v>
      </x:c>
      <x:c r="K28" s="22" t="str">
        <x:v>MEDIUM</x:v>
      </x:c>
      <x:c r="L28" s="22" t="n">
        <x:v>42.09241362908904</x:v>
      </x:c>
      <x:c r="M28" s="30" t="n">
        <x:v>3156.9310221816777</x:v>
      </x:c>
      <x:c r="N28" s="18" t="str">
        <x:v>Available</x:v>
      </x:c>
      <x:c r="O28" s="16" t="str">
        <x:v>Good efficiency keeps value high; use a realistic veteran games assumption.</x:v>
      </x:c>
      <x:c r="P28" s="22" t="n">
        <x:v>42.28427780762863</x:v>
      </x:c>
      <x:c r="Q28" s="22" t="n">
        <x:v>41.900549450549455</x:v>
      </x:c>
      <x:c r="R28" s="22" t="n">
        <x:v>42.09241362908904</x:v>
      </x:c>
      <x:c r="S28" s="22" t="n">
        <x:v>0</x:v>
      </x:c>
      <x:c r="T28" t="str">
        <x:v>https://www.fantasypros.com/nba/projections/overall.php | https://hashtagbasketball.com/fantasy-basketball-projections</x:v>
      </x:c>
      <x:c r="U28" s="49" t="str">
        <x:v>CORE</x:v>
      </x:c>
      <x:c r="V28" s="49" t="str">
        <x:v>HIGH</x:v>
      </x:c>
      <x:c r="W28" s="49" t="str">
        <x:v>DRAFT_DAY_BLEND</x:v>
      </x:c>
      <x:c r="X28" s="49" t="str">
        <x:v>TOP-200 RESEARCH</x:v>
      </x:c>
      <x:c r="Y28" s="49" t="str">
        <x:v>2026-10-10</x:v>
      </x:c>
      <x:c r="Z28" s="50" t="str">
        <x:v>https://www.nba.com/players</x:v>
      </x:c>
      <x:c r="AA28" s="50" t="str">
        <x:v>https://basketball.realgm.com/nba/stats/2026/Averages/All/points/All/desc/1/Regular_Season</x:v>
      </x:c>
    </x:row>
    <x:row r="29" ht="22" customHeight="1">
      <x:c r="A29" s="47" t="n">
        <x:v>24</x:v>
      </x:c>
      <x:c r="B29" t="str">
        <x:v>Scottie Barnes</x:v>
      </x:c>
      <x:c r="C29" t="str">
        <x:v>TOR</x:v>
      </x:c>
      <x:c r="D29" t="str">
        <x:v>PF</x:v>
      </x:c>
      <x:c r="E29" t="str">
        <x:v>C/PF/SF/SG</x:v>
      </x:c>
      <x:c r="F29" s="47" t="n">
        <x:v>80</x:v>
      </x:c>
      <x:c r="G29" s="22" t="n">
        <x:v>41.5</x:v>
      </x:c>
      <x:c r="H29" s="22" t="n">
        <x:v>38.29776942962483</x:v>
      </x:c>
      <x:c r="I29" s="22" t="n">
        <x:v>45.29776942962483</x:v>
      </x:c>
      <x:c r="J29" s="22" t="n">
        <x:v>75</x:v>
      </x:c>
      <x:c r="K29" s="22" t="str">
        <x:v>STANDARD</x:v>
      </x:c>
      <x:c r="L29" s="22" t="n">
        <x:v>41.79776942962483</x:v>
      </x:c>
      <x:c r="M29" s="30" t="n">
        <x:v>3134.832707221862</x:v>
      </x:c>
      <x:c r="N29" s="18" t="str">
        <x:v>Available</x:v>
      </x:c>
      <x:c r="O29" s="16" t="str">
        <x:v>Versatile production; do not assume every offensive category rises with Kawhi present.</x:v>
      </x:c>
      <x:c r="P29" s="22" t="n">
        <x:v>41.11613587417503</x:v>
      </x:c>
      <x:c r="Q29" s="22" t="n">
        <x:v>42.47940298507463</x:v>
      </x:c>
      <x:c r="R29" s="22" t="n">
        <x:v>41.79776942962483</x:v>
      </x:c>
      <x:c r="S29" s="22" t="n">
        <x:v>0</x:v>
      </x:c>
      <x:c r="T29" t="str">
        <x:v>https://www.fantasypros.com/nba/projections/overall.php | https://hashtagbasketball.com/fantasy-basketball-projections</x:v>
      </x:c>
      <x:c r="U29" s="49" t="str">
        <x:v>CORE</x:v>
      </x:c>
      <x:c r="V29" s="49" t="str">
        <x:v>HIGH</x:v>
      </x:c>
      <x:c r="W29" s="49" t="str">
        <x:v>DRAFT_DAY_BLEND</x:v>
      </x:c>
      <x:c r="X29" s="49" t="str">
        <x:v>TOP-200 RESEARCH</x:v>
      </x:c>
      <x:c r="Y29" s="49" t="str">
        <x:v>2026-10-10</x:v>
      </x:c>
      <x:c r="Z29" s="50" t="str">
        <x:v>https://www.nba.com/players</x:v>
      </x:c>
      <x:c r="AA29" s="50" t="str">
        <x:v>https://basketball.realgm.com/nba/stats/2026/Averages/All/points/All/desc/1/Regular_Season</x:v>
      </x:c>
    </x:row>
    <x:row r="30" ht="22" customHeight="1">
      <x:c r="A30" s="47" t="n">
        <x:v>25</x:v>
      </x:c>
      <x:c r="B30" t="str">
        <x:v>Kawhi Leonard</x:v>
      </x:c>
      <x:c r="C30" t="str">
        <x:v>TOR</x:v>
      </x:c>
      <x:c r="D30" t="str">
        <x:v>SF</x:v>
      </x:c>
      <x:c r="E30" t="str">
        <x:v>PF/SF/SG</x:v>
      </x:c>
      <x:c r="F30" s="47" t="n">
        <x:v>65</x:v>
      </x:c>
      <x:c r="G30" s="22" t="n">
        <x:v>50.1</x:v>
      </x:c>
      <x:c r="H30" s="22" t="n">
        <x:v>35.12243727702595</x:v>
      </x:c>
      <x:c r="I30" s="22" t="n">
        <x:v>51.12243727702595</x:v>
      </x:c>
      <x:c r="J30" s="22" t="n">
        <x:v>69</x:v>
      </x:c>
      <x:c r="K30" s="22" t="str">
        <x:v>HIGH</x:v>
      </x:c>
      <x:c r="L30" s="22" t="n">
        <x:v>43.12243727702595</x:v>
      </x:c>
      <x:c r="M30" s="30" t="n">
        <x:v>2975.448172114791</x:v>
      </x:c>
      <x:c r="N30" s="18" t="str">
        <x:v>Available</x:v>
      </x:c>
      <x:c r="O30" s="16" t="str">
        <x:v>Toronto role is viable; major availability discount despite strong last-season efficiency.</x:v>
      </x:c>
      <x:c r="P30" s="22" t="n">
        <x:v>45.263410379597076</x:v>
      </x:c>
      <x:c r="Q30" s="22" t="n">
        <x:v>41.23146417445483</x:v>
      </x:c>
      <x:c r="R30" s="22" t="n">
        <x:v>43.24743727702595</x:v>
      </x:c>
      <x:c r="S30" s="22" t="n">
        <x:v>-0.125</x:v>
      </x:c>
      <x:c r="T30" t="str">
        <x:v>https://www.fantasypros.com/nba/projections/overall.php | https://hashtagbasketball.com/fantasy-basketball-projections</x:v>
      </x:c>
      <x:c r="U30" s="49" t="str">
        <x:v>CORE</x:v>
      </x:c>
      <x:c r="V30" s="49" t="str">
        <x:v>HIGH</x:v>
      </x:c>
      <x:c r="W30" s="49" t="str">
        <x:v>DRAFT_DAY_BLEND</x:v>
      </x:c>
      <x:c r="X30" s="49" t="str">
        <x:v>TOP-200 RESEARCH</x:v>
      </x:c>
      <x:c r="Y30" s="49" t="str">
        <x:v>2026-10-10</x:v>
      </x:c>
      <x:c r="Z30" s="50" t="str">
        <x:v>https://www.nba.com/players</x:v>
      </x:c>
      <x:c r="AA30" s="50" t="str">
        <x:v>https://basketball.realgm.com/nba/stats/2026/Averages/All/points/All/desc/1/Regular_Season</x:v>
      </x:c>
    </x:row>
    <x:row r="31" ht="22" customHeight="1">
      <x:c r="A31" s="47" t="n">
        <x:v>26</x:v>
      </x:c>
      <x:c r="B31" t="str">
        <x:v>Stephen Curry</x:v>
      </x:c>
      <x:c r="C31" t="str">
        <x:v>GSW</x:v>
      </x:c>
      <x:c r="D31" t="str">
        <x:v>PG</x:v>
      </x:c>
      <x:c r="E31" t="str">
        <x:v>PG</x:v>
      </x:c>
      <x:c r="F31" s="47" t="n">
        <x:v>43</x:v>
      </x:c>
      <x:c r="G31" s="22" t="n">
        <x:v>42.75</x:v>
      </x:c>
      <x:c r="H31" s="22" t="n">
        <x:v>36.51730319560362</x:v>
      </x:c>
      <x:c r="I31" s="22" t="n">
        <x:v>47.51730319560362</x:v>
      </x:c>
      <x:c r="J31" s="22" t="n">
        <x:v>73</x:v>
      </x:c>
      <x:c r="K31" s="22" t="str">
        <x:v>MEDIUM</x:v>
      </x:c>
      <x:c r="L31" s="22" t="n">
        <x:v>42.01730319560362</x:v>
      </x:c>
      <x:c r="M31" s="30" t="n">
        <x:v>3067.263133279064</x:v>
      </x:c>
      <x:c r="N31" s="18" t="str">
        <x:v>Available</x:v>
      </x:c>
      <x:c r="O31" s="16" t="str">
        <x:v>Made threes are valuable, but availability prevents a pure per-game ranking.</x:v>
      </x:c>
      <x:c r="P31" s="22" t="n">
        <x:v>42.716483413860956</x:v>
      </x:c>
      <x:c r="Q31" s="22" t="n">
        <x:v>41.318122977346285</x:v>
      </x:c>
      <x:c r="R31" s="22" t="n">
        <x:v>42.01730319560362</x:v>
      </x:c>
      <x:c r="S31" s="22" t="n">
        <x:v>0</x:v>
      </x:c>
      <x:c r="T31" t="str">
        <x:v>https://www.fantasypros.com/nba/projections/overall.php | https://hashtagbasketball.com/fantasy-basketball-projections</x:v>
      </x:c>
      <x:c r="U31" s="49" t="str">
        <x:v>CORE</x:v>
      </x:c>
      <x:c r="V31" s="49" t="str">
        <x:v>HIGH</x:v>
      </x:c>
      <x:c r="W31" s="49" t="str">
        <x:v>DRAFT_DAY_BLEND</x:v>
      </x:c>
      <x:c r="X31" s="49" t="str">
        <x:v>TOP-200 RESEARCH</x:v>
      </x:c>
      <x:c r="Y31" s="49" t="str">
        <x:v>2026-10-10</x:v>
      </x:c>
      <x:c r="Z31" s="50" t="str">
        <x:v>https://www.nba.com/players</x:v>
      </x:c>
      <x:c r="AA31" s="50" t="str">
        <x:v>https://basketball.realgm.com/nba/stats/2026/Averages/All/points/All/desc/1/Regular_Season</x:v>
      </x:c>
    </x:row>
    <x:row r="32" ht="22" customHeight="1">
      <x:c r="A32" s="47" t="n">
        <x:v>27</x:v>
      </x:c>
      <x:c r="B32" t="str">
        <x:v>Bam Adebayo</x:v>
      </x:c>
      <x:c r="C32" t="str">
        <x:v>MIA</x:v>
      </x:c>
      <x:c r="D32" t="str">
        <x:v>C</x:v>
      </x:c>
      <x:c r="E32" t="str">
        <x:v>C/PF</x:v>
      </x:c>
      <x:c r="F32" s="47" t="n">
        <x:v>73</x:v>
      </x:c>
      <x:c r="G32" s="22" t="n">
        <x:v>42.15</x:v>
      </x:c>
      <x:c r="H32" s="22" t="n">
        <x:v>37.98360754913734</x:v>
      </x:c>
      <x:c r="I32" s="22" t="n">
        <x:v>44.98360754913734</x:v>
      </x:c>
      <x:c r="J32" s="22" t="n">
        <x:v>76</x:v>
      </x:c>
      <x:c r="K32" s="22" t="str">
        <x:v>STANDARD</x:v>
      </x:c>
      <x:c r="L32" s="22" t="n">
        <x:v>41.48360754913734</x:v>
      </x:c>
      <x:c r="M32" s="30" t="n">
        <x:v>3152.7541737344377</x:v>
      </x:c>
      <x:c r="N32" s="18" t="str">
        <x:v>Available</x:v>
      </x:c>
      <x:c r="O32" s="16" t="str">
        <x:v>Giannis shares interior work. Small downgrade beyond the baseline projection.</x:v>
      </x:c>
      <x:c r="P32" s="22" t="n">
        <x:v>41.85860754913734</x:v>
      </x:c>
      <x:c r="Q32" s="22"/>
      <x:c r="R32" s="22" t="n">
        <x:v>41.85860754913734</x:v>
      </x:c>
      <x:c r="S32" s="22" t="n">
        <x:v>-0.375</x:v>
      </x:c>
      <x:c r="T32" t="str">
        <x:v>https://www.fantasypros.com/nba/projections/overall.php</x:v>
      </x:c>
      <x:c r="U32" s="49" t="str">
        <x:v>CORE</x:v>
      </x:c>
      <x:c r="V32" s="49" t="str">
        <x:v>HIGH</x:v>
      </x:c>
      <x:c r="W32" s="49" t="str">
        <x:v>DRAFT_DAY_FP</x:v>
      </x:c>
      <x:c r="X32" s="49" t="str">
        <x:v>TOP-200 RESEARCH</x:v>
      </x:c>
      <x:c r="Y32" s="49" t="str">
        <x:v>2026-10-10</x:v>
      </x:c>
      <x:c r="Z32" s="50" t="str">
        <x:v>https://www.nba.com/players</x:v>
      </x:c>
      <x:c r="AA32" s="50" t="str">
        <x:v>https://basketball.realgm.com/nba/stats/2026/Averages/All/points/All/desc/1/Regular_Season</x:v>
      </x:c>
    </x:row>
    <x:row r="33" ht="22" customHeight="1">
      <x:c r="A33" s="47" t="n">
        <x:v>28</x:v>
      </x:c>
      <x:c r="B33" t="str">
        <x:v>Amen Thompson</x:v>
      </x:c>
      <x:c r="C33" t="str">
        <x:v>HOU</x:v>
      </x:c>
      <x:c r="D33" t="str">
        <x:v>SG</x:v>
      </x:c>
      <x:c r="E33" t="str">
        <x:v>PG/SF/SG</x:v>
      </x:c>
      <x:c r="F33" s="47" t="n">
        <x:v>79</x:v>
      </x:c>
      <x:c r="G33" s="22" t="n">
        <x:v>43.15</x:v>
      </x:c>
      <x:c r="H33" s="22" t="n">
        <x:v>37.73497184545344</x:v>
      </x:c>
      <x:c r="I33" s="22" t="n">
        <x:v>44.73497184545344</x:v>
      </x:c>
      <x:c r="J33" s="22" t="n">
        <x:v>78</x:v>
      </x:c>
      <x:c r="K33" s="22" t="str">
        <x:v>STANDARD</x:v>
      </x:c>
      <x:c r="L33" s="22" t="n">
        <x:v>41.23497184545344</x:v>
      </x:c>
      <x:c r="M33" s="30" t="n">
        <x:v>3216.327803945368</x:v>
      </x:c>
      <x:c r="N33" s="18" t="str">
        <x:v>Available</x:v>
      </x:c>
      <x:c r="O33" s="16" t="str">
        <x:v>Rebounds and efficiency fit. VanVleet's return limits an unlimited-assists thesis.</x:v>
      </x:c>
      <x:c r="P33" s="22" t="n">
        <x:v>40.36245705989082</x:v>
      </x:c>
      <x:c r="Q33" s="22" t="n">
        <x:v>42.10748663101605</x:v>
      </x:c>
      <x:c r="R33" s="22" t="n">
        <x:v>41.23497184545344</x:v>
      </x:c>
      <x:c r="S33" s="22" t="n">
        <x:v>0</x:v>
      </x:c>
      <x:c r="T33" t="str">
        <x:v>https://www.fantasypros.com/nba/projections/overall.php | https://hashtagbasketball.com/fantasy-basketball-projections</x:v>
      </x:c>
      <x:c r="U33" s="49" t="str">
        <x:v>CORE</x:v>
      </x:c>
      <x:c r="V33" s="49" t="str">
        <x:v>HIGH</x:v>
      </x:c>
      <x:c r="W33" s="49" t="str">
        <x:v>DRAFT_DAY_BLEND</x:v>
      </x:c>
      <x:c r="X33" s="49" t="str">
        <x:v>TOP-200 RESEARCH</x:v>
      </x:c>
      <x:c r="Y33" s="49" t="str">
        <x:v>2026-10-10</x:v>
      </x:c>
      <x:c r="Z33" s="50" t="str">
        <x:v>https://www.nba.com/players</x:v>
      </x:c>
      <x:c r="AA33" s="50" t="str">
        <x:v>https://basketball.realgm.com/nba/stats/2026/Averages/All/points/All/desc/1/Regular_Season</x:v>
      </x:c>
    </x:row>
    <x:row r="34" ht="22" customHeight="1">
      <x:c r="A34" s="47" t="n">
        <x:v>29</x:v>
      </x:c>
      <x:c r="B34" t="str">
        <x:v>Deni Avdija</x:v>
      </x:c>
      <x:c r="C34" t="str">
        <x:v>POR</x:v>
      </x:c>
      <x:c r="D34" t="str">
        <x:v>SF</x:v>
      </x:c>
      <x:c r="E34" t="str">
        <x:v>PF/SF/SG</x:v>
      </x:c>
      <x:c r="F34" s="47" t="n">
        <x:v>66</x:v>
      </x:c>
      <x:c r="G34" s="22" t="n">
        <x:v>44.65</x:v>
      </x:c>
      <x:c r="H34" s="22" t="n">
        <x:v>38.24076788794661</x:v>
      </x:c>
      <x:c r="I34" s="22" t="n">
        <x:v>45.24076788794661</x:v>
      </x:c>
      <x:c r="J34" s="22" t="n">
        <x:v>75</x:v>
      </x:c>
      <x:c r="K34" s="22" t="str">
        <x:v>STANDARD</x:v>
      </x:c>
      <x:c r="L34" s="22" t="n">
        <x:v>41.74076788794661</x:v>
      </x:c>
      <x:c r="M34" s="30" t="n">
        <x:v>3130.5575915959957</x:v>
      </x:c>
      <x:c r="N34" s="18" t="str">
        <x:v>Available</x:v>
      </x:c>
      <x:c r="O34" s="16" t="str">
        <x:v>Morant and Lillard compete for creation; price below last year's peak role.</x:v>
      </x:c>
      <x:c r="P34" s="22" t="n">
        <x:v>42.11576788794661</x:v>
      </x:c>
      <x:c r="Q34" s="22"/>
      <x:c r="R34" s="22" t="n">
        <x:v>42.11576788794661</x:v>
      </x:c>
      <x:c r="S34" s="22" t="n">
        <x:v>-0.375</x:v>
      </x:c>
      <x:c r="T34" t="str">
        <x:v>https://www.fantasypros.com/nba/projections/overall.php</x:v>
      </x:c>
      <x:c r="U34" s="49" t="str">
        <x:v>CORE</x:v>
      </x:c>
      <x:c r="V34" s="49" t="str">
        <x:v>HIGH</x:v>
      </x:c>
      <x:c r="W34" s="49" t="str">
        <x:v>DRAFT_DAY_FP</x:v>
      </x:c>
      <x:c r="X34" s="49" t="str">
        <x:v>TOP-200 RESEARCH</x:v>
      </x:c>
      <x:c r="Y34" s="49" t="str">
        <x:v>2026-10-10</x:v>
      </x:c>
      <x:c r="Z34" s="50" t="str">
        <x:v>https://www.nba.com/players</x:v>
      </x:c>
      <x:c r="AA34" s="50" t="str">
        <x:v>https://basketball.realgm.com/nba/stats/2026/Averages/All/points/All/desc/1/Regular_Season</x:v>
      </x:c>
    </x:row>
    <x:row r="35" ht="22" customHeight="1">
      <x:c r="A35" s="47" t="n">
        <x:v>30</x:v>
      </x:c>
      <x:c r="B35" t="str">
        <x:v>Joel Embiid</x:v>
      </x:c>
      <x:c r="C35" t="str">
        <x:v>PHI</x:v>
      </x:c>
      <x:c r="D35" t="str">
        <x:v>C</x:v>
      </x:c>
      <x:c r="E35" t="str">
        <x:v>C</x:v>
      </x:c>
      <x:c r="F35" s="47" t="n">
        <x:v>38</x:v>
      </x:c>
      <x:c r="G35" s="22" t="n">
        <x:v>48.95</x:v>
      </x:c>
      <x:c r="H35" s="22" t="n">
        <x:v>39.643514993605265</x:v>
      </x:c>
      <x:c r="I35" s="22" t="n">
        <x:v>55.643514993605265</x:v>
      </x:c>
      <x:c r="J35" s="22" t="n">
        <x:v>55</x:v>
      </x:c>
      <x:c r="K35" s="22" t="str">
        <x:v>HIGH</x:v>
      </x:c>
      <x:c r="L35" s="22" t="n">
        <x:v>47.643514993605265</x:v>
      </x:c>
      <x:c r="M35" s="30" t="n">
        <x:v>2620.3933246482898</x:v>
      </x:c>
      <x:c r="N35" s="18" t="str">
        <x:v>Available</x:v>
      </x:c>
      <x:c r="O35" s="16" t="str">
        <x:v>Healthy enough for preseason work, but recent availability remains too volatile to price at pure per-game value.</x:v>
      </x:c>
      <x:c r="P35" s="22" t="n">
        <x:v>47.893514993605265</x:v>
      </x:c>
      <x:c r="Q35" s="22"/>
      <x:c r="R35" s="22" t="n">
        <x:v>47.893514993605265</x:v>
      </x:c>
      <x:c r="S35" s="22" t="n">
        <x:v>-0.25</x:v>
      </x:c>
      <x:c r="T35" t="str">
        <x:v>https://www.fantasypros.com/nba/projections/overall.php</x:v>
      </x:c>
      <x:c r="U35" s="49" t="str">
        <x:v>CORE</x:v>
      </x:c>
      <x:c r="V35" s="49" t="str">
        <x:v>HIGH</x:v>
      </x:c>
      <x:c r="W35" s="49" t="str">
        <x:v>DRAFT_DAY_FP</x:v>
      </x:c>
      <x:c r="X35" s="49" t="str">
        <x:v>TOP-200 RESEARCH</x:v>
      </x:c>
      <x:c r="Y35" s="49" t="str">
        <x:v>2026-10-10</x:v>
      </x:c>
      <x:c r="Z35" s="50" t="str">
        <x:v>https://www.nba.com/players</x:v>
      </x:c>
      <x:c r="AA35" s="50" t="str">
        <x:v>https://basketball.realgm.com/nba/stats/2026/Averages/All/points/All/desc/1/Regular_Season</x:v>
      </x:c>
    </x:row>
    <x:row r="36" ht="22" customHeight="1">
      <x:c r="A36" s="47" t="n">
        <x:v>31</x:v>
      </x:c>
      <x:c r="B36" t="str">
        <x:v>Josh Giddey</x:v>
      </x:c>
      <x:c r="C36" t="str">
        <x:v>CHI</x:v>
      </x:c>
      <x:c r="D36" t="str">
        <x:v>PG</x:v>
      </x:c>
      <x:c r="E36" t="str">
        <x:v>PG/SG/SF</x:v>
      </x:c>
      <x:c r="F36" s="47" t="n">
        <x:v>54</x:v>
      </x:c>
      <x:c r="G36" s="22" t="n">
        <x:v>39.49999999999999</x:v>
      </x:c>
      <x:c r="H36" s="22" t="n">
        <x:v>38.03717702114047</x:v>
      </x:c>
      <x:c r="I36" s="22" t="n">
        <x:v>45.03717702114047</x:v>
      </x:c>
      <x:c r="J36" s="22" t="n">
        <x:v>73</x:v>
      </x:c>
      <x:c r="K36" s="22" t="str">
        <x:v>STANDARD</x:v>
      </x:c>
      <x:c r="L36" s="22" t="n">
        <x:v>41.53717702114047</x:v>
      </x:c>
      <x:c r="M36" s="30" t="n">
        <x:v>3032.2139225432543</x:v>
      </x:c>
      <x:c r="N36" s="18" t="str">
        <x:v>Available</x:v>
      </x:c>
      <x:c r="O36" s="16" t="str">
        <x:v>Rebounding guard profile plays well; losses from missed shots and turnovers still matter.</x:v>
      </x:c>
      <x:c r="P36" s="22" t="n">
        <x:v>41.53717702114047</x:v>
      </x:c>
      <x:c r="Q36" s="22"/>
      <x:c r="R36" s="22" t="n">
        <x:v>41.53717702114047</x:v>
      </x:c>
      <x:c r="S36" s="22" t="n">
        <x:v>0</x:v>
      </x:c>
      <x:c r="T36" t="str">
        <x:v>https://www.fantasypros.com/nba/projections/overall.php</x:v>
      </x:c>
      <x:c r="U36" s="49" t="str">
        <x:v>CORE</x:v>
      </x:c>
      <x:c r="V36" s="49" t="str">
        <x:v>HIGH</x:v>
      </x:c>
      <x:c r="W36" s="49" t="str">
        <x:v>DRAFT_DAY_FP</x:v>
      </x:c>
      <x:c r="X36" s="49" t="str">
        <x:v>TOP-200 RESEARCH</x:v>
      </x:c>
      <x:c r="Y36" s="49" t="str">
        <x:v>2026-10-10</x:v>
      </x:c>
      <x:c r="Z36" s="50" t="str">
        <x:v>https://www.nba.com/players</x:v>
      </x:c>
      <x:c r="AA36" s="50" t="str">
        <x:v>https://basketball.realgm.com/nba/stats/2026/Averages/All/points/All/desc/1/Regular_Season</x:v>
      </x:c>
    </x:row>
    <x:row r="37" ht="22" customHeight="1">
      <x:c r="A37" s="47" t="n">
        <x:v>32</x:v>
      </x:c>
      <x:c r="B37" t="str">
        <x:v>LaMelo Ball</x:v>
      </x:c>
      <x:c r="C37" t="str">
        <x:v>MIN</x:v>
      </x:c>
      <x:c r="D37" t="str">
        <x:v>PG</x:v>
      </x:c>
      <x:c r="E37" t="str">
        <x:v>PG</x:v>
      </x:c>
      <x:c r="F37" s="47" t="n">
        <x:v>72</x:v>
      </x:c>
      <x:c r="G37" s="22" t="n">
        <x:v>36.849999999999994</x:v>
      </x:c>
      <x:c r="H37" s="22" t="n">
        <x:v>36.07174495207862</x:v>
      </x:c>
      <x:c r="I37" s="22" t="n">
        <x:v>47.07174495207862</x:v>
      </x:c>
      <x:c r="J37" s="22" t="n">
        <x:v>73</x:v>
      </x:c>
      <x:c r="K37" s="22" t="str">
        <x:v>MEDIUM</x:v>
      </x:c>
      <x:c r="L37" s="22" t="n">
        <x:v>41.57174495207862</x:v>
      </x:c>
      <x:c r="M37" s="30" t="n">
        <x:v>3034.737381501739</x:v>
      </x:c>
      <x:c r="N37" s="18" t="str">
        <x:v>Available</x:v>
      </x:c>
      <x:c r="O37" s="16" t="str">
        <x:v>New Minnesota role; passing upside, but health and shot efficiency remain key variables.</x:v>
      </x:c>
      <x:c r="P37" s="22" t="n">
        <x:v>41.69674495207862</x:v>
      </x:c>
      <x:c r="Q37" s="22"/>
      <x:c r="R37" s="22" t="n">
        <x:v>41.69674495207862</x:v>
      </x:c>
      <x:c r="S37" s="22" t="n">
        <x:v>-0.125</x:v>
      </x:c>
      <x:c r="T37" t="str">
        <x:v>https://www.fantasypros.com/nba/projections/overall.php</x:v>
      </x:c>
      <x:c r="U37" s="49" t="str">
        <x:v>CORE</x:v>
      </x:c>
      <x:c r="V37" s="49" t="str">
        <x:v>HIGH</x:v>
      </x:c>
      <x:c r="W37" s="49" t="str">
        <x:v>DRAFT_DAY_FP</x:v>
      </x:c>
      <x:c r="X37" s="49" t="str">
        <x:v>TOP-200 RESEARCH</x:v>
      </x:c>
      <x:c r="Y37" s="49" t="str">
        <x:v>2026-10-10</x:v>
      </x:c>
      <x:c r="Z37" s="50" t="str">
        <x:v>https://www.nba.com/players</x:v>
      </x:c>
      <x:c r="AA37" s="50" t="str">
        <x:v>https://basketball.realgm.com/nba/stats/2026/Averages/All/points/All/desc/1/Regular_Season</x:v>
      </x:c>
    </x:row>
    <x:row r="38" ht="22" customHeight="1">
      <x:c r="A38" s="47" t="n">
        <x:v>33</x:v>
      </x:c>
      <x:c r="B38" t="str">
        <x:v>Jamal Murray</x:v>
      </x:c>
      <x:c r="C38" t="str">
        <x:v>DEN</x:v>
      </x:c>
      <x:c r="D38" t="str">
        <x:v>PG</x:v>
      </x:c>
      <x:c r="E38" t="str">
        <x:v>PG</x:v>
      </x:c>
      <x:c r="F38" s="47" t="n">
        <x:v>75</x:v>
      </x:c>
      <x:c r="G38" s="22" t="n">
        <x:v>45.84999999999999</x:v>
      </x:c>
      <x:c r="H38" s="22" t="n">
        <x:v>35.638166420415565</x:v>
      </x:c>
      <x:c r="I38" s="22" t="n">
        <x:v>46.638166420415565</x:v>
      </x:c>
      <x:c r="J38" s="22" t="n">
        <x:v>74</x:v>
      </x:c>
      <x:c r="K38" s="22" t="str">
        <x:v>MEDIUM</x:v>
      </x:c>
      <x:c r="L38" s="22" t="n">
        <x:v>41.138166420415565</x:v>
      </x:c>
      <x:c r="M38" s="30" t="n">
        <x:v>3044.224315110752</x:v>
      </x:c>
      <x:c r="N38" s="18" t="str">
        <x:v>Available</x:v>
      </x:c>
      <x:c r="O38" s="16" t="str">
        <x:v>Good scoring/assists mix; projected regression from a very strong 2025-26.</x:v>
      </x:c>
      <x:c r="P38" s="22" t="n">
        <x:v>40.43989216286503</x:v>
      </x:c>
      <x:c r="Q38" s="22" t="n">
        <x:v>41.8364406779661</x:v>
      </x:c>
      <x:c r="R38" s="22" t="n">
        <x:v>41.138166420415565</x:v>
      </x:c>
      <x:c r="S38" s="22" t="n">
        <x:v>0</x:v>
      </x:c>
      <x:c r="T38" t="str">
        <x:v>https://www.fantasypros.com/nba/projections/overall.php | https://hashtagbasketball.com/fantasy-basketball-projections</x:v>
      </x:c>
      <x:c r="U38" s="49" t="str">
        <x:v>CORE</x:v>
      </x:c>
      <x:c r="V38" s="49" t="str">
        <x:v>HIGH</x:v>
      </x:c>
      <x:c r="W38" s="49" t="str">
        <x:v>DRAFT_DAY_BLEND</x:v>
      </x:c>
      <x:c r="X38" s="49" t="str">
        <x:v>TOP-200 RESEARCH</x:v>
      </x:c>
      <x:c r="Y38" s="49" t="str">
        <x:v>2026-10-10</x:v>
      </x:c>
      <x:c r="Z38" s="50" t="str">
        <x:v>https://www.nba.com/players</x:v>
      </x:c>
      <x:c r="AA38" s="50" t="str">
        <x:v>https://basketball.realgm.com/nba/stats/2026/Averages/All/points/All/desc/1/Regular_Season</x:v>
      </x:c>
    </x:row>
    <x:row r="39" ht="22" customHeight="1">
      <x:c r="A39" s="47" t="n">
        <x:v>34</x:v>
      </x:c>
      <x:c r="B39" t="str">
        <x:v>Pascal Siakam</x:v>
      </x:c>
      <x:c r="C39" t="str">
        <x:v>IND</x:v>
      </x:c>
      <x:c r="D39" t="str">
        <x:v>PF</x:v>
      </x:c>
      <x:c r="E39" t="str">
        <x:v>C/PF/SF</x:v>
      </x:c>
      <x:c r="F39" s="47" t="n">
        <x:v>62</x:v>
      </x:c>
      <x:c r="G39" s="22" t="n">
        <x:v>40.900000000000006</x:v>
      </x:c>
      <x:c r="H39" s="22" t="n">
        <x:v>37.69797349367399</x:v>
      </x:c>
      <x:c r="I39" s="22" t="n">
        <x:v>44.69797349367399</x:v>
      </x:c>
      <x:c r="J39" s="22" t="n">
        <x:v>76</x:v>
      </x:c>
      <x:c r="K39" s="22" t="str">
        <x:v>STANDARD</x:v>
      </x:c>
      <x:c r="L39" s="22" t="n">
        <x:v>41.19797349367399</x:v>
      </x:c>
      <x:c r="M39" s="30" t="n">
        <x:v>3131.0459855192234</x:v>
      </x:c>
      <x:c r="N39" s="18" t="str">
        <x:v>Available</x:v>
      </x:c>
      <x:c r="O39" s="16" t="str">
        <x:v>Steady multi-category production; Haliburton's return supports a more balanced offense.</x:v>
      </x:c>
      <x:c r="P39" s="22" t="n">
        <x:v>41.19797349367399</x:v>
      </x:c>
      <x:c r="Q39" s="22"/>
      <x:c r="R39" s="22" t="n">
        <x:v>41.19797349367399</x:v>
      </x:c>
      <x:c r="S39" s="22" t="n">
        <x:v>0</x:v>
      </x:c>
      <x:c r="T39" t="str">
        <x:v>https://www.fantasypros.com/nba/projections/overall.php</x:v>
      </x:c>
      <x:c r="U39" s="49" t="str">
        <x:v>CORE</x:v>
      </x:c>
      <x:c r="V39" s="49" t="str">
        <x:v>HIGH</x:v>
      </x:c>
      <x:c r="W39" s="49" t="str">
        <x:v>DRAFT_DAY_FP</x:v>
      </x:c>
      <x:c r="X39" s="49" t="str">
        <x:v>TOP-200 RESEARCH</x:v>
      </x:c>
      <x:c r="Y39" s="49" t="str">
        <x:v>2026-10-10</x:v>
      </x:c>
      <x:c r="Z39" s="50" t="str">
        <x:v>https://www.nba.com/players</x:v>
      </x:c>
      <x:c r="AA39" s="50" t="str">
        <x:v>https://basketball.realgm.com/nba/stats/2026/Averages/All/points/All/desc/1/Regular_Season</x:v>
      </x:c>
    </x:row>
    <x:row r="40" ht="22" customHeight="1">
      <x:c r="A40" s="47" t="n">
        <x:v>35</x:v>
      </x:c>
      <x:c r="B40" t="str">
        <x:v>Zion Williamson</x:v>
      </x:c>
      <x:c r="C40" t="str">
        <x:v>NOP</x:v>
      </x:c>
      <x:c r="D40" t="str">
        <x:v>PF</x:v>
      </x:c>
      <x:c r="E40" t="str">
        <x:v>C/PF</x:v>
      </x:c>
      <x:c r="F40" s="47" t="n">
        <x:v>62</x:v>
      </x:c>
      <x:c r="G40" s="22" t="n">
        <x:v>40.150000000000006</x:v>
      </x:c>
      <x:c r="H40" s="22" t="n">
        <x:v>34.353321033881954</x:v>
      </x:c>
      <x:c r="I40" s="22" t="n">
        <x:v>50.353321033881954</x:v>
      </x:c>
      <x:c r="J40" s="22" t="n">
        <x:v>69</x:v>
      </x:c>
      <x:c r="K40" s="22" t="str">
        <x:v>HIGH</x:v>
      </x:c>
      <x:c r="L40" s="22" t="n">
        <x:v>42.353321033881954</x:v>
      </x:c>
      <x:c r="M40" s="30" t="n">
        <x:v>2922.3791513378546</x:v>
      </x:c>
      <x:c r="N40" s="18" t="str">
        <x:v>Available</x:v>
      </x:c>
      <x:c r="O40" s="16" t="str">
        <x:v>Efficient scoring helps; no 70-game assumption and no discounting free-throw misses.</x:v>
      </x:c>
      <x:c r="P40" s="22" t="n">
        <x:v>42.353321033881954</x:v>
      </x:c>
      <x:c r="Q40" s="22"/>
      <x:c r="R40" s="22" t="n">
        <x:v>42.353321033881954</x:v>
      </x:c>
      <x:c r="S40" s="22" t="n">
        <x:v>0</x:v>
      </x:c>
      <x:c r="T40" t="str">
        <x:v>https://www.fantasypros.com/nba/projections/overall.php</x:v>
      </x:c>
      <x:c r="U40" s="49" t="str">
        <x:v>CORE</x:v>
      </x:c>
      <x:c r="V40" s="49" t="str">
        <x:v>HIGH</x:v>
      </x:c>
      <x:c r="W40" s="49" t="str">
        <x:v>DRAFT_DAY_FP</x:v>
      </x:c>
      <x:c r="X40" s="49" t="str">
        <x:v>TOP-200 RESEARCH</x:v>
      </x:c>
      <x:c r="Y40" s="49" t="str">
        <x:v>2026-10-10</x:v>
      </x:c>
      <x:c r="Z40" s="50" t="str">
        <x:v>https://www.nba.com/players</x:v>
      </x:c>
      <x:c r="AA40" s="50" t="str">
        <x:v>https://basketball.realgm.com/nba/stats/2026/Averages/All/points/All/desc/1/Regular_Season</x:v>
      </x:c>
    </x:row>
    <x:row r="41" ht="22" customHeight="1">
      <x:c r="A41" s="47" t="n">
        <x:v>36</x:v>
      </x:c>
      <x:c r="B41" t="str">
        <x:v>Franz Wagner</x:v>
      </x:c>
      <x:c r="C41" t="str">
        <x:v>ORL</x:v>
      </x:c>
      <x:c r="D41" t="str">
        <x:v>SF</x:v>
      </x:c>
      <x:c r="E41" t="str">
        <x:v>PF/SF</x:v>
      </x:c>
      <x:c r="F41" s="47" t="n">
        <x:v>34</x:v>
      </x:c>
      <x:c r="G41" s="22" t="n">
        <x:v>36.9</x:v>
      </x:c>
      <x:c r="H41" s="22" t="n">
        <x:v>35.37097885595281</x:v>
      </x:c>
      <x:c r="I41" s="22" t="n">
        <x:v>46.37097885595281</x:v>
      </x:c>
      <x:c r="J41" s="22" t="n">
        <x:v>72</x:v>
      </x:c>
      <x:c r="K41" s="22" t="str">
        <x:v>MEDIUM</x:v>
      </x:c>
      <x:c r="L41" s="22" t="n">
        <x:v>40.87097885595281</x:v>
      </x:c>
      <x:c r="M41" s="30" t="n">
        <x:v>2942.7104776286023</x:v>
      </x:c>
      <x:c r="N41" s="18" t="str">
        <x:v>Available</x:v>
      </x:c>
      <x:c r="O41" s="16" t="str">
        <x:v>High-end forward option; games and shooting efficiency are the main draft checks.</x:v>
      </x:c>
      <x:c r="P41" s="22" t="n">
        <x:v>40.87097885595281</x:v>
      </x:c>
      <x:c r="Q41" s="22"/>
      <x:c r="R41" s="22" t="n">
        <x:v>40.87097885595281</x:v>
      </x:c>
      <x:c r="S41" s="22" t="n">
        <x:v>0</x:v>
      </x:c>
      <x:c r="T41" t="str">
        <x:v>https://www.fantasypros.com/nba/projections/overall.php</x:v>
      </x:c>
      <x:c r="U41" s="49" t="str">
        <x:v>CORE</x:v>
      </x:c>
      <x:c r="V41" s="49" t="str">
        <x:v>HIGH</x:v>
      </x:c>
      <x:c r="W41" s="49" t="str">
        <x:v>DRAFT_DAY_FP</x:v>
      </x:c>
      <x:c r="X41" s="49" t="str">
        <x:v>TOP-200 RESEARCH</x:v>
      </x:c>
      <x:c r="Y41" s="49" t="str">
        <x:v>2026-10-10</x:v>
      </x:c>
      <x:c r="Z41" s="50" t="str">
        <x:v>https://www.nba.com/players</x:v>
      </x:c>
      <x:c r="AA41" s="50" t="str">
        <x:v>https://basketball.realgm.com/nba/stats/2026/Averages/All/points/All/desc/1/Regular_Season</x:v>
      </x:c>
    </x:row>
    <x:row r="42" ht="22" customHeight="1">
      <x:c r="A42" s="47" t="n">
        <x:v>37</x:v>
      </x:c>
      <x:c r="B42" t="str">
        <x:v>Ivica Zubac</x:v>
      </x:c>
      <x:c r="C42" t="str">
        <x:v>IND</x:v>
      </x:c>
      <x:c r="D42" t="str">
        <x:v>C</x:v>
      </x:c>
      <x:c r="E42" t="str">
        <x:v>C</x:v>
      </x:c>
      <x:c r="F42" s="47" t="n">
        <x:v>48</x:v>
      </x:c>
      <x:c r="G42" s="22" t="n">
        <x:v>36.4</x:v>
      </x:c>
      <x:c r="H42" s="22" t="n">
        <x:v>37.54040847711315</x:v>
      </x:c>
      <x:c r="I42" s="22" t="n">
        <x:v>44.54040847711315</x:v>
      </x:c>
      <x:c r="J42" s="22" t="n">
        <x:v>74</x:v>
      </x:c>
      <x:c r="K42" s="22" t="str">
        <x:v>STANDARD</x:v>
      </x:c>
      <x:c r="L42" s="22" t="n">
        <x:v>41.04040847711315</x:v>
      </x:c>
      <x:c r="M42" s="30" t="n">
        <x:v>3036.9902273063726</x:v>
      </x:c>
      <x:c r="N42" s="18" t="str">
        <x:v>Available</x:v>
      </x:c>
      <x:c r="O42" s="16" t="str">
        <x:v>Excellent efficient rebounder; Haliburton pairing supports his Indiana role.</x:v>
      </x:c>
      <x:c r="P42" s="22" t="n">
        <x:v>41.04040847711315</x:v>
      </x:c>
      <x:c r="Q42" s="22"/>
      <x:c r="R42" s="22" t="n">
        <x:v>41.04040847711315</x:v>
      </x:c>
      <x:c r="S42" s="22" t="n">
        <x:v>0</x:v>
      </x:c>
      <x:c r="T42" t="str">
        <x:v>https://www.fantasypros.com/nba/projections/overall.php</x:v>
      </x:c>
      <x:c r="U42" s="49" t="str">
        <x:v>CORE</x:v>
      </x:c>
      <x:c r="V42" s="49" t="str">
        <x:v>HIGH</x:v>
      </x:c>
      <x:c r="W42" s="49" t="str">
        <x:v>DRAFT_DAY_FP</x:v>
      </x:c>
      <x:c r="X42" s="49" t="str">
        <x:v>TOP-200 RESEARCH</x:v>
      </x:c>
      <x:c r="Y42" s="49" t="str">
        <x:v>2026-10-10</x:v>
      </x:c>
      <x:c r="Z42" s="50" t="str">
        <x:v>https://www.nba.com/players</x:v>
      </x:c>
      <x:c r="AA42" s="50" t="str">
        <x:v>https://basketball.realgm.com/nba/stats/2026/Averages/All/points/All/desc/1/Regular_Season</x:v>
      </x:c>
    </x:row>
    <x:row r="43" ht="22" customHeight="1">
      <x:c r="A43" s="47" t="n">
        <x:v>38</x:v>
      </x:c>
      <x:c r="B43" t="str">
        <x:v>LeBron James</x:v>
      </x:c>
      <x:c r="C43" t="str">
        <x:v>PHI</x:v>
      </x:c>
      <x:c r="D43" t="str">
        <x:v>SF</x:v>
      </x:c>
      <x:c r="E43" t="str">
        <x:v>SF/PF</x:v>
      </x:c>
      <x:c r="F43" s="47" t="n">
        <x:v>60</x:v>
      </x:c>
      <x:c r="G43" s="22" t="n">
        <x:v>40.8</x:v>
      </x:c>
      <x:c r="H43" s="22" t="n">
        <x:v>36.02937009718815</x:v>
      </x:c>
      <x:c r="I43" s="22" t="n">
        <x:v>47.02937009718815</x:v>
      </x:c>
      <x:c r="J43" s="22" t="n">
        <x:v>68</x:v>
      </x:c>
      <x:c r="K43" s="22" t="str">
        <x:v>MEDIUM</x:v>
      </x:c>
      <x:c r="L43" s="22" t="n">
        <x:v>41.52937009718815</x:v>
      </x:c>
      <x:c r="M43" s="30" t="n">
        <x:v>2823.997166608794</x:v>
      </x:c>
      <x:c r="N43" s="18" t="str">
        <x:v>Available</x:v>
      </x:c>
      <x:c r="O43" s="16" t="str">
        <x:v>Philadelphia's crowded offense and veteran workload call for a discount from name value.</x:v>
      </x:c>
      <x:c r="P43" s="22" t="n">
        <x:v>41.90437009718815</x:v>
      </x:c>
      <x:c r="Q43" s="22"/>
      <x:c r="R43" s="22" t="n">
        <x:v>41.90437009718815</x:v>
      </x:c>
      <x:c r="S43" s="22" t="n">
        <x:v>-0.375</x:v>
      </x:c>
      <x:c r="T43" t="str">
        <x:v>https://www.fantasypros.com/nba/projections/overall.php</x:v>
      </x:c>
      <x:c r="U43" s="49" t="str">
        <x:v>CORE</x:v>
      </x:c>
      <x:c r="V43" s="49" t="str">
        <x:v>HIGH</x:v>
      </x:c>
      <x:c r="W43" s="49" t="str">
        <x:v>DRAFT_DAY_FP</x:v>
      </x:c>
      <x:c r="X43" s="49" t="str">
        <x:v>TOP-200 RESEARCH</x:v>
      </x:c>
      <x:c r="Y43" s="49" t="str">
        <x:v>2026-10-10</x:v>
      </x:c>
      <x:c r="Z43" s="50" t="str">
        <x:v>https://www.nba.com/players</x:v>
      </x:c>
      <x:c r="AA43" s="50" t="str">
        <x:v>https://basketball.realgm.com/nba/stats/2026/Averages/All/points/All/desc/1/Regular_Season</x:v>
      </x:c>
    </x:row>
    <x:row r="44" ht="22" customHeight="1">
      <x:c r="A44" s="47" t="n">
        <x:v>39</x:v>
      </x:c>
      <x:c r="B44" t="str">
        <x:v>Jaylen Brown</x:v>
      </x:c>
      <x:c r="C44" t="str">
        <x:v>PHI</x:v>
      </x:c>
      <x:c r="D44" t="str">
        <x:v>SG</x:v>
      </x:c>
      <x:c r="E44" t="str">
        <x:v>PF/SF/SG</x:v>
      </x:c>
      <x:c r="F44" s="47" t="n">
        <x:v>71</x:v>
      </x:c>
      <x:c r="G44" s="22" t="n">
        <x:v>46.45</x:v>
      </x:c>
      <x:c r="H44" s="22" t="n">
        <x:v>36.910224229983164</x:v>
      </x:c>
      <x:c r="I44" s="22" t="n">
        <x:v>43.910224229983164</x:v>
      </x:c>
      <x:c r="J44" s="22" t="n">
        <x:v>75</x:v>
      </x:c>
      <x:c r="K44" s="22" t="str">
        <x:v>STANDARD</x:v>
      </x:c>
      <x:c r="L44" s="22" t="n">
        <x:v>40.410224229983164</x:v>
      </x:c>
      <x:c r="M44" s="30" t="n">
        <x:v>3030.7668172487374</x:v>
      </x:c>
      <x:c r="N44" s="18" t="str">
        <x:v>Available</x:v>
      </x:c>
      <x:c r="O44" s="16" t="str">
        <x:v>Philadelphia adds major scoring competition; do not pay for Boston's 2025-26 usage.</x:v>
      </x:c>
      <x:c r="P44" s="22" t="n">
        <x:v>40.785224229983164</x:v>
      </x:c>
      <x:c r="Q44" s="22"/>
      <x:c r="R44" s="22" t="n">
        <x:v>40.785224229983164</x:v>
      </x:c>
      <x:c r="S44" s="22" t="n">
        <x:v>-0.375</x:v>
      </x:c>
      <x:c r="T44" t="str">
        <x:v>https://www.fantasypros.com/nba/projections/overall.php</x:v>
      </x:c>
      <x:c r="U44" s="49" t="str">
        <x:v>CORE</x:v>
      </x:c>
      <x:c r="V44" s="49" t="str">
        <x:v>HIGH</x:v>
      </x:c>
      <x:c r="W44" s="49" t="str">
        <x:v>DRAFT_DAY_FP</x:v>
      </x:c>
      <x:c r="X44" s="49" t="str">
        <x:v>TOP-200 RESEARCH</x:v>
      </x:c>
      <x:c r="Y44" s="49" t="str">
        <x:v>2026-10-10</x:v>
      </x:c>
      <x:c r="Z44" s="50" t="str">
        <x:v>https://www.nba.com/players</x:v>
      </x:c>
      <x:c r="AA44" s="50" t="str">
        <x:v>https://basketball.realgm.com/nba/stats/2026/Averages/All/points/All/desc/1/Regular_Season</x:v>
      </x:c>
    </x:row>
    <x:row r="45" ht="22" customHeight="1">
      <x:c r="A45" s="47" t="n">
        <x:v>40</x:v>
      </x:c>
      <x:c r="B45" t="str">
        <x:v>James Harden</x:v>
      </x:c>
      <x:c r="C45" t="str">
        <x:v>CLE</x:v>
      </x:c>
      <x:c r="D45" t="str">
        <x:v>PG</x:v>
      </x:c>
      <x:c r="E45" t="str">
        <x:v>PG/SG</x:v>
      </x:c>
      <x:c r="F45" s="47" t="n">
        <x:v>70</x:v>
      </x:c>
      <x:c r="G45" s="22" t="n">
        <x:v>44.20000000000001</x:v>
      </x:c>
      <x:c r="H45" s="22" t="n">
        <x:v>36.71807278211482</x:v>
      </x:c>
      <x:c r="I45" s="22" t="n">
        <x:v>43.71807278211482</x:v>
      </x:c>
      <x:c r="J45" s="22" t="n">
        <x:v>76</x:v>
      </x:c>
      <x:c r="K45" s="22" t="str">
        <x:v>STANDARD</x:v>
      </x:c>
      <x:c r="L45" s="22" t="n">
        <x:v>40.21807278211482</x:v>
      </x:c>
      <x:c r="M45" s="30" t="n">
        <x:v>3056.573531440726</x:v>
      </x:c>
      <x:c r="N45" s="18" t="str">
        <x:v>Available</x:v>
      </x:c>
      <x:c r="O45" s="16" t="str">
        <x:v>Cleveland shared creation limits the old sole-engine ceiling.</x:v>
      </x:c>
      <x:c r="P45" s="22" t="n">
        <x:v>41.03442142629859</x:v>
      </x:c>
      <x:c r="Q45" s="22" t="n">
        <x:v>39.40172413793103</x:v>
      </x:c>
      <x:c r="R45" s="22" t="n">
        <x:v>40.21807278211482</x:v>
      </x:c>
      <x:c r="S45" s="22" t="n">
        <x:v>0</x:v>
      </x:c>
      <x:c r="T45" t="str">
        <x:v>https://www.fantasypros.com/nba/projections/overall.php | https://hashtagbasketball.com/fantasy-basketball-projections</x:v>
      </x:c>
      <x:c r="U45" s="49" t="str">
        <x:v>CORE</x:v>
      </x:c>
      <x:c r="V45" s="49" t="str">
        <x:v>HIGH</x:v>
      </x:c>
      <x:c r="W45" s="49" t="str">
        <x:v>DRAFT_DAY_BLEND</x:v>
      </x:c>
      <x:c r="X45" s="49" t="str">
        <x:v>TOP-200 RESEARCH</x:v>
      </x:c>
      <x:c r="Y45" s="49" t="str">
        <x:v>2026-10-10</x:v>
      </x:c>
      <x:c r="Z45" s="50" t="str">
        <x:v>https://www.nba.com/players</x:v>
      </x:c>
      <x:c r="AA45" s="50" t="str">
        <x:v>https://basketball.realgm.com/nba/stats/2026/Averages/All/points/All/desc/1/Regular_Season</x:v>
      </x:c>
    </x:row>
    <x:row r="46" ht="22" customHeight="1">
      <x:c r="A46" s="47" t="n">
        <x:v>41</x:v>
      </x:c>
      <x:c r="B46" t="str">
        <x:v>Trae Young</x:v>
      </x:c>
      <x:c r="C46" t="str">
        <x:v>WAS</x:v>
      </x:c>
      <x:c r="D46" t="str">
        <x:v>PG</x:v>
      </x:c>
      <x:c r="E46" t="str">
        <x:v>PG</x:v>
      </x:c>
      <x:c r="F46" s="47" t="n">
        <x:v>15</x:v>
      </x:c>
      <x:c r="G46" s="22" t="n">
        <x:v>34.15</x:v>
      </x:c>
      <x:c r="H46" s="22" t="n">
        <x:v>34.65379129824785</x:v>
      </x:c>
      <x:c r="I46" s="22" t="n">
        <x:v>45.65379129824785</x:v>
      </x:c>
      <x:c r="J46" s="22" t="n">
        <x:v>75</x:v>
      </x:c>
      <x:c r="K46" s="22" t="str">
        <x:v>MEDIUM</x:v>
      </x:c>
      <x:c r="L46" s="22" t="n">
        <x:v>40.15379129824785</x:v>
      </x:c>
      <x:c r="M46" s="30" t="n">
        <x:v>3011.534347368589</x:v>
      </x:c>
      <x:c r="N46" s="18" t="str">
        <x:v>Available</x:v>
      </x:c>
      <x:c r="O46" s="16" t="str">
        <x:v>Washington has productive targets; turnover penalty means assists alone do not make him elite.</x:v>
      </x:c>
      <x:c r="P46" s="22" t="n">
        <x:v>37.7247700964957</x:v>
      </x:c>
      <x:c r="Q46" s="22" t="n">
        <x:v>42.5828125</x:v>
      </x:c>
      <x:c r="R46" s="22" t="n">
        <x:v>40.15379129824785</x:v>
      </x:c>
      <x:c r="S46" s="22" t="n">
        <x:v>0</x:v>
      </x:c>
      <x:c r="T46" t="str">
        <x:v>https://www.fantasypros.com/nba/projections/overall.php | https://hashtagbasketball.com/fantasy-basketball-projections</x:v>
      </x:c>
      <x:c r="U46" s="49" t="str">
        <x:v>CORE</x:v>
      </x:c>
      <x:c r="V46" s="49" t="str">
        <x:v>HIGH</x:v>
      </x:c>
      <x:c r="W46" s="49" t="str">
        <x:v>DRAFT_DAY_BLEND</x:v>
      </x:c>
      <x:c r="X46" s="49" t="str">
        <x:v>TOP-200 RESEARCH</x:v>
      </x:c>
      <x:c r="Y46" s="49" t="str">
        <x:v>2026-10-10</x:v>
      </x:c>
      <x:c r="Z46" s="50" t="str">
        <x:v>https://www.nba.com/players</x:v>
      </x:c>
      <x:c r="AA46" s="50" t="str">
        <x:v>https://basketball.realgm.com/nba/stats/2026/Averages/All/points/All/desc/1/Regular_Season</x:v>
      </x:c>
    </x:row>
    <x:row r="47" ht="22" customHeight="1">
      <x:c r="A47" s="47" t="n">
        <x:v>42</x:v>
      </x:c>
      <x:c r="B47" t="str">
        <x:v>Jarrett Allen</x:v>
      </x:c>
      <x:c r="C47" t="str">
        <x:v>CLE</x:v>
      </x:c>
      <x:c r="D47" t="str">
        <x:v>C</x:v>
      </x:c>
      <x:c r="E47" t="str">
        <x:v>C</x:v>
      </x:c>
      <x:c r="F47" s="47" t="n">
        <x:v>56</x:v>
      </x:c>
      <x:c r="G47" s="22" t="n">
        <x:v>36.9</x:v>
      </x:c>
      <x:c r="H47" s="22" t="n">
        <x:v>35.43499734468319</x:v>
      </x:c>
      <x:c r="I47" s="22" t="n">
        <x:v>42.43499734468319</x:v>
      </x:c>
      <x:c r="J47" s="22" t="n">
        <x:v>75</x:v>
      </x:c>
      <x:c r="K47" s="22" t="str">
        <x:v>STANDARD</x:v>
      </x:c>
      <x:c r="L47" s="22" t="n">
        <x:v>38.93499734468319</x:v>
      </x:c>
      <x:c r="M47" s="30" t="n">
        <x:v>2920.1248008512393</x:v>
      </x:c>
      <x:c r="N47" s="18" t="str">
        <x:v>Available</x:v>
      </x:c>
      <x:c r="O47" s="16" t="str">
        <x:v>Strong value when offensive rebounds and efficient finishes are rewarded.</x:v>
      </x:c>
      <x:c r="P47" s="22" t="n">
        <x:v>38.93499734468319</x:v>
      </x:c>
      <x:c r="Q47" s="22"/>
      <x:c r="R47" s="22" t="n">
        <x:v>38.93499734468319</x:v>
      </x:c>
      <x:c r="S47" s="22" t="n">
        <x:v>0</x:v>
      </x:c>
      <x:c r="T47" t="str">
        <x:v>https://www.fantasypros.com/nba/projections/overall.php</x:v>
      </x:c>
      <x:c r="U47" s="49" t="str">
        <x:v>CORE</x:v>
      </x:c>
      <x:c r="V47" s="49" t="str">
        <x:v>HIGH</x:v>
      </x:c>
      <x:c r="W47" s="49" t="str">
        <x:v>DRAFT_DAY_FP</x:v>
      </x:c>
      <x:c r="X47" s="49" t="str">
        <x:v>TOP-200 RESEARCH</x:v>
      </x:c>
      <x:c r="Y47" s="49" t="str">
        <x:v>2026-10-10</x:v>
      </x:c>
      <x:c r="Z47" s="50" t="str">
        <x:v>https://www.nba.com/players</x:v>
      </x:c>
      <x:c r="AA47" s="50" t="str">
        <x:v>https://basketball.realgm.com/nba/stats/2026/Averages/All/points/All/desc/1/Regular_Season</x:v>
      </x:c>
    </x:row>
    <x:row r="48" ht="22" customHeight="1">
      <x:c r="A48" s="47" t="n">
        <x:v>43</x:v>
      </x:c>
      <x:c r="B48" t="str">
        <x:v>Lauri Markkanen</x:v>
      </x:c>
      <x:c r="C48" t="str">
        <x:v>UTA</x:v>
      </x:c>
      <x:c r="D48" t="str">
        <x:v>PF</x:v>
      </x:c>
      <x:c r="E48" t="str">
        <x:v>SF/PF</x:v>
      </x:c>
      <x:c r="F48" s="47" t="n">
        <x:v>42</x:v>
      </x:c>
      <x:c r="G48" s="22" t="n">
        <x:v>47.199999999999996</x:v>
      </x:c>
      <x:c r="H48" s="22" t="n">
        <x:v>34.573016325760626</x:v>
      </x:c>
      <x:c r="I48" s="22" t="n">
        <x:v>45.573016325760626</x:v>
      </x:c>
      <x:c r="J48" s="22" t="n">
        <x:v>74</x:v>
      </x:c>
      <x:c r="K48" s="22" t="str">
        <x:v>MEDIUM</x:v>
      </x:c>
      <x:c r="L48" s="22" t="n">
        <x:v>40.073016325760626</x:v>
      </x:c>
      <x:c r="M48" s="30" t="n">
        <x:v>2965.4032081062865</x:v>
      </x:c>
      <x:c r="N48" s="18" t="str">
        <x:v>Available</x:v>
      </x:c>
      <x:c r="O48" s="16" t="str">
        <x:v>Utah has more mouths to feed; do not assume last season's scoring repeats.</x:v>
      </x:c>
      <x:c r="P48" s="22" t="n">
        <x:v>40.073016325760626</x:v>
      </x:c>
      <x:c r="Q48" s="22"/>
      <x:c r="R48" s="22" t="n">
        <x:v>40.073016325760626</x:v>
      </x:c>
      <x:c r="S48" s="22" t="n">
        <x:v>0</x:v>
      </x:c>
      <x:c r="T48" t="str">
        <x:v>https://www.fantasypros.com/nba/projections/overall.php</x:v>
      </x:c>
      <x:c r="U48" s="49" t="str">
        <x:v>CORE</x:v>
      </x:c>
      <x:c r="V48" s="49" t="str">
        <x:v>HIGH</x:v>
      </x:c>
      <x:c r="W48" s="49" t="str">
        <x:v>DRAFT_DAY_FP</x:v>
      </x:c>
      <x:c r="X48" s="49" t="str">
        <x:v>TOP-200 RESEARCH</x:v>
      </x:c>
      <x:c r="Y48" s="49" t="str">
        <x:v>2026-10-10</x:v>
      </x:c>
      <x:c r="Z48" s="50" t="str">
        <x:v>https://www.nba.com/players</x:v>
      </x:c>
      <x:c r="AA48" s="50" t="str">
        <x:v>https://basketball.realgm.com/nba/stats/2026/Averages/All/points/All/desc/1/Regular_Season</x:v>
      </x:c>
    </x:row>
    <x:row r="49" ht="22" customHeight="1">
      <x:c r="A49" s="47" t="n">
        <x:v>44</x:v>
      </x:c>
      <x:c r="B49" t="str">
        <x:v>Jalen Williams</x:v>
      </x:c>
      <x:c r="C49" t="str">
        <x:v>OKC</x:v>
      </x:c>
      <x:c r="D49" t="str">
        <x:v>SF</x:v>
      </x:c>
      <x:c r="E49" t="str">
        <x:v>PF/SF/SG</x:v>
      </x:c>
      <x:c r="F49" s="47" t="n">
        <x:v>33</x:v>
      </x:c>
      <x:c r="G49" s="22" t="n">
        <x:v>33.50000000000001</x:v>
      </x:c>
      <x:c r="H49" s="22" t="n">
        <x:v>32.84265546405642</x:v>
      </x:c>
      <x:c r="I49" s="22" t="n">
        <x:v>43.84265546405642</x:v>
      </x:c>
      <x:c r="J49" s="22" t="n">
        <x:v>74</x:v>
      </x:c>
      <x:c r="K49" s="22" t="str">
        <x:v>MEDIUM</x:v>
      </x:c>
      <x:c r="L49" s="22" t="n">
        <x:v>38.34265546405642</x:v>
      </x:c>
      <x:c r="M49" s="30" t="n">
        <x:v>2837.356504340175</x:v>
      </x:c>
      <x:c r="N49" s="18" t="str">
        <x:v>Available</x:v>
      </x:c>
      <x:c r="O49" s="16" t="str">
        <x:v>Bounce-back upside; use a realistic health and role range.</x:v>
      </x:c>
      <x:c r="P49" s="22" t="n">
        <x:v>38.34265546405642</x:v>
      </x:c>
      <x:c r="Q49" s="22"/>
      <x:c r="R49" s="22" t="n">
        <x:v>38.34265546405642</x:v>
      </x:c>
      <x:c r="S49" s="22" t="n">
        <x:v>0</x:v>
      </x:c>
      <x:c r="T49" t="str">
        <x:v>https://www.fantasypros.com/nba/projections/overall.php</x:v>
      </x:c>
      <x:c r="U49" s="49" t="str">
        <x:v>CORE</x:v>
      </x:c>
      <x:c r="V49" s="49" t="str">
        <x:v>HIGH</x:v>
      </x:c>
      <x:c r="W49" s="49" t="str">
        <x:v>DRAFT_DAY_FP</x:v>
      </x:c>
      <x:c r="X49" s="49" t="str">
        <x:v>TOP-200 RESEARCH</x:v>
      </x:c>
      <x:c r="Y49" s="49" t="str">
        <x:v>2026-10-10</x:v>
      </x:c>
      <x:c r="Z49" s="50" t="str">
        <x:v>https://www.nba.com/players</x:v>
      </x:c>
      <x:c r="AA49" s="50" t="str">
        <x:v>https://basketball.realgm.com/nba/stats/2026/Averages/All/points/All/desc/1/Regular_Season</x:v>
      </x:c>
    </x:row>
    <x:row r="50" ht="22" customHeight="1">
      <x:c r="A50" s="47" t="n">
        <x:v>45</x:v>
      </x:c>
      <x:c r="B50" t="str">
        <x:v>Chet Holmgren</x:v>
      </x:c>
      <x:c r="C50" t="str">
        <x:v>OKC</x:v>
      </x:c>
      <x:c r="D50" t="str">
        <x:v>C</x:v>
      </x:c>
      <x:c r="E50" t="str">
        <x:v>PF/C</x:v>
      </x:c>
      <x:c r="F50" s="47" t="n">
        <x:v>69</x:v>
      </x:c>
      <x:c r="G50" s="22" t="n">
        <x:v>38.300000000000004</x:v>
      </x:c>
      <x:c r="H50" s="22" t="n">
        <x:v>32.25327000707016</x:v>
      </x:c>
      <x:c r="I50" s="22" t="n">
        <x:v>43.25327000707016</x:v>
      </x:c>
      <x:c r="J50" s="22" t="n">
        <x:v>72</x:v>
      </x:c>
      <x:c r="K50" s="22" t="str">
        <x:v>MEDIUM</x:v>
      </x:c>
      <x:c r="L50" s="22" t="n">
        <x:v>37.75327000707016</x:v>
      </x:c>
      <x:c r="M50" s="30" t="n">
        <x:v>2718.2354405090514</x:v>
      </x:c>
      <x:c r="N50" s="18" t="str">
        <x:v>Available</x:v>
      </x:c>
      <x:c r="O50" s="16" t="str">
        <x:v>Good efficiency, but modest block weighting keeps category-league hype in check.</x:v>
      </x:c>
      <x:c r="P50" s="22" t="n">
        <x:v>36.00134970272163</x:v>
      </x:c>
      <x:c r="Q50" s="22" t="n">
        <x:v>39.00519031141869</x:v>
      </x:c>
      <x:c r="R50" s="22" t="n">
        <x:v>37.50327000707016</x:v>
      </x:c>
      <x:c r="S50" s="22" t="n">
        <x:v>0.25</x:v>
      </x:c>
      <x:c r="T50" t="str">
        <x:v>https://www.fantasypros.com/nba/projections/overall.php | https://hashtagbasketball.com/fantasy-basketball-projections</x:v>
      </x:c>
      <x:c r="U50" s="49" t="str">
        <x:v>CORE</x:v>
      </x:c>
      <x:c r="V50" s="49" t="str">
        <x:v>HIGH</x:v>
      </x:c>
      <x:c r="W50" s="49" t="str">
        <x:v>DRAFT_DAY_BLEND</x:v>
      </x:c>
      <x:c r="X50" s="49" t="str">
        <x:v>TOP-200 RESEARCH</x:v>
      </x:c>
      <x:c r="Y50" s="49" t="str">
        <x:v>2026-10-10</x:v>
      </x:c>
      <x:c r="Z50" s="50" t="str">
        <x:v>https://www.nba.com/players</x:v>
      </x:c>
      <x:c r="AA50" s="50" t="str">
        <x:v>https://basketball.realgm.com/nba/stats/2026/Averages/All/points/All/desc/1/Regular_Season</x:v>
      </x:c>
    </x:row>
    <x:row r="51" ht="22" customHeight="1">
      <x:c r="A51" s="47" t="n">
        <x:v>46</x:v>
      </x:c>
      <x:c r="B51" t="str">
        <x:v>Trey Murphy III</x:v>
      </x:c>
      <x:c r="C51" t="str">
        <x:v>NOP</x:v>
      </x:c>
      <x:c r="D51" t="str">
        <x:v>SF</x:v>
      </x:c>
      <x:c r="E51" t="str">
        <x:v>PF/SF/SG</x:v>
      </x:c>
      <x:c r="F51" s="47" t="n">
        <x:v>66</x:v>
      </x:c>
      <x:c r="G51" s="22" t="n">
        <x:v>40.099999999999994</x:v>
      </x:c>
      <x:c r="H51" s="22" t="n">
        <x:v>34.501773671187266</x:v>
      </x:c>
      <x:c r="I51" s="22" t="n">
        <x:v>41.501773671187266</x:v>
      </x:c>
      <x:c r="J51" s="22" t="n">
        <x:v>73</x:v>
      </x:c>
      <x:c r="K51" s="22" t="str">
        <x:v>STANDARD</x:v>
      </x:c>
      <x:c r="L51" s="22" t="n">
        <x:v>38.001773671187266</x:v>
      </x:c>
      <x:c r="M51" s="30" t="n">
        <x:v>2774.12947799667</x:v>
      </x:c>
      <x:c r="N51" s="18" t="str">
        <x:v>Available</x:v>
      </x:c>
      <x:c r="O51" s="16" t="str">
        <x:v>Three-point efficiency is useful; projected below a very strong prior season.</x:v>
      </x:c>
      <x:c r="P51" s="22" t="n">
        <x:v>36.620448750825226</x:v>
      </x:c>
      <x:c r="Q51" s="22" t="n">
        <x:v>39.383098591549306</x:v>
      </x:c>
      <x:c r="R51" s="22" t="n">
        <x:v>38.001773671187266</x:v>
      </x:c>
      <x:c r="S51" s="22" t="n">
        <x:v>0</x:v>
      </x:c>
      <x:c r="T51" t="str">
        <x:v>https://www.fantasypros.com/nba/projections/overall.php | https://hashtagbasketball.com/fantasy-basketball-projections</x:v>
      </x:c>
      <x:c r="U51" s="49" t="str">
        <x:v>CORE</x:v>
      </x:c>
      <x:c r="V51" s="49" t="str">
        <x:v>HIGH</x:v>
      </x:c>
      <x:c r="W51" s="49" t="str">
        <x:v>DRAFT_DAY_BLEND</x:v>
      </x:c>
      <x:c r="X51" s="49" t="str">
        <x:v>TOP-200 RESEARCH</x:v>
      </x:c>
      <x:c r="Y51" s="49" t="str">
        <x:v>2026-10-10</x:v>
      </x:c>
      <x:c r="Z51" s="50" t="str">
        <x:v>https://www.nba.com/players</x:v>
      </x:c>
      <x:c r="AA51" s="50" t="str">
        <x:v>https://basketball.realgm.com/nba/stats/2026/Averages/All/points/All/desc/1/Regular_Season</x:v>
      </x:c>
    </x:row>
    <x:row r="52" ht="22" customHeight="1">
      <x:c r="A52" s="47" t="n">
        <x:v>47</x:v>
      </x:c>
      <x:c r="B52" t="str">
        <x:v>Tyrese Haliburton</x:v>
      </x:c>
      <x:c r="C52" t="str">
        <x:v>IND</x:v>
      </x:c>
      <x:c r="D52" t="str">
        <x:v>PG</x:v>
      </x:c>
      <x:c r="E52" t="str">
        <x:v>PG/SG</x:v>
      </x:c>
      <x:c r="F52" s="47" t="n">
        <x:v>0</x:v>
      </x:c>
      <x:c r="G52" s="22"/>
      <x:c r="H52" s="22" t="n">
        <x:v>35.79200576847532</x:v>
      </x:c>
      <x:c r="I52" s="22" t="n">
        <x:v>46.79200576847532</x:v>
      </x:c>
      <x:c r="J52" s="22" t="n">
        <x:v>66</x:v>
      </x:c>
      <x:c r="K52" s="22" t="str">
        <x:v>MEDIUM</x:v>
      </x:c>
      <x:c r="L52" s="22" t="n">
        <x:v>41.29200576847532</x:v>
      </x:c>
      <x:c r="M52" s="30" t="n">
        <x:v>2725.272380719371</x:v>
      </x:c>
      <x:c r="N52" s="18" t="str">
        <x:v>Available</x:v>
      </x:c>
      <x:c r="O52" s="16" t="str">
        <x:v>Returned from Achilles absence, then tweaked right ankle in preseason debut. MRI was encouraging, but return-season workload/ramp remains a real draft risk.</x:v>
      </x:c>
      <x:c r="P52" s="22" t="n">
        <x:v>42.38044010837922</x:v>
      </x:c>
      <x:c r="Q52" s="22" t="n">
        <x:v>40.20357142857143</x:v>
      </x:c>
      <x:c r="R52" s="22" t="n">
        <x:v>41.29200576847532</x:v>
      </x:c>
      <x:c r="S52" s="22" t="n">
        <x:v>0</x:v>
      </x:c>
      <x:c r="T52" t="str">
        <x:v>https://sports.yahoo.com/articles/tyrese-haliburton-injury-pacers-star-213647317.html</x:v>
      </x:c>
      <x:c r="U52" s="49" t="str">
        <x:v>CORE</x:v>
      </x:c>
      <x:c r="V52" s="49" t="str">
        <x:v>HIGH</x:v>
      </x:c>
      <x:c r="W52" s="49" t="str">
        <x:v>DRAFT_DAY_BLEND</x:v>
      </x:c>
      <x:c r="X52" s="49" t="str">
        <x:v>TOP-200 RESEARCH</x:v>
      </x:c>
      <x:c r="Y52" s="49" t="str">
        <x:v>2026-10-10</x:v>
      </x:c>
      <x:c r="Z52" s="50" t="str">
        <x:v>https://www.nba.com/players</x:v>
      </x:c>
      <x:c r="AA52" s="50" t="str">
        <x:v>https://basketball.realgm.com/nba/stats/2026/Averages/All/points/All/desc/1/Regular_Season</x:v>
      </x:c>
    </x:row>
    <x:row r="53" ht="22" customHeight="1">
      <x:c r="A53" s="47" t="n">
        <x:v>48</x:v>
      </x:c>
      <x:c r="B53" t="str">
        <x:v>Walker Kessler</x:v>
      </x:c>
      <x:c r="C53" t="str">
        <x:v>LAL</x:v>
      </x:c>
      <x:c r="D53" t="str">
        <x:v>C</x:v>
      </x:c>
      <x:c r="E53" t="str">
        <x:v>C</x:v>
      </x:c>
      <x:c r="F53" s="47" t="n">
        <x:v>5</x:v>
      </x:c>
      <x:c r="G53" s="22" t="n">
        <x:v>43.800000000000004</x:v>
      </x:c>
      <x:c r="H53" s="22" t="n">
        <x:v>33.97681272413624</x:v>
      </x:c>
      <x:c r="I53" s="22" t="n">
        <x:v>44.97681272413624</x:v>
      </x:c>
      <x:c r="J53" s="22" t="n">
        <x:v>68</x:v>
      </x:c>
      <x:c r="K53" s="22" t="str">
        <x:v>MEDIUM</x:v>
      </x:c>
      <x:c r="L53" s="22" t="n">
        <x:v>39.47681272413624</x:v>
      </x:c>
      <x:c r="M53" s="30" t="n">
        <x:v>2684.4232652412643</x:v>
      </x:c>
      <x:c r="N53" s="18" t="str">
        <x:v>Available</x:v>
      </x:c>
      <x:c r="O53" s="16" t="str">
        <x:v>Finger injury has kept him out of preseason games; role remains strong, but add a small health buffer.</x:v>
      </x:c>
      <x:c r="P53" s="22" t="n">
        <x:v>39.47681272413624</x:v>
      </x:c>
      <x:c r="Q53" s="22"/>
      <x:c r="R53" s="22" t="n">
        <x:v>39.47681272413624</x:v>
      </x:c>
      <x:c r="S53" s="22" t="n">
        <x:v>0</x:v>
      </x:c>
      <x:c r="T53" t="str">
        <x:v>https://www.nba.com/player/1631117/walker-kessler</x:v>
      </x:c>
      <x:c r="U53" s="49" t="str">
        <x:v>CORE</x:v>
      </x:c>
      <x:c r="V53" s="49" t="str">
        <x:v>HIGH</x:v>
      </x:c>
      <x:c r="W53" s="49" t="str">
        <x:v>DRAFT_DAY_FP</x:v>
      </x:c>
      <x:c r="X53" s="49" t="str">
        <x:v>TOP-200 RESEARCH</x:v>
      </x:c>
      <x:c r="Y53" s="49" t="str">
        <x:v>2026-10-10</x:v>
      </x:c>
      <x:c r="Z53" s="50" t="str">
        <x:v>https://www.nba.com/players</x:v>
      </x:c>
      <x:c r="AA53" s="50" t="str">
        <x:v>https://basketball.realgm.com/nba/stats/2026/Averages/All/points/All/desc/1/Regular_Season</x:v>
      </x:c>
    </x:row>
    <x:row r="54" ht="22" customHeight="1">
      <x:c r="A54" s="47" t="n">
        <x:v>49</x:v>
      </x:c>
      <x:c r="B54" t="str">
        <x:v>Cameron Boozer</x:v>
      </x:c>
      <x:c r="C54" t="str">
        <x:v>MEM</x:v>
      </x:c>
      <x:c r="D54" t="str">
        <x:v>PF</x:v>
      </x:c>
      <x:c r="E54" t="str">
        <x:v>PF</x:v>
      </x:c>
      <x:c r="F54" s="47" t="n">
        <x:v>0</x:v>
      </x:c>
      <x:c r="G54" s="22"/>
      <x:c r="H54" s="22" t="n">
        <x:v>32.48484279687031</x:v>
      </x:c>
      <x:c r="I54" s="22" t="n">
        <x:v>43.48484279687031</x:v>
      </x:c>
      <x:c r="J54" s="22" t="n">
        <x:v>75</x:v>
      </x:c>
      <x:c r="K54" s="22" t="str">
        <x:v>MEDIUM</x:v>
      </x:c>
      <x:c r="L54" s="22" t="n">
        <x:v>37.98484279687031</x:v>
      </x:c>
      <x:c r="M54" s="30" t="n">
        <x:v>2848.8632097652735</x:v>
      </x:c>
      <x:c r="N54" s="18" t="str">
        <x:v>Available</x:v>
      </x:c>
      <x:c r="O54" s="16" t="str">
        <x:v>Rookie rebound/scoring profile fits; wide range and no NBA historical baseline.</x:v>
      </x:c>
      <x:c r="P54" s="22" t="n">
        <x:v>38.23484279687031</x:v>
      </x:c>
      <x:c r="Q54" s="22"/>
      <x:c r="R54" s="22" t="n">
        <x:v>38.23484279687031</x:v>
      </x:c>
      <x:c r="S54" s="22" t="n">
        <x:v>-0.25</x:v>
      </x:c>
      <x:c r="T54" t="str">
        <x:v>https://www.fantasypros.com/nba/projections/overall.php</x:v>
      </x:c>
      <x:c r="U54" s="49" t="str">
        <x:v>CORE</x:v>
      </x:c>
      <x:c r="V54" s="49" t="str">
        <x:v>HIGH</x:v>
      </x:c>
      <x:c r="W54" s="49" t="str">
        <x:v>DRAFT_DAY_FP</x:v>
      </x:c>
      <x:c r="X54" s="49" t="str">
        <x:v>TOP-200 RESEARCH</x:v>
      </x:c>
      <x:c r="Y54" s="49" t="str">
        <x:v>2026-10-10</x:v>
      </x:c>
      <x:c r="Z54" s="50" t="str">
        <x:v>https://www.nba.com/players</x:v>
      </x:c>
      <x:c r="AA54" s="50" t="str">
        <x:v>https://basketball.realgm.com/nba/stats/2026/Averages/All/points/All/desc/1/Regular_Season</x:v>
      </x:c>
    </x:row>
    <x:row r="55" ht="22" customHeight="1">
      <x:c r="A55" s="47" t="n">
        <x:v>50</x:v>
      </x:c>
      <x:c r="B55" t="str">
        <x:v>Rudy Gobert</x:v>
      </x:c>
      <x:c r="C55" t="str">
        <x:v>MIN</x:v>
      </x:c>
      <x:c r="D55" t="str">
        <x:v>C</x:v>
      </x:c>
      <x:c r="E55" t="str">
        <x:v>C</x:v>
      </x:c>
      <x:c r="F55" s="47" t="n">
        <x:v>76</x:v>
      </x:c>
      <x:c r="G55" s="22" t="n">
        <x:v>36.45</x:v>
      </x:c>
      <x:c r="H55" s="22" t="n">
        <x:v>34.045038123851285</x:v>
      </x:c>
      <x:c r="I55" s="22" t="n">
        <x:v>41.045038123851285</x:v>
      </x:c>
      <x:c r="J55" s="22" t="n">
        <x:v>74</x:v>
      </x:c>
      <x:c r="K55" s="22" t="str">
        <x:v>STANDARD</x:v>
      </x:c>
      <x:c r="L55" s="22" t="n">
        <x:v>37.545038123851285</x:v>
      </x:c>
      <x:c r="M55" s="30" t="n">
        <x:v>2778.332821164995</x:v>
      </x:c>
      <x:c r="N55" s="18" t="str">
        <x:v>Available</x:v>
      </x:c>
      <x:c r="O55" s="16" t="str">
        <x:v>Useful custom-format target; rebounds and low-turnover finishing offset weaker free throws.</x:v>
      </x:c>
      <x:c r="P55" s="22" t="n">
        <x:v>37.545038123851285</x:v>
      </x:c>
      <x:c r="Q55" s="22"/>
      <x:c r="R55" s="22" t="n">
        <x:v>37.545038123851285</x:v>
      </x:c>
      <x:c r="S55" s="22" t="n">
        <x:v>0</x:v>
      </x:c>
      <x:c r="T55" t="str">
        <x:v>https://www.nba.com/news/2026-27-season-preview-min</x:v>
      </x:c>
      <x:c r="U55" s="49" t="str">
        <x:v>CORE</x:v>
      </x:c>
      <x:c r="V55" s="49" t="str">
        <x:v>HIGH</x:v>
      </x:c>
      <x:c r="W55" s="49" t="str">
        <x:v>RESEARCH_BLEND</x:v>
      </x:c>
      <x:c r="X55" s="49" t="str">
        <x:v>TOP-200 RESEARCH</x:v>
      </x:c>
      <x:c r="Y55" s="49" t="str">
        <x:v>2026-09-28</x:v>
      </x:c>
      <x:c r="Z55" s="50" t="str">
        <x:v>https://www.nba.com/players</x:v>
      </x:c>
      <x:c r="AA55" s="50" t="str">
        <x:v>https://basketball.realgm.com/nba/stats/2026/Averages/All/points/All/desc/1/Regular_Season</x:v>
      </x:c>
    </x:row>
    <x:row r="56" ht="22" customHeight="1">
      <x:c r="A56" s="47" t="n">
        <x:v>51</x:v>
      </x:c>
      <x:c r="B56" t="str">
        <x:v>Donovan Clingan</x:v>
      </x:c>
      <x:c r="C56" t="str">
        <x:v>POR</x:v>
      </x:c>
      <x:c r="D56" t="str">
        <x:v>C</x:v>
      </x:c>
      <x:c r="E56" t="str">
        <x:v>C</x:v>
      </x:c>
      <x:c r="F56" s="47" t="n">
        <x:v>77</x:v>
      </x:c>
      <x:c r="G56" s="22" t="n">
        <x:v>39.6</x:v>
      </x:c>
      <x:c r="H56" s="22" t="n">
        <x:v>33.39160032691505</x:v>
      </x:c>
      <x:c r="I56" s="22" t="n">
        <x:v>40.39160032691505</x:v>
      </x:c>
      <x:c r="J56" s="22" t="n">
        <x:v>74</x:v>
      </x:c>
      <x:c r="K56" s="22" t="str">
        <x:v>STANDARD</x:v>
      </x:c>
      <x:c r="L56" s="22" t="n">
        <x:v>36.89160032691505</x:v>
      </x:c>
      <x:c r="M56" s="30" t="n">
        <x:v>2729.9784241917137</x:v>
      </x:c>
      <x:c r="N56" s="18" t="str">
        <x:v>Available</x:v>
      </x:c>
      <x:c r="O56" s="16" t="str">
        <x:v>OREB bonus is the appeal; modest upgrade from conservative projected minutes.</x:v>
      </x:c>
      <x:c r="P56" s="22" t="n">
        <x:v>34.89160032691505</x:v>
      </x:c>
      <x:c r="Q56" s="22"/>
      <x:c r="R56" s="22" t="n">
        <x:v>34.89160032691505</x:v>
      </x:c>
      <x:c r="S56" s="22" t="n">
        <x:v>2</x:v>
      </x:c>
      <x:c r="T56" t="str">
        <x:v>https://www.nba.com/news/2026-27-season-preview-por</x:v>
      </x:c>
      <x:c r="U56" s="49" t="str">
        <x:v>CORE</x:v>
      </x:c>
      <x:c r="V56" s="49" t="str">
        <x:v>HIGH</x:v>
      </x:c>
      <x:c r="W56" s="49" t="str">
        <x:v>RESEARCH_BLEND</x:v>
      </x:c>
      <x:c r="X56" s="49" t="str">
        <x:v>TOP-200 RESEARCH</x:v>
      </x:c>
      <x:c r="Y56" s="49" t="str">
        <x:v>2026-09-28</x:v>
      </x:c>
      <x:c r="Z56" s="50" t="str">
        <x:v>https://www.nba.com/players</x:v>
      </x:c>
      <x:c r="AA56" s="50" t="str">
        <x:v>https://basketball.realgm.com/nba/stats/2026/Averages/All/points/All/desc/1/Regular_Season</x:v>
      </x:c>
    </x:row>
    <x:row r="57" ht="22" customHeight="1">
      <x:c r="A57" s="47" t="n">
        <x:v>52</x:v>
      </x:c>
      <x:c r="B57" t="str">
        <x:v>Kyrie Irving</x:v>
      </x:c>
      <x:c r="C57" t="str">
        <x:v>DAL</x:v>
      </x:c>
      <x:c r="D57" t="str">
        <x:v>PG</x:v>
      </x:c>
      <x:c r="E57" t="str">
        <x:v>PG</x:v>
      </x:c>
      <x:c r="F57" s="47" t="n">
        <x:v>0</x:v>
      </x:c>
      <x:c r="G57" s="22"/>
      <x:c r="H57" s="22" t="n">
        <x:v>33.644198242989305</x:v>
      </x:c>
      <x:c r="I57" s="22" t="n">
        <x:v>44.644198242989305</x:v>
      </x:c>
      <x:c r="J57" s="22" t="n">
        <x:v>62</x:v>
      </x:c>
      <x:c r="K57" s="22" t="str">
        <x:v>MEDIUM</x:v>
      </x:c>
      <x:c r="L57" s="22" t="n">
        <x:v>39.144198242989305</x:v>
      </x:c>
      <x:c r="M57" s="30" t="n">
        <x:v>2426.940291065337</x:v>
      </x:c>
      <x:c r="N57" s="18" t="str">
        <x:v>Available</x:v>
      </x:c>
      <x:c r="O57" s="16" t="str">
        <x:v>Returning after 19-month ACL absence. No reported physical restriction, but conditioning and game-rhythm risk warrant a modest discount.</x:v>
      </x:c>
      <x:c r="P57" s="22" t="n">
        <x:v>41.293596485978604</x:v>
      </x:c>
      <x:c r="Q57" s="22" t="n">
        <x:v>36.994800000000005</x:v>
      </x:c>
      <x:c r="R57" s="22" t="n">
        <x:v>39.144198242989305</x:v>
      </x:c>
      <x:c r="S57" s="22" t="n">
        <x:v>0</x:v>
      </x:c>
      <x:c r="T57" t="str">
        <x:v>https://www.reuters.com/sports/dallas-mavericks-irving-excited-play-again-after-lengthy-injury-absence-2026-10-08/</x:v>
      </x:c>
      <x:c r="U57" s="49" t="str">
        <x:v>CORE</x:v>
      </x:c>
      <x:c r="V57" s="49" t="str">
        <x:v>HIGH</x:v>
      </x:c>
      <x:c r="W57" s="49" t="str">
        <x:v>DRAFT_DAY_BLEND</x:v>
      </x:c>
      <x:c r="X57" s="49" t="str">
        <x:v>TOP-200 RESEARCH</x:v>
      </x:c>
      <x:c r="Y57" s="49" t="str">
        <x:v>2026-10-10</x:v>
      </x:c>
      <x:c r="Z57" s="50" t="str">
        <x:v>https://www.nba.com/players</x:v>
      </x:c>
      <x:c r="AA57" s="50" t="str">
        <x:v>https://basketball.realgm.com/nba/stats/2026/Averages/All/points/All/desc/1/Regular_Season</x:v>
      </x:c>
    </x:row>
    <x:row r="58" ht="22" customHeight="1">
      <x:c r="A58" s="47" t="n">
        <x:v>53</x:v>
      </x:c>
      <x:c r="B58" t="str">
        <x:v>Desmond Bane</x:v>
      </x:c>
      <x:c r="C58" t="str">
        <x:v>ORL</x:v>
      </x:c>
      <x:c r="D58" t="str">
        <x:v>SG</x:v>
      </x:c>
      <x:c r="E58" t="str">
        <x:v>SG/SF</x:v>
      </x:c>
      <x:c r="F58" s="47" t="n">
        <x:v>82</x:v>
      </x:c>
      <x:c r="G58" s="22" t="n">
        <x:v>36.4</x:v>
      </x:c>
      <x:c r="H58" s="22" t="n">
        <x:v>33.0467479608323</x:v>
      </x:c>
      <x:c r="I58" s="22" t="n">
        <x:v>40.0467479608323</x:v>
      </x:c>
      <x:c r="J58" s="22" t="n">
        <x:v>75</x:v>
      </x:c>
      <x:c r="K58" s="22" t="str">
        <x:v>STANDARD</x:v>
      </x:c>
      <x:c r="L58" s="22" t="n">
        <x:v>36.5467479608323</x:v>
      </x:c>
      <x:c r="M58" s="30" t="n">
        <x:v>2741.006097062422</x:v>
      </x:c>
      <x:c r="N58" s="18" t="str">
        <x:v>Available</x:v>
      </x:c>
      <x:c r="O58" s="16" t="str">
        <x:v>Steadier mid-draft guard/wing, with less speculative upside than the rookies.</x:v>
      </x:c>
      <x:c r="P58" s="22" t="n">
        <x:v>36.5467479608323</x:v>
      </x:c>
      <x:c r="Q58" s="22"/>
      <x:c r="R58" s="22" t="n">
        <x:v>36.5467479608323</x:v>
      </x:c>
      <x:c r="S58" s="22" t="n">
        <x:v>0</x:v>
      </x:c>
      <x:c r="T58" t="str">
        <x:v>https://www.fantasypros.com/nba/projections/overall.php</x:v>
      </x:c>
      <x:c r="U58" s="49" t="str">
        <x:v>CORE</x:v>
      </x:c>
      <x:c r="V58" s="49" t="str">
        <x:v>HIGH</x:v>
      </x:c>
      <x:c r="W58" s="49" t="str">
        <x:v>DRAFT_DAY_FP</x:v>
      </x:c>
      <x:c r="X58" s="49" t="str">
        <x:v>TOP-200 RESEARCH</x:v>
      </x:c>
      <x:c r="Y58" s="49" t="str">
        <x:v>2026-10-10</x:v>
      </x:c>
      <x:c r="Z58" s="50" t="str">
        <x:v>https://www.nba.com/players</x:v>
      </x:c>
      <x:c r="AA58" s="50" t="str">
        <x:v>https://basketball.realgm.com/nba/stats/2026/Averages/All/points/All/desc/1/Regular_Season</x:v>
      </x:c>
    </x:row>
    <x:row r="59" ht="22" customHeight="1">
      <x:c r="A59" s="47" t="n">
        <x:v>54</x:v>
      </x:c>
      <x:c r="B59" t="str">
        <x:v>Julius Randle</x:v>
      </x:c>
      <x:c r="C59" t="str">
        <x:v>BKN</x:v>
      </x:c>
      <x:c r="D59" t="str">
        <x:v>PF</x:v>
      </x:c>
      <x:c r="E59" t="str">
        <x:v>PF</x:v>
      </x:c>
      <x:c r="F59" s="47" t="n">
        <x:v>79</x:v>
      </x:c>
      <x:c r="G59" s="22" t="n">
        <x:v>40.2</x:v>
      </x:c>
      <x:c r="H59" s="22" t="n">
        <x:v>33.07429383170308</x:v>
      </x:c>
      <x:c r="I59" s="22" t="n">
        <x:v>40.07429383170308</x:v>
      </x:c>
      <x:c r="J59" s="22" t="n">
        <x:v>75</x:v>
      </x:c>
      <x:c r="K59" s="22" t="str">
        <x:v>STANDARD</x:v>
      </x:c>
      <x:c r="L59" s="22" t="n">
        <x:v>36.57429383170308</x:v>
      </x:c>
      <x:c r="M59" s="30" t="n">
        <x:v>2743.0720373777312</x:v>
      </x:c>
      <x:c r="N59" s="18" t="str">
        <x:v>Available</x:v>
      </x:c>
      <x:c r="O59" s="16" t="str">
        <x:v>Brooklyn role matters, but missed shots and turnovers limit the premium.</x:v>
      </x:c>
      <x:c r="P59" s="22" t="n">
        <x:v>36.57429383170308</x:v>
      </x:c>
      <x:c r="Q59" s="22"/>
      <x:c r="R59" s="22" t="n">
        <x:v>36.57429383170308</x:v>
      </x:c>
      <x:c r="S59" s="22" t="n">
        <x:v>0</x:v>
      </x:c>
      <x:c r="T59" t="str">
        <x:v>https://www.fantasypros.com/nba/projections/overall.php</x:v>
      </x:c>
      <x:c r="U59" s="49" t="str">
        <x:v>CORE</x:v>
      </x:c>
      <x:c r="V59" s="49" t="str">
        <x:v>HIGH</x:v>
      </x:c>
      <x:c r="W59" s="49" t="str">
        <x:v>DRAFT_DAY_FP</x:v>
      </x:c>
      <x:c r="X59" s="49" t="str">
        <x:v>TOP-200 RESEARCH</x:v>
      </x:c>
      <x:c r="Y59" s="49" t="str">
        <x:v>2026-10-10</x:v>
      </x:c>
      <x:c r="Z59" s="50" t="str">
        <x:v>https://www.nba.com/players</x:v>
      </x:c>
      <x:c r="AA59" s="50" t="str">
        <x:v>https://basketball.realgm.com/nba/stats/2026/Averages/All/points/All/desc/1/Regular_Season</x:v>
      </x:c>
    </x:row>
    <x:row r="60" ht="22" customHeight="1">
      <x:c r="A60" s="47" t="n">
        <x:v>55</x:v>
      </x:c>
      <x:c r="B60" t="str">
        <x:v>Tyler Herro</x:v>
      </x:c>
      <x:c r="C60" t="str">
        <x:v>MIL</x:v>
      </x:c>
      <x:c r="D60" t="str">
        <x:v>SG</x:v>
      </x:c>
      <x:c r="E60" t="str">
        <x:v>PG/SG</x:v>
      </x:c>
      <x:c r="F60" s="47" t="n">
        <x:v>33</x:v>
      </x:c>
      <x:c r="G60" s="22" t="n">
        <x:v>35.050000000000004</x:v>
      </x:c>
      <x:c r="H60" s="22" t="n">
        <x:v>31.058708976781404</x:v>
      </x:c>
      <x:c r="I60" s="22" t="n">
        <x:v>42.0587089767814</x:v>
      </x:c>
      <x:c r="J60" s="22" t="n">
        <x:v>73</x:v>
      </x:c>
      <x:c r="K60" s="22" t="str">
        <x:v>MEDIUM</x:v>
      </x:c>
      <x:c r="L60" s="22" t="n">
        <x:v>36.5587089767814</x:v>
      </x:c>
      <x:c r="M60" s="30" t="n">
        <x:v>2668.7857553050426</x:v>
      </x:c>
      <x:c r="N60" s="18" t="str">
        <x:v>Available</x:v>
      </x:c>
      <x:c r="O60" s="16" t="str">
        <x:v>Milwaukee lead-scoring opportunity earns a modest upgrade; availability still matters.</x:v>
      </x:c>
      <x:c r="P60" s="22" t="n">
        <x:v>36.0587089767814</x:v>
      </x:c>
      <x:c r="Q60" s="22"/>
      <x:c r="R60" s="22" t="n">
        <x:v>36.0587089767814</x:v>
      </x:c>
      <x:c r="S60" s="22" t="n">
        <x:v>0.5</x:v>
      </x:c>
      <x:c r="T60" t="str">
        <x:v>https://www.fantasypros.com/nba/projections/overall.php</x:v>
      </x:c>
      <x:c r="U60" s="49" t="str">
        <x:v>CORE</x:v>
      </x:c>
      <x:c r="V60" s="49" t="str">
        <x:v>HIGH</x:v>
      </x:c>
      <x:c r="W60" s="49" t="str">
        <x:v>DRAFT_DAY_FP</x:v>
      </x:c>
      <x:c r="X60" s="49" t="str">
        <x:v>TOP-200 RESEARCH</x:v>
      </x:c>
      <x:c r="Y60" s="49" t="str">
        <x:v>2026-10-10</x:v>
      </x:c>
      <x:c r="Z60" s="50" t="str">
        <x:v>https://www.nba.com/players</x:v>
      </x:c>
      <x:c r="AA60" s="50" t="str">
        <x:v>https://basketball.realgm.com/nba/stats/2026/Averages/All/points/All/desc/1/Regular_Season</x:v>
      </x:c>
    </x:row>
    <x:row r="61" ht="22" customHeight="1">
      <x:c r="A61" s="47" t="n">
        <x:v>56</x:v>
      </x:c>
      <x:c r="B61" t="str">
        <x:v>AJ Dybantsa</x:v>
      </x:c>
      <x:c r="C61" t="str">
        <x:v>WAS</x:v>
      </x:c>
      <x:c r="D61" t="str">
        <x:v>SF</x:v>
      </x:c>
      <x:c r="E61" t="str">
        <x:v>SF</x:v>
      </x:c>
      <x:c r="F61" s="47" t="n">
        <x:v>0</x:v>
      </x:c>
      <x:c r="G61" s="22"/>
      <x:c r="H61" s="22" t="n">
        <x:v>30.905029652262478</x:v>
      </x:c>
      <x:c r="I61" s="22" t="n">
        <x:v>41.90502965226248</x:v>
      </x:c>
      <x:c r="J61" s="22" t="n">
        <x:v>75</x:v>
      </x:c>
      <x:c r="K61" s="22" t="str">
        <x:v>MEDIUM</x:v>
      </x:c>
      <x:c r="L61" s="22" t="n">
        <x:v>36.40502965226248</x:v>
      </x:c>
      <x:c r="M61" s="30" t="n">
        <x:v>2730.377223919686</x:v>
      </x:c>
      <x:c r="N61" s="18" t="str">
        <x:v>Available</x:v>
      </x:c>
      <x:c r="O61" s="16" t="str">
        <x:v>Washington has established stars; wide rookie range and no guaranteed immediate No. 1 role.</x:v>
      </x:c>
      <x:c r="P61" s="22" t="n">
        <x:v>36.78002965226248</x:v>
      </x:c>
      <x:c r="Q61" s="22"/>
      <x:c r="R61" s="22" t="n">
        <x:v>36.78002965226248</x:v>
      </x:c>
      <x:c r="S61" s="22" t="n">
        <x:v>-0.375</x:v>
      </x:c>
      <x:c r="T61" t="str">
        <x:v>https://www.fantasypros.com/nba/projections/overall.php</x:v>
      </x:c>
      <x:c r="U61" s="49" t="str">
        <x:v>CORE</x:v>
      </x:c>
      <x:c r="V61" s="49" t="str">
        <x:v>HIGH</x:v>
      </x:c>
      <x:c r="W61" s="49" t="str">
        <x:v>DRAFT_DAY_FP</x:v>
      </x:c>
      <x:c r="X61" s="49" t="str">
        <x:v>TOP-200 RESEARCH</x:v>
      </x:c>
      <x:c r="Y61" s="49" t="str">
        <x:v>2026-10-10</x:v>
      </x:c>
      <x:c r="Z61" s="50" t="str">
        <x:v>https://www.nba.com/players</x:v>
      </x:c>
      <x:c r="AA61" s="50" t="str">
        <x:v>https://basketball.realgm.com/nba/stats/2026/Averages/All/points/All/desc/1/Regular_Season</x:v>
      </x:c>
    </x:row>
    <x:row r="62" ht="22" customHeight="1">
      <x:c r="A62" s="47" t="n">
        <x:v>57</x:v>
      </x:c>
      <x:c r="B62" t="str">
        <x:v>Michael Porter Jr.</x:v>
      </x:c>
      <x:c r="C62" t="str">
        <x:v>BKN</x:v>
      </x:c>
      <x:c r="D62" t="str">
        <x:v>SF</x:v>
      </x:c>
      <x:c r="E62" t="str">
        <x:v>SF/PF</x:v>
      </x:c>
      <x:c r="F62" s="47" t="n">
        <x:v>52</x:v>
      </x:c>
      <x:c r="G62" s="22" t="n">
        <x:v>41.650000000000006</x:v>
      </x:c>
      <x:c r="H62" s="22" t="n">
        <x:v>30.387792120633705</x:v>
      </x:c>
      <x:c r="I62" s="22" t="n">
        <x:v>41.387792120633705</x:v>
      </x:c>
      <x:c r="J62" s="22" t="n">
        <x:v>74</x:v>
      </x:c>
      <x:c r="K62" s="22" t="str">
        <x:v>MEDIUM</x:v>
      </x:c>
      <x:c r="L62" s="22" t="n">
        <x:v>35.887792120633705</x:v>
      </x:c>
      <x:c r="M62" s="30" t="n">
        <x:v>2655.696616926894</x:v>
      </x:c>
      <x:c r="N62" s="18" t="str">
        <x:v>Available</x:v>
      </x:c>
      <x:c r="O62" s="16" t="str">
        <x:v>Efficient scoring target at the right price; avoid paying for his 2025-26 peak.</x:v>
      </x:c>
      <x:c r="P62" s="22" t="n">
        <x:v>35.887792120633705</x:v>
      </x:c>
      <x:c r="Q62" s="22"/>
      <x:c r="R62" s="22" t="n">
        <x:v>35.887792120633705</x:v>
      </x:c>
      <x:c r="S62" s="22" t="n">
        <x:v>0</x:v>
      </x:c>
      <x:c r="T62" t="str">
        <x:v>https://www.fantasypros.com/nba/projections/overall.php</x:v>
      </x:c>
      <x:c r="U62" s="49" t="str">
        <x:v>CORE</x:v>
      </x:c>
      <x:c r="V62" s="49" t="str">
        <x:v>HIGH</x:v>
      </x:c>
      <x:c r="W62" s="49" t="str">
        <x:v>DRAFT_DAY_FP</x:v>
      </x:c>
      <x:c r="X62" s="49" t="str">
        <x:v>TOP-200 RESEARCH</x:v>
      </x:c>
      <x:c r="Y62" s="49" t="str">
        <x:v>2026-10-10</x:v>
      </x:c>
      <x:c r="Z62" s="50" t="str">
        <x:v>https://www.nba.com/players</x:v>
      </x:c>
      <x:c r="AA62" s="50" t="str">
        <x:v>https://basketball.realgm.com/nba/stats/2026/Averages/All/points/All/desc/1/Regular_Season</x:v>
      </x:c>
    </x:row>
    <x:row r="63" ht="22" customHeight="1">
      <x:c r="A63" s="47" t="n">
        <x:v>58</x:v>
      </x:c>
      <x:c r="B63" t="str">
        <x:v>Damian Lillard</x:v>
      </x:c>
      <x:c r="C63" t="str">
        <x:v>POR</x:v>
      </x:c>
      <x:c r="D63" t="str">
        <x:v>PG</x:v>
      </x:c>
      <x:c r="E63" t="str">
        <x:v>PG</x:v>
      </x:c>
      <x:c r="F63" s="47" t="n">
        <x:v>0</x:v>
      </x:c>
      <x:c r="G63" s="22"/>
      <x:c r="H63" s="22" t="n">
        <x:v>33.7997210135676</x:v>
      </x:c>
      <x:c r="I63" s="22" t="n">
        <x:v>44.7997210135676</x:v>
      </x:c>
      <x:c r="J63" s="22" t="n">
        <x:v>66</x:v>
      </x:c>
      <x:c r="K63" s="22" t="str">
        <x:v>MEDIUM</x:v>
      </x:c>
      <x:c r="L63" s="22" t="n">
        <x:v>39.2997210135676</x:v>
      </x:c>
      <x:c r="M63" s="30" t="n">
        <x:v>2593.7815868954617</x:v>
      </x:c>
      <x:c r="N63" s="18" t="str">
        <x:v>Available</x:v>
      </x:c>
      <x:c r="O63" s="16" t="str">
        <x:v>Back on the court in preseason after Achilles recovery. Return is encouraging, but age and post-Achilles workload still warrant a discount.</x:v>
      </x:c>
      <x:c r="P63" s="22" t="n">
        <x:v>39.5497210135676</x:v>
      </x:c>
      <x:c r="Q63" s="22"/>
      <x:c r="R63" s="22" t="n">
        <x:v>39.5497210135676</x:v>
      </x:c>
      <x:c r="S63" s="22" t="n">
        <x:v>-0.25</x:v>
      </x:c>
      <x:c r="T63" t="str">
        <x:v>https://www.nba.com/news/starting-5-october-8-2026</x:v>
      </x:c>
      <x:c r="U63" s="49" t="str">
        <x:v>CORE</x:v>
      </x:c>
      <x:c r="V63" s="49" t="str">
        <x:v>HIGH</x:v>
      </x:c>
      <x:c r="W63" s="49" t="str">
        <x:v>DRAFT_DAY_FP</x:v>
      </x:c>
      <x:c r="X63" s="49" t="str">
        <x:v>TOP-200 RESEARCH</x:v>
      </x:c>
      <x:c r="Y63" s="49" t="str">
        <x:v>2026-10-10</x:v>
      </x:c>
      <x:c r="Z63" s="50" t="str">
        <x:v>https://www.nba.com/players</x:v>
      </x:c>
      <x:c r="AA63" s="50" t="str">
        <x:v>https://basketball.realgm.com/nba/stats/2026/Averages/All/points/All/desc/1/Regular_Season</x:v>
      </x:c>
    </x:row>
    <x:row r="64" ht="22" customHeight="1">
      <x:c r="A64" s="47" t="n">
        <x:v>59</x:v>
      </x:c>
      <x:c r="B64" t="str">
        <x:v>Jaren Jackson Jr.</x:v>
      </x:c>
      <x:c r="C64" t="str">
        <x:v>UTA</x:v>
      </x:c>
      <x:c r="D64" t="str">
        <x:v>PF</x:v>
      </x:c>
      <x:c r="E64" t="str">
        <x:v>PF/C</x:v>
      </x:c>
      <x:c r="F64" s="47" t="n">
        <x:v>48</x:v>
      </x:c>
      <x:c r="G64" s="22" t="n">
        <x:v>33.400000000000006</x:v>
      </x:c>
      <x:c r="H64" s="22" t="n">
        <x:v>29.649664874855333</x:v>
      </x:c>
      <x:c r="I64" s="22" t="n">
        <x:v>40.64966487485533</x:v>
      </x:c>
      <x:c r="J64" s="22" t="n">
        <x:v>70</x:v>
      </x:c>
      <x:c r="K64" s="22" t="str">
        <x:v>MEDIUM</x:v>
      </x:c>
      <x:c r="L64" s="22" t="n">
        <x:v>35.14966487485533</x:v>
      </x:c>
      <x:c r="M64" s="30" t="n">
        <x:v>2460.4765412398733</x:v>
      </x:c>
      <x:c r="N64" s="18" t="str">
        <x:v>Available</x:v>
      </x:c>
      <x:c r="O64" s="16" t="str">
        <x:v>Utah role and recovery require caution; blocks alone do not justify an early pick here.</x:v>
      </x:c>
      <x:c r="P64" s="22" t="n">
        <x:v>33.675567373473044</x:v>
      </x:c>
      <x:c r="Q64" s="22" t="n">
        <x:v>37.12376237623762</x:v>
      </x:c>
      <x:c r="R64" s="22" t="n">
        <x:v>35.39966487485533</x:v>
      </x:c>
      <x:c r="S64" s="22" t="n">
        <x:v>-0.25</x:v>
      </x:c>
      <x:c r="T64" t="str">
        <x:v>https://www.fantasypros.com/nba/projections/overall.php | https://hashtagbasketball.com/fantasy-basketball-projections</x:v>
      </x:c>
      <x:c r="U64" s="49" t="str">
        <x:v>CORE</x:v>
      </x:c>
      <x:c r="V64" s="49" t="str">
        <x:v>HIGH</x:v>
      </x:c>
      <x:c r="W64" s="49" t="str">
        <x:v>DRAFT_DAY_BLEND</x:v>
      </x:c>
      <x:c r="X64" s="49" t="str">
        <x:v>TOP-200 RESEARCH</x:v>
      </x:c>
      <x:c r="Y64" s="49" t="str">
        <x:v>2026-10-10</x:v>
      </x:c>
      <x:c r="Z64" s="50" t="str">
        <x:v>https://www.nba.com/players</x:v>
      </x:c>
      <x:c r="AA64" s="50" t="str">
        <x:v>https://basketball.realgm.com/nba/stats/2026/Averages/All/points/All/desc/1/Regular_Season</x:v>
      </x:c>
    </x:row>
    <x:row r="65" ht="22" customHeight="1">
      <x:c r="A65" s="47" t="n">
        <x:v>60</x:v>
      </x:c>
      <x:c r="B65" t="str">
        <x:v>Caleb Wilson</x:v>
      </x:c>
      <x:c r="C65" t="str">
        <x:v>CHI</x:v>
      </x:c>
      <x:c r="D65" t="str">
        <x:v>PF</x:v>
      </x:c>
      <x:c r="E65" t="str">
        <x:v>PF/SF</x:v>
      </x:c>
      <x:c r="F65" s="47" t="n">
        <x:v>0</x:v>
      </x:c>
      <x:c r="G65" s="22"/>
      <x:c r="H65" s="22" t="n">
        <x:v>30.086012160787128</x:v>
      </x:c>
      <x:c r="I65" s="22" t="n">
        <x:v>41.08601216078713</x:v>
      </x:c>
      <x:c r="J65" s="22" t="n">
        <x:v>75</x:v>
      </x:c>
      <x:c r="K65" s="22" t="str">
        <x:v>MEDIUM</x:v>
      </x:c>
      <x:c r="L65" s="22" t="n">
        <x:v>35.58601216078713</x:v>
      </x:c>
      <x:c r="M65" s="30" t="n">
        <x:v>2668.9509120590346</x:v>
      </x:c>
      <x:c r="N65" s="18" t="str">
        <x:v>Available</x:v>
      </x:c>
      <x:c r="O65" s="16" t="str">
        <x:v>Rookie forward with broad uncertainty; production is an assumption, not proven NBA output.</x:v>
      </x:c>
      <x:c r="P65" s="22" t="n">
        <x:v>35.83601216078713</x:v>
      </x:c>
      <x:c r="Q65" s="22"/>
      <x:c r="R65" s="22" t="n">
        <x:v>35.83601216078713</x:v>
      </x:c>
      <x:c r="S65" s="22" t="n">
        <x:v>-0.25</x:v>
      </x:c>
      <x:c r="T65" t="str">
        <x:v>https://www.fantasypros.com/nba/projections/overall.php</x:v>
      </x:c>
      <x:c r="U65" s="49" t="str">
        <x:v>CORE</x:v>
      </x:c>
      <x:c r="V65" s="49" t="str">
        <x:v>HIGH</x:v>
      </x:c>
      <x:c r="W65" s="49" t="str">
        <x:v>DRAFT_DAY_FP</x:v>
      </x:c>
      <x:c r="X65" s="49" t="str">
        <x:v>TOP-200 RESEARCH</x:v>
      </x:c>
      <x:c r="Y65" s="49" t="str">
        <x:v>2026-10-10</x:v>
      </x:c>
      <x:c r="Z65" s="50" t="str">
        <x:v>https://www.nba.com/players</x:v>
      </x:c>
      <x:c r="AA65" s="50" t="str">
        <x:v>https://basketball.realgm.com/nba/stats/2026/Averages/All/points/All/desc/1/Regular_Season</x:v>
      </x:c>
    </x:row>
    <x:row r="66" ht="22" customHeight="1">
      <x:c r="A66" s="47" t="n">
        <x:v>61</x:v>
      </x:c>
      <x:c r="B66" t="str">
        <x:v>Stephon Castle</x:v>
      </x:c>
      <x:c r="C66" t="str">
        <x:v>SAS</x:v>
      </x:c>
      <x:c r="D66" t="str">
        <x:v>PG</x:v>
      </x:c>
      <x:c r="E66" t="str">
        <x:v>PG/SG</x:v>
      </x:c>
      <x:c r="F66" s="47" t="n">
        <x:v>68</x:v>
      </x:c>
      <x:c r="G66" s="22" t="n">
        <x:v>35.35</x:v>
      </x:c>
      <x:c r="H66" s="22" t="n">
        <x:v>31.198514643330164</x:v>
      </x:c>
      <x:c r="I66" s="22" t="n">
        <x:v>38.198514643330164</x:v>
      </x:c>
      <x:c r="J66" s="22" t="n">
        <x:v>75</x:v>
      </x:c>
      <x:c r="K66" s="22" t="str">
        <x:v>STANDARD</x:v>
      </x:c>
      <x:c r="L66" s="22" t="n">
        <x:v>34.698514643330164</x:v>
      </x:c>
      <x:c r="M66" s="30" t="n">
        <x:v>2602.3885982497623</x:v>
      </x:c>
      <x:c r="N66" s="18" t="str">
        <x:v>Available</x:v>
      </x:c>
      <x:c r="O66" s="16" t="str">
        <x:v>Development upside, but San Antonio has multiple handlers.</x:v>
      </x:c>
      <x:c r="P66" s="22" t="n">
        <x:v>34.698514643330164</x:v>
      </x:c>
      <x:c r="Q66" s="22"/>
      <x:c r="R66" s="22" t="n">
        <x:v>34.698514643330164</x:v>
      </x:c>
      <x:c r="S66" s="22" t="n">
        <x:v>0</x:v>
      </x:c>
      <x:c r="T66" t="str">
        <x:v>https://www.fantasypros.com/nba/projections/overall.php</x:v>
      </x:c>
      <x:c r="U66" s="49" t="str">
        <x:v>CORE</x:v>
      </x:c>
      <x:c r="V66" s="49" t="str">
        <x:v>HIGH</x:v>
      </x:c>
      <x:c r="W66" s="49" t="str">
        <x:v>DRAFT_DAY_FP</x:v>
      </x:c>
      <x:c r="X66" s="49" t="str">
        <x:v>TOP-200 RESEARCH</x:v>
      </x:c>
      <x:c r="Y66" s="49" t="str">
        <x:v>2026-10-10</x:v>
      </x:c>
      <x:c r="Z66" s="50" t="str">
        <x:v>https://www.nba.com/players</x:v>
      </x:c>
      <x:c r="AA66" s="50" t="str">
        <x:v>https://basketball.realgm.com/nba/stats/2026/Averages/All/points/All/desc/1/Regular_Season</x:v>
      </x:c>
    </x:row>
    <x:row r="67" ht="22" customHeight="1">
      <x:c r="A67" s="47" t="n">
        <x:v>62</x:v>
      </x:c>
      <x:c r="B67" t="str">
        <x:v>Brandon Miller</x:v>
      </x:c>
      <x:c r="C67" t="str">
        <x:v>CHA</x:v>
      </x:c>
      <x:c r="D67" t="str">
        <x:v>SG</x:v>
      </x:c>
      <x:c r="E67" t="str">
        <x:v>PF/SF/SG</x:v>
      </x:c>
      <x:c r="F67" s="47" t="n">
        <x:v>65</x:v>
      </x:c>
      <x:c r="G67" s="22" t="n">
        <x:v>34.099999999999994</x:v>
      </x:c>
      <x:c r="H67" s="22" t="n">
        <x:v>29.64141181830326</x:v>
      </x:c>
      <x:c r="I67" s="22" t="n">
        <x:v>40.64141181830326</x:v>
      </x:c>
      <x:c r="J67" s="22" t="n">
        <x:v>70</x:v>
      </x:c>
      <x:c r="K67" s="22" t="str">
        <x:v>MEDIUM</x:v>
      </x:c>
      <x:c r="L67" s="22" t="n">
        <x:v>35.14141181830326</x:v>
      </x:c>
      <x:c r="M67" s="30" t="n">
        <x:v>2459.8988272812285</x:v>
      </x:c>
      <x:c r="N67" s="18" t="str">
        <x:v>Available</x:v>
      </x:c>
      <x:c r="O67" s="16" t="str">
        <x:v>Shin contusion is considered day-to-day. Small downgrade only unless recovery stalls.</x:v>
      </x:c>
      <x:c r="P67" s="22" t="n">
        <x:v>35.14141181830326</x:v>
      </x:c>
      <x:c r="Q67" s="22"/>
      <x:c r="R67" s="22" t="n">
        <x:v>35.14141181830326</x:v>
      </x:c>
      <x:c r="S67" s="22" t="n">
        <x:v>0</x:v>
      </x:c>
      <x:c r="T67" t="str">
        <x:v>https://sports.yahoo.com/articles/brandon-miller-injury-hornets-wing-182632326.html</x:v>
      </x:c>
      <x:c r="U67" s="49" t="str">
        <x:v>CORE</x:v>
      </x:c>
      <x:c r="V67" s="49" t="str">
        <x:v>HIGH</x:v>
      </x:c>
      <x:c r="W67" s="49" t="str">
        <x:v>DRAFT_DAY_FP</x:v>
      </x:c>
      <x:c r="X67" s="49" t="str">
        <x:v>TOP-200 RESEARCH</x:v>
      </x:c>
      <x:c r="Y67" s="49" t="str">
        <x:v>2026-10-10</x:v>
      </x:c>
      <x:c r="Z67" s="50" t="str">
        <x:v>https://www.nba.com/players</x:v>
      </x:c>
      <x:c r="AA67" s="50" t="str">
        <x:v>https://basketball.realgm.com/nba/stats/2026/Averages/All/points/All/desc/1/Regular_Season</x:v>
      </x:c>
    </x:row>
    <x:row r="68" ht="22" customHeight="1">
      <x:c r="A68" s="47" t="n">
        <x:v>63</x:v>
      </x:c>
      <x:c r="B68" t="str">
        <x:v>Keyonte George</x:v>
      </x:c>
      <x:c r="C68" t="str">
        <x:v>UTA</x:v>
      </x:c>
      <x:c r="D68" t="str">
        <x:v>PG</x:v>
      </x:c>
      <x:c r="E68" t="str">
        <x:v>PG/SG</x:v>
      </x:c>
      <x:c r="F68" s="47" t="n">
        <x:v>54</x:v>
      </x:c>
      <x:c r="G68" s="22" t="n">
        <x:v>40.1</x:v>
      </x:c>
      <x:c r="H68" s="22" t="n">
        <x:v>31.33739009274636</x:v>
      </x:c>
      <x:c r="I68" s="22" t="n">
        <x:v>38.33739009274636</x:v>
      </x:c>
      <x:c r="J68" s="22" t="n">
        <x:v>73</x:v>
      </x:c>
      <x:c r="K68" s="22" t="str">
        <x:v>STANDARD</x:v>
      </x:c>
      <x:c r="L68" s="22" t="n">
        <x:v>34.83739009274636</x:v>
      </x:c>
      <x:c r="M68" s="30" t="n">
        <x:v>2543.1294767704844</x:v>
      </x:c>
      <x:c r="N68" s="18" t="str">
        <x:v>Available</x:v>
      </x:c>
      <x:c r="O68" s="16" t="str">
        <x:v>Utah's crowded offense makes a repeat of last year's leap less automatic.</x:v>
      </x:c>
      <x:c r="P68" s="22" t="n">
        <x:v>34.83739009274636</x:v>
      </x:c>
      <x:c r="Q68" s="22"/>
      <x:c r="R68" s="22" t="n">
        <x:v>34.83739009274636</x:v>
      </x:c>
      <x:c r="S68" s="22" t="n">
        <x:v>0</x:v>
      </x:c>
      <x:c r="T68" t="str">
        <x:v>https://www.fantasypros.com/nba/projections/overall.php</x:v>
      </x:c>
      <x:c r="U68" s="49" t="str">
        <x:v>CORE</x:v>
      </x:c>
      <x:c r="V68" s="49" t="str">
        <x:v>HIGH</x:v>
      </x:c>
      <x:c r="W68" s="49" t="str">
        <x:v>DRAFT_DAY_FP</x:v>
      </x:c>
      <x:c r="X68" s="49" t="str">
        <x:v>TOP-200 RESEARCH</x:v>
      </x:c>
      <x:c r="Y68" s="49" t="str">
        <x:v>2026-10-10</x:v>
      </x:c>
      <x:c r="Z68" s="50" t="str">
        <x:v>https://www.nba.com/players</x:v>
      </x:c>
      <x:c r="AA68" s="50" t="str">
        <x:v>https://basketball.realgm.com/nba/stats/2026/Averages/All/points/All/desc/1/Regular_Season</x:v>
      </x:c>
    </x:row>
    <x:row r="69" ht="22" customHeight="1">
      <x:c r="A69" s="47" t="n">
        <x:v>64</x:v>
      </x:c>
      <x:c r="B69" t="str">
        <x:v>Derrick White</x:v>
      </x:c>
      <x:c r="C69" t="str">
        <x:v>BOS</x:v>
      </x:c>
      <x:c r="D69" t="str">
        <x:v>PG</x:v>
      </x:c>
      <x:c r="E69" t="str">
        <x:v>PG/SG</x:v>
      </x:c>
      <x:c r="F69" s="47" t="n">
        <x:v>77</x:v>
      </x:c>
      <x:c r="G69" s="22" t="n">
        <x:v>33.85000000000001</x:v>
      </x:c>
      <x:c r="H69" s="22" t="n">
        <x:v>30.258117171068065</x:v>
      </x:c>
      <x:c r="I69" s="22" t="n">
        <x:v>37.258117171068065</x:v>
      </x:c>
      <x:c r="J69" s="22" t="n">
        <x:v>78</x:v>
      </x:c>
      <x:c r="K69" s="22" t="str">
        <x:v>STANDARD</x:v>
      </x:c>
      <x:c r="L69" s="22" t="n">
        <x:v>33.758117171068065</x:v>
      </x:c>
      <x:c r="M69" s="30" t="n">
        <x:v>2633.1331393433093</x:v>
      </x:c>
      <x:c r="N69" s="18" t="str">
        <x:v>Available</x:v>
      </x:c>
      <x:c r="O69" s="16" t="str">
        <x:v>Useful balanced guard; not a massive steals/blocks premium in these settings.</x:v>
      </x:c>
      <x:c r="P69" s="22" t="n">
        <x:v>33.758117171068065</x:v>
      </x:c>
      <x:c r="Q69" s="22"/>
      <x:c r="R69" s="22" t="n">
        <x:v>33.758117171068065</x:v>
      </x:c>
      <x:c r="S69" s="22" t="n">
        <x:v>0</x:v>
      </x:c>
      <x:c r="T69" t="str">
        <x:v>https://www.fantasypros.com/nba/projections/overall.php</x:v>
      </x:c>
      <x:c r="U69" s="49" t="str">
        <x:v>CORE</x:v>
      </x:c>
      <x:c r="V69" s="49" t="str">
        <x:v>HIGH</x:v>
      </x:c>
      <x:c r="W69" s="49" t="str">
        <x:v>DRAFT_DAY_FP</x:v>
      </x:c>
      <x:c r="X69" s="49" t="str">
        <x:v>TOP-200 RESEARCH</x:v>
      </x:c>
      <x:c r="Y69" s="49" t="str">
        <x:v>2026-10-10</x:v>
      </x:c>
      <x:c r="Z69" s="50" t="str">
        <x:v>https://www.nba.com/players</x:v>
      </x:c>
      <x:c r="AA69" s="50" t="str">
        <x:v>https://basketball.realgm.com/nba/stats/2026/Averages/All/points/All/desc/1/Regular_Season</x:v>
      </x:c>
    </x:row>
    <x:row r="70" ht="22" customHeight="1">
      <x:c r="A70" s="47" t="n">
        <x:v>65</x:v>
      </x:c>
      <x:c r="B70" t="str">
        <x:v>Darius Garland</x:v>
      </x:c>
      <x:c r="C70" t="str">
        <x:v>LAC</x:v>
      </x:c>
      <x:c r="D70" t="str">
        <x:v>PG</x:v>
      </x:c>
      <x:c r="E70" t="str">
        <x:v>PG</x:v>
      </x:c>
      <x:c r="F70" s="47" t="n">
        <x:v>45</x:v>
      </x:c>
      <x:c r="G70" s="22" t="n">
        <x:v>32.05</x:v>
      </x:c>
      <x:c r="H70" s="22" t="n">
        <x:v>30.503849638933815</x:v>
      </x:c>
      <x:c r="I70" s="22" t="n">
        <x:v>37.503849638933815</x:v>
      </x:c>
      <x:c r="J70" s="22" t="n">
        <x:v>74</x:v>
      </x:c>
      <x:c r="K70" s="22" t="str">
        <x:v>STANDARD</x:v>
      </x:c>
      <x:c r="L70" s="22" t="n">
        <x:v>34.003849638933815</x:v>
      </x:c>
      <x:c r="M70" s="30" t="n">
        <x:v>2516.284873281102</x:v>
      </x:c>
      <x:c r="N70" s="18" t="str">
        <x:v>Available</x:v>
      </x:c>
      <x:c r="O70" s="16" t="str">
        <x:v>Clippers role can help; avoid assuming every change of team produces a breakout.</x:v>
      </x:c>
      <x:c r="P70" s="22" t="n">
        <x:v>34.003849638933815</x:v>
      </x:c>
      <x:c r="Q70" s="22"/>
      <x:c r="R70" s="22" t="n">
        <x:v>34.003849638933815</x:v>
      </x:c>
      <x:c r="S70" s="22" t="n">
        <x:v>0</x:v>
      </x:c>
      <x:c r="T70" t="str">
        <x:v>https://www.fantasypros.com/nba/projections/overall.php</x:v>
      </x:c>
      <x:c r="U70" s="49" t="str">
        <x:v>CORE</x:v>
      </x:c>
      <x:c r="V70" s="49" t="str">
        <x:v>HIGH</x:v>
      </x:c>
      <x:c r="W70" s="49" t="str">
        <x:v>DRAFT_DAY_FP</x:v>
      </x:c>
      <x:c r="X70" s="49" t="str">
        <x:v>TOP-200 RESEARCH</x:v>
      </x:c>
      <x:c r="Y70" s="49" t="str">
        <x:v>2026-10-10</x:v>
      </x:c>
      <x:c r="Z70" s="50" t="str">
        <x:v>https://www.nba.com/players</x:v>
      </x:c>
      <x:c r="AA70" s="50" t="str">
        <x:v>https://basketball.realgm.com/nba/stats/2026/Averages/All/points/All/desc/1/Regular_Season</x:v>
      </x:c>
    </x:row>
    <x:row r="71" ht="22" customHeight="1">
      <x:c r="A71" s="47" t="n">
        <x:v>66</x:v>
      </x:c>
      <x:c r="B71" t="str">
        <x:v>Ja Morant</x:v>
      </x:c>
      <x:c r="C71" t="str">
        <x:v>POR</x:v>
      </x:c>
      <x:c r="D71" t="str">
        <x:v>PG</x:v>
      </x:c>
      <x:c r="E71" t="str">
        <x:v>PG</x:v>
      </x:c>
      <x:c r="F71" s="47" t="n">
        <x:v>20</x:v>
      </x:c>
      <x:c r="G71" s="22" t="n">
        <x:v>33.8</x:v>
      </x:c>
      <x:c r="H71" s="22" t="n">
        <x:v>26.665171228621105</x:v>
      </x:c>
      <x:c r="I71" s="22" t="n">
        <x:v>42.665171228621105</x:v>
      </x:c>
      <x:c r="J71" s="22" t="n">
        <x:v>72</x:v>
      </x:c>
      <x:c r="K71" s="22" t="str">
        <x:v>HIGH</x:v>
      </x:c>
      <x:c r="L71" s="22" t="n">
        <x:v>34.665171228621105</x:v>
      </x:c>
      <x:c r="M71" s="30" t="n">
        <x:v>2495.8923284607195</x:v>
      </x:c>
      <x:c r="N71" s="18" t="str">
        <x:v>Available</x:v>
      </x:c>
      <x:c r="O71" s="16" t="str">
        <x:v>Portland's crowded creation and availability history justify a large discount.</x:v>
      </x:c>
      <x:c r="P71" s="22" t="n">
        <x:v>34.665171228621105</x:v>
      </x:c>
      <x:c r="Q71" s="22"/>
      <x:c r="R71" s="22" t="n">
        <x:v>34.665171228621105</x:v>
      </x:c>
      <x:c r="S71" s="22" t="n">
        <x:v>0</x:v>
      </x:c>
      <x:c r="T71" t="str">
        <x:v>https://www.fantasypros.com/nba/projections/overall.php</x:v>
      </x:c>
      <x:c r="U71" s="49" t="str">
        <x:v>CORE</x:v>
      </x:c>
      <x:c r="V71" s="49" t="str">
        <x:v>HIGH</x:v>
      </x:c>
      <x:c r="W71" s="49" t="str">
        <x:v>DRAFT_DAY_FP</x:v>
      </x:c>
      <x:c r="X71" s="49" t="str">
        <x:v>TOP-200 RESEARCH</x:v>
      </x:c>
      <x:c r="Y71" s="49" t="str">
        <x:v>2026-10-10</x:v>
      </x:c>
      <x:c r="Z71" s="50" t="str">
        <x:v>https://www.nba.com/players</x:v>
      </x:c>
      <x:c r="AA71" s="50" t="str">
        <x:v>https://basketball.realgm.com/nba/stats/2026/Averages/All/points/All/desc/1/Regular_Season</x:v>
      </x:c>
    </x:row>
    <x:row r="72" ht="22" customHeight="1">
      <x:c r="A72" s="47" t="n">
        <x:v>67</x:v>
      </x:c>
      <x:c r="B72" t="str">
        <x:v>De'Aaron Fox</x:v>
      </x:c>
      <x:c r="C72" t="str">
        <x:v>SAS</x:v>
      </x:c>
      <x:c r="D72" t="str">
        <x:v>PG</x:v>
      </x:c>
      <x:c r="E72" t="str">
        <x:v>PG/SG</x:v>
      </x:c>
      <x:c r="F72" s="47" t="n">
        <x:v>72</x:v>
      </x:c>
      <x:c r="G72" s="22" t="n">
        <x:v>34.45</x:v>
      </x:c>
      <x:c r="H72" s="22" t="n">
        <x:v>30.249026348511116</x:v>
      </x:c>
      <x:c r="I72" s="22" t="n">
        <x:v>37.249026348511116</x:v>
      </x:c>
      <x:c r="J72" s="22" t="n">
        <x:v>75</x:v>
      </x:c>
      <x:c r="K72" s="22" t="str">
        <x:v>STANDARD</x:v>
      </x:c>
      <x:c r="L72" s="22" t="n">
        <x:v>33.749026348511116</x:v>
      </x:c>
      <x:c r="M72" s="30" t="n">
        <x:v>2531.176976138334</x:v>
      </x:c>
      <x:c r="N72" s="18" t="str">
        <x:v>Available</x:v>
      </x:c>
      <x:c r="O72" s="16" t="str">
        <x:v>Good player, but shared San Antonio creation and this scoring formula lower draft priority.</x:v>
      </x:c>
      <x:c r="P72" s="22" t="n">
        <x:v>33.749026348511116</x:v>
      </x:c>
      <x:c r="Q72" s="22"/>
      <x:c r="R72" s="22" t="n">
        <x:v>33.749026348511116</x:v>
      </x:c>
      <x:c r="S72" s="22" t="n">
        <x:v>0</x:v>
      </x:c>
      <x:c r="T72" t="str">
        <x:v>https://www.fantasypros.com/nba/projections/overall.php</x:v>
      </x:c>
      <x:c r="U72" s="49" t="str">
        <x:v>CORE</x:v>
      </x:c>
      <x:c r="V72" s="49" t="str">
        <x:v>HIGH</x:v>
      </x:c>
      <x:c r="W72" s="49" t="str">
        <x:v>DRAFT_DAY_FP</x:v>
      </x:c>
      <x:c r="X72" s="49" t="str">
        <x:v>TOP-200 RESEARCH</x:v>
      </x:c>
      <x:c r="Y72" s="49" t="str">
        <x:v>2026-10-10</x:v>
      </x:c>
      <x:c r="Z72" s="50" t="str">
        <x:v>https://www.nba.com/players</x:v>
      </x:c>
      <x:c r="AA72" s="50" t="str">
        <x:v>https://basketball.realgm.com/nba/stats/2026/Averages/All/points/All/desc/1/Regular_Season</x:v>
      </x:c>
    </x:row>
    <x:row r="73" ht="22" customHeight="1">
      <x:c r="A73" s="47" t="n">
        <x:v>68</x:v>
      </x:c>
      <x:c r="B73" t="str">
        <x:v>RJ Barrett</x:v>
      </x:c>
      <x:c r="C73" t="str">
        <x:v>TOR</x:v>
      </x:c>
      <x:c r="D73" t="str">
        <x:v>SF</x:v>
      </x:c>
      <x:c r="E73" t="str">
        <x:v>PF/SF/SG</x:v>
      </x:c>
      <x:c r="F73" s="47" t="n">
        <x:v>57</x:v>
      </x:c>
      <x:c r="G73" s="22" t="n">
        <x:v>33.5</x:v>
      </x:c>
      <x:c r="H73" s="22" t="n">
        <x:v>30.44827009844724</x:v>
      </x:c>
      <x:c r="I73" s="22" t="n">
        <x:v>37.44827009844724</x:v>
      </x:c>
      <x:c r="J73" s="22" t="n">
        <x:v>72</x:v>
      </x:c>
      <x:c r="K73" s="22" t="str">
        <x:v>STANDARD</x:v>
      </x:c>
      <x:c r="L73" s="22" t="n">
        <x:v>33.94827009844724</x:v>
      </x:c>
      <x:c r="M73" s="30" t="n">
        <x:v>2444.275447088201</x:v>
      </x:c>
      <x:c r="N73" s="18" t="str">
        <x:v>Available</x:v>
      </x:c>
      <x:c r="O73" s="16" t="str">
        <x:v>Toronto has Kawhi; avoid treating previous scoring volume as a floor.</x:v>
      </x:c>
      <x:c r="P73" s="22" t="n">
        <x:v>33.94827009844724</x:v>
      </x:c>
      <x:c r="Q73" s="22"/>
      <x:c r="R73" s="22" t="n">
        <x:v>33.94827009844724</x:v>
      </x:c>
      <x:c r="S73" s="22" t="n">
        <x:v>0</x:v>
      </x:c>
      <x:c r="T73" t="str">
        <x:v>https://www.fantasypros.com/nba/projections/overall.php</x:v>
      </x:c>
      <x:c r="U73" s="49" t="str">
        <x:v>CORE</x:v>
      </x:c>
      <x:c r="V73" s="49" t="str">
        <x:v>HIGH</x:v>
      </x:c>
      <x:c r="W73" s="49" t="str">
        <x:v>DRAFT_DAY_FP</x:v>
      </x:c>
      <x:c r="X73" s="49" t="str">
        <x:v>TOP-200 RESEARCH</x:v>
      </x:c>
      <x:c r="Y73" s="49" t="str">
        <x:v>2026-10-10</x:v>
      </x:c>
      <x:c r="Z73" s="50" t="str">
        <x:v>https://www.nba.com/players</x:v>
      </x:c>
      <x:c r="AA73" s="50" t="str">
        <x:v>https://basketball.realgm.com/nba/stats/2026/Averages/All/points/All/desc/1/Regular_Season</x:v>
      </x:c>
    </x:row>
    <x:row r="74" ht="22" customHeight="1">
      <x:c r="A74" s="47" t="n">
        <x:v>69</x:v>
      </x:c>
      <x:c r="B74" t="str">
        <x:v>Norman Powell</x:v>
      </x:c>
      <x:c r="C74" t="str">
        <x:v>CHI</x:v>
      </x:c>
      <x:c r="D74" t="str">
        <x:v>SG</x:v>
      </x:c>
      <x:c r="E74" t="str">
        <x:v>SG/SF</x:v>
      </x:c>
      <x:c r="F74" s="47" t="n">
        <x:v>58</x:v>
      </x:c>
      <x:c r="G74" s="22" t="n">
        <x:v>33.85</x:v>
      </x:c>
      <x:c r="H74" s="22" t="n">
        <x:v>29.77479868879753</x:v>
      </x:c>
      <x:c r="I74" s="22" t="n">
        <x:v>36.77479868879753</x:v>
      </x:c>
      <x:c r="J74" s="22" t="n">
        <x:v>74</x:v>
      </x:c>
      <x:c r="K74" s="22" t="str">
        <x:v>STANDARD</x:v>
      </x:c>
      <x:c r="L74" s="22" t="n">
        <x:v>33.27479868879753</x:v>
      </x:c>
      <x:c r="M74" s="30" t="n">
        <x:v>2462.3351029710175</x:v>
      </x:c>
      <x:c r="N74" s="18" t="str">
        <x:v>Available</x:v>
      </x:c>
      <x:c r="O74" s="16" t="str">
        <x:v>Scoring/efficiency option; narrower production mix than higher-ranked wings.</x:v>
      </x:c>
      <x:c r="P74" s="22" t="n">
        <x:v>33.27479868879753</x:v>
      </x:c>
      <x:c r="Q74" s="22"/>
      <x:c r="R74" s="22" t="n">
        <x:v>33.27479868879753</x:v>
      </x:c>
      <x:c r="S74" s="22" t="n">
        <x:v>0</x:v>
      </x:c>
      <x:c r="T74" t="str">
        <x:v>https://www.fantasypros.com/nba/projections/overall.php</x:v>
      </x:c>
      <x:c r="U74" s="49" t="str">
        <x:v>CORE</x:v>
      </x:c>
      <x:c r="V74" s="49" t="str">
        <x:v>HIGH</x:v>
      </x:c>
      <x:c r="W74" s="49" t="str">
        <x:v>DRAFT_DAY_FP</x:v>
      </x:c>
      <x:c r="X74" s="49" t="str">
        <x:v>TOP-200 RESEARCH</x:v>
      </x:c>
      <x:c r="Y74" s="49" t="str">
        <x:v>2026-10-10</x:v>
      </x:c>
      <x:c r="Z74" s="50" t="str">
        <x:v>https://www.nba.com/players</x:v>
      </x:c>
      <x:c r="AA74" s="50" t="str">
        <x:v>https://basketball.realgm.com/nba/stats/2026/Averages/All/points/All/desc/1/Regular_Season</x:v>
      </x:c>
    </x:row>
    <x:row r="75" ht="22" customHeight="1">
      <x:c r="A75" s="47" t="n">
        <x:v>70</x:v>
      </x:c>
      <x:c r="B75" t="str">
        <x:v>OG Anunoby</x:v>
      </x:c>
      <x:c r="C75" t="str">
        <x:v>NYK</x:v>
      </x:c>
      <x:c r="D75" t="str">
        <x:v>SF</x:v>
      </x:c>
      <x:c r="E75" t="str">
        <x:v>SF/PF</x:v>
      </x:c>
      <x:c r="F75" s="47" t="n">
        <x:v>67</x:v>
      </x:c>
      <x:c r="G75" s="22" t="n">
        <x:v>32.449999999999996</x:v>
      </x:c>
      <x:c r="H75" s="22" t="n">
        <x:v>29.646866429566458</x:v>
      </x:c>
      <x:c r="I75" s="22" t="n">
        <x:v>36.64686642956646</x:v>
      </x:c>
      <x:c r="J75" s="22" t="n">
        <x:v>73</x:v>
      </x:c>
      <x:c r="K75" s="22" t="str">
        <x:v>STANDARD</x:v>
      </x:c>
      <x:c r="L75" s="22" t="n">
        <x:v>33.14686642956646</x:v>
      </x:c>
      <x:c r="M75" s="30" t="n">
        <x:v>2419.7212493583515</x:v>
      </x:c>
      <x:c r="N75" s="18" t="str">
        <x:v>Available</x:v>
      </x:c>
      <x:c r="O75" s="16" t="str">
        <x:v>Efficient supporting wing; useful depth, not an automatic category-league premium.</x:v>
      </x:c>
      <x:c r="P75" s="22" t="n">
        <x:v>33.14686642956646</x:v>
      </x:c>
      <x:c r="Q75" s="22"/>
      <x:c r="R75" s="22" t="n">
        <x:v>33.14686642956646</x:v>
      </x:c>
      <x:c r="S75" s="22" t="n">
        <x:v>0</x:v>
      </x:c>
      <x:c r="T75" t="str">
        <x:v>https://www.fantasypros.com/nba/projections/overall.php</x:v>
      </x:c>
      <x:c r="U75" s="49" t="str">
        <x:v>CORE</x:v>
      </x:c>
      <x:c r="V75" s="49" t="str">
        <x:v>HIGH</x:v>
      </x:c>
      <x:c r="W75" s="49" t="str">
        <x:v>DRAFT_DAY_FP</x:v>
      </x:c>
      <x:c r="X75" s="49" t="str">
        <x:v>TOP-200 RESEARCH</x:v>
      </x:c>
      <x:c r="Y75" s="49" t="str">
        <x:v>2026-10-10</x:v>
      </x:c>
      <x:c r="Z75" s="50" t="str">
        <x:v>https://www.nba.com/players</x:v>
      </x:c>
      <x:c r="AA75" s="50" t="str">
        <x:v>https://basketball.realgm.com/nba/stats/2026/Averages/All/points/All/desc/1/Regular_Season</x:v>
      </x:c>
    </x:row>
    <x:row r="76" ht="22" customHeight="1">
      <x:c r="A76" s="47" t="n">
        <x:v>71</x:v>
      </x:c>
      <x:c r="B76" t="str">
        <x:v>Onyeka Okongwu</x:v>
      </x:c>
      <x:c r="C76" t="str">
        <x:v>ATL</x:v>
      </x:c>
      <x:c r="D76" t="str">
        <x:v>C</x:v>
      </x:c>
      <x:c r="E76" t="str">
        <x:v>C</x:v>
      </x:c>
      <x:c r="F76" s="47" t="n">
        <x:v>74</x:v>
      </x:c>
      <x:c r="G76" s="22" t="n">
        <x:v>34.699999999999996</x:v>
      </x:c>
      <x:c r="H76" s="22" t="n">
        <x:v>29.491195617502257</x:v>
      </x:c>
      <x:c r="I76" s="22" t="n">
        <x:v>36.49119561750226</x:v>
      </x:c>
      <x:c r="J76" s="22" t="n">
        <x:v>75</x:v>
      </x:c>
      <x:c r="K76" s="22" t="str">
        <x:v>STANDARD</x:v>
      </x:c>
      <x:c r="L76" s="22" t="n">
        <x:v>32.99119561750226</x:v>
      </x:c>
      <x:c r="M76" s="30" t="n">
        <x:v>2474.3396713126695</x:v>
      </x:c>
      <x:c r="N76" s="18" t="str">
        <x:v>Available</x:v>
      </x:c>
      <x:c r="O76" s="16" t="str">
        <x:v>Useful efficient big-man depth; offensive boards matter more than block hype.</x:v>
      </x:c>
      <x:c r="P76" s="22" t="n">
        <x:v>32.99119561750226</x:v>
      </x:c>
      <x:c r="Q76" s="22"/>
      <x:c r="R76" s="22" t="n">
        <x:v>32.99119561750226</x:v>
      </x:c>
      <x:c r="S76" s="22" t="n">
        <x:v>0</x:v>
      </x:c>
      <x:c r="T76" t="str">
        <x:v>https://www.fantasypros.com/nba/projections/overall.php</x:v>
      </x:c>
      <x:c r="U76" s="49" t="str">
        <x:v>CORE</x:v>
      </x:c>
      <x:c r="V76" s="49" t="str">
        <x:v>HIGH</x:v>
      </x:c>
      <x:c r="W76" s="49" t="str">
        <x:v>DRAFT_DAY_FP</x:v>
      </x:c>
      <x:c r="X76" s="49" t="str">
        <x:v>TOP-200 RESEARCH</x:v>
      </x:c>
      <x:c r="Y76" s="49" t="str">
        <x:v>2026-10-10</x:v>
      </x:c>
      <x:c r="Z76" s="50" t="str">
        <x:v>https://www.nba.com/players</x:v>
      </x:c>
      <x:c r="AA76" s="50" t="str">
        <x:v>https://basketball.realgm.com/nba/stats/2026/Averages/All/points/All/desc/1/Regular_Season</x:v>
      </x:c>
    </x:row>
    <x:row r="77" ht="22" customHeight="1">
      <x:c r="A77" s="47" t="n">
        <x:v>72</x:v>
      </x:c>
      <x:c r="B77" t="str">
        <x:v>Dyson Daniels</x:v>
      </x:c>
      <x:c r="C77" t="str">
        <x:v>ATL</x:v>
      </x:c>
      <x:c r="D77" t="str">
        <x:v>SG</x:v>
      </x:c>
      <x:c r="E77" t="str">
        <x:v>PG/SF/SG</x:v>
      </x:c>
      <x:c r="F77" s="47" t="n">
        <x:v>76</x:v>
      </x:c>
      <x:c r="G77" s="22" t="n">
        <x:v>34.45</x:v>
      </x:c>
      <x:c r="H77" s="22" t="n">
        <x:v>29.11488694317724</x:v>
      </x:c>
      <x:c r="I77" s="22" t="n">
        <x:v>36.11488694317724</x:v>
      </x:c>
      <x:c r="J77" s="22" t="n">
        <x:v>77</x:v>
      </x:c>
      <x:c r="K77" s="22" t="str">
        <x:v>STANDARD</x:v>
      </x:c>
      <x:c r="L77" s="22" t="n">
        <x:v>32.61488694317724</x:v>
      </x:c>
      <x:c r="M77" s="30" t="n">
        <x:v>2511.3462946246473</x:v>
      </x:c>
      <x:c r="N77" s="18" t="str">
        <x:v>Available</x:v>
      </x:c>
      <x:c r="O77" s="16" t="str">
        <x:v>Stocks and rebounds help, but steals are only 2 and scoring still matters.</x:v>
      </x:c>
      <x:c r="P77" s="22" t="n">
        <x:v>32.61488694317724</x:v>
      </x:c>
      <x:c r="Q77" s="22"/>
      <x:c r="R77" s="22" t="n">
        <x:v>32.61488694317724</x:v>
      </x:c>
      <x:c r="S77" s="22" t="n">
        <x:v>0</x:v>
      </x:c>
      <x:c r="T77" t="str">
        <x:v>https://www.fantasypros.com/nba/projections/overall.php</x:v>
      </x:c>
      <x:c r="U77" s="49" t="str">
        <x:v>CORE</x:v>
      </x:c>
      <x:c r="V77" s="49" t="str">
        <x:v>HIGH</x:v>
      </x:c>
      <x:c r="W77" s="49" t="str">
        <x:v>DRAFT_DAY_FP</x:v>
      </x:c>
      <x:c r="X77" s="49" t="str">
        <x:v>TOP-200 RESEARCH</x:v>
      </x:c>
      <x:c r="Y77" s="49" t="str">
        <x:v>2026-10-10</x:v>
      </x:c>
      <x:c r="Z77" s="50" t="str">
        <x:v>https://www.nba.com/players</x:v>
      </x:c>
      <x:c r="AA77" s="50" t="str">
        <x:v>https://basketball.realgm.com/nba/stats/2026/Averages/All/points/All/desc/1/Regular_Season</x:v>
      </x:c>
    </x:row>
    <x:row r="78" ht="22" customHeight="1">
      <x:c r="A78" s="47" t="n">
        <x:v>73</x:v>
      </x:c>
      <x:c r="B78" t="str">
        <x:v>Paul George</x:v>
      </x:c>
      <x:c r="C78" t="str">
        <x:v>BOS</x:v>
      </x:c>
      <x:c r="D78" t="str">
        <x:v>SF</x:v>
      </x:c>
      <x:c r="E78" t="str">
        <x:v>PF/SF</x:v>
      </x:c>
      <x:c r="F78" s="47" t="n">
        <x:v>37</x:v>
      </x:c>
      <x:c r="G78" s="22" t="n">
        <x:v>32.6</x:v>
      </x:c>
      <x:c r="H78" s="22" t="n">
        <x:v>25.83665906486535</x:v>
      </x:c>
      <x:c r="I78" s="22" t="n">
        <x:v>41.83665906486535</x:v>
      </x:c>
      <x:c r="J78" s="22" t="n">
        <x:v>63</x:v>
      </x:c>
      <x:c r="K78" s="22" t="str">
        <x:v>HIGH</x:v>
      </x:c>
      <x:c r="L78" s="22" t="n">
        <x:v>33.83665906486535</x:v>
      </x:c>
      <x:c r="M78" s="30" t="n">
        <x:v>2131.7095210865173</x:v>
      </x:c>
      <x:c r="N78" s="18" t="str">
        <x:v>Available</x:v>
      </x:c>
      <x:c r="O78" s="16" t="str">
        <x:v>Boston role supports value, but availability keeps him outside my core targets.</x:v>
      </x:c>
      <x:c r="P78" s="22" t="n">
        <x:v>33.96165906486535</x:v>
      </x:c>
      <x:c r="Q78" s="22"/>
      <x:c r="R78" s="22" t="n">
        <x:v>33.96165906486535</x:v>
      </x:c>
      <x:c r="S78" s="22" t="n">
        <x:v>-0.125</x:v>
      </x:c>
      <x:c r="T78" t="str">
        <x:v>https://www.fantasypros.com/nba/projections/overall.php</x:v>
      </x:c>
      <x:c r="U78" s="49" t="str">
        <x:v>CORE</x:v>
      </x:c>
      <x:c r="V78" s="49" t="str">
        <x:v>HIGH</x:v>
      </x:c>
      <x:c r="W78" s="49" t="str">
        <x:v>DRAFT_DAY_FP</x:v>
      </x:c>
      <x:c r="X78" s="49" t="str">
        <x:v>TOP-200 RESEARCH</x:v>
      </x:c>
      <x:c r="Y78" s="49" t="str">
        <x:v>2026-10-10</x:v>
      </x:c>
      <x:c r="Z78" s="50" t="str">
        <x:v>https://www.nba.com/players</x:v>
      </x:c>
      <x:c r="AA78" s="50" t="str">
        <x:v>https://basketball.realgm.com/nba/stats/2026/Averages/All/points/All/desc/1/Regular_Season</x:v>
      </x:c>
    </x:row>
    <x:row r="79" ht="22" customHeight="1">
      <x:c r="A79" s="47" t="n">
        <x:v>74</x:v>
      </x:c>
      <x:c r="B79" t="str">
        <x:v>Darius Acuff Jr.</x:v>
      </x:c>
      <x:c r="C79" t="str">
        <x:v>SAC</x:v>
      </x:c>
      <x:c r="D79" t="str">
        <x:v>PG</x:v>
      </x:c>
      <x:c r="E79" t="str">
        <x:v>PG</x:v>
      </x:c>
      <x:c r="F79" s="47" t="n">
        <x:v>0</x:v>
      </x:c>
      <x:c r="G79" s="22"/>
      <x:c r="H79" s="22" t="n">
        <x:v>27.083912741325044</x:v>
      </x:c>
      <x:c r="I79" s="22" t="n">
        <x:v>38.083912741325044</x:v>
      </x:c>
      <x:c r="J79" s="22" t="n">
        <x:v>76</x:v>
      </x:c>
      <x:c r="K79" s="22" t="str">
        <x:v>MEDIUM</x:v>
      </x:c>
      <x:c r="L79" s="22" t="n">
        <x:v>32.583912741325044</x:v>
      </x:c>
      <x:c r="M79" s="30" t="n">
        <x:v>2476.3773683407035</x:v>
      </x:c>
      <x:c r="N79" s="18" t="str">
        <x:v>Available</x:v>
      </x:c>
      <x:c r="O79" s="16" t="str">
        <x:v>Sacramento rookie opportunity is interesting; wider uncertainty than veteran alternatives.</x:v>
      </x:c>
      <x:c r="P79" s="22" t="n">
        <x:v>32.583912741325044</x:v>
      </x:c>
      <x:c r="Q79" s="22"/>
      <x:c r="R79" s="22" t="n">
        <x:v>32.583912741325044</x:v>
      </x:c>
      <x:c r="S79" s="22" t="n">
        <x:v>0</x:v>
      </x:c>
      <x:c r="T79" t="str">
        <x:v>https://www.fantasypros.com/nba/projections/overall.php</x:v>
      </x:c>
      <x:c r="U79" s="49" t="str">
        <x:v>CORE</x:v>
      </x:c>
      <x:c r="V79" s="49" t="str">
        <x:v>HIGH</x:v>
      </x:c>
      <x:c r="W79" s="49" t="str">
        <x:v>DRAFT_DAY_FP</x:v>
      </x:c>
      <x:c r="X79" s="49" t="str">
        <x:v>TOP-200 RESEARCH</x:v>
      </x:c>
      <x:c r="Y79" s="49" t="str">
        <x:v>2026-10-10</x:v>
      </x:c>
      <x:c r="Z79" s="50" t="str">
        <x:v>https://www.nba.com/players</x:v>
      </x:c>
      <x:c r="AA79" s="50" t="str">
        <x:v>https://basketball.realgm.com/nba/stats/2026/Averages/All/points/All/desc/1/Regular_Season</x:v>
      </x:c>
    </x:row>
    <x:row r="80" ht="22" customHeight="1">
      <x:c r="A80" s="47" t="n">
        <x:v>75</x:v>
      </x:c>
      <x:c r="B80" t="str">
        <x:v>Ty Jerome</x:v>
      </x:c>
      <x:c r="C80" t="str">
        <x:v>MEM</x:v>
      </x:c>
      <x:c r="D80" t="str">
        <x:v>PG</x:v>
      </x:c>
      <x:c r="E80" t="str">
        <x:v>PG/SG</x:v>
      </x:c>
      <x:c r="F80" s="47" t="n">
        <x:v>15</x:v>
      </x:c>
      <x:c r="G80" s="22" t="n">
        <x:v>36.50000000000001</x:v>
      </x:c>
      <x:c r="H80" s="22" t="n">
        <x:v>27.655079042876004</x:v>
      </x:c>
      <x:c r="I80" s="22" t="n">
        <x:v>38.655079042876004</x:v>
      </x:c>
      <x:c r="J80" s="22" t="n">
        <x:v>71</x:v>
      </x:c>
      <x:c r="K80" s="22" t="str">
        <x:v>MEDIUM</x:v>
      </x:c>
      <x:c r="L80" s="22" t="n">
        <x:v>33.155079042876004</x:v>
      </x:c>
      <x:c r="M80" s="30" t="n">
        <x:v>2354.0106120441965</x:v>
      </x:c>
      <x:c r="N80" s="18" t="str">
        <x:v>Available</x:v>
      </x:c>
      <x:c r="O80" s="16" t="str">
        <x:v>Memphis opportunity is attractive; small 15-game prior sample should not anchor expectations.</x:v>
      </x:c>
      <x:c r="P80" s="22" t="n">
        <x:v>32.905079042876004</x:v>
      </x:c>
      <x:c r="Q80" s="22"/>
      <x:c r="R80" s="22" t="n">
        <x:v>32.905079042876004</x:v>
      </x:c>
      <x:c r="S80" s="22" t="n">
        <x:v>0.25</x:v>
      </x:c>
      <x:c r="T80" t="str">
        <x:v>https://www.fantasypros.com/nba/projections/overall.php</x:v>
      </x:c>
      <x:c r="U80" s="49" t="str">
        <x:v>CORE</x:v>
      </x:c>
      <x:c r="V80" s="49" t="str">
        <x:v>HIGH</x:v>
      </x:c>
      <x:c r="W80" s="49" t="str">
        <x:v>DRAFT_DAY_FP</x:v>
      </x:c>
      <x:c r="X80" s="49" t="str">
        <x:v>TOP-200 RESEARCH</x:v>
      </x:c>
      <x:c r="Y80" s="49" t="str">
        <x:v>2026-10-10</x:v>
      </x:c>
      <x:c r="Z80" s="50" t="str">
        <x:v>https://www.nba.com/players</x:v>
      </x:c>
      <x:c r="AA80" s="50" t="str">
        <x:v>https://basketball.realgm.com/nba/stats/2026/Averages/All/points/All/desc/1/Regular_Season</x:v>
      </x:c>
    </x:row>
    <x:row r="81" ht="22" customHeight="1">
      <x:c r="A81" s="47" t="n">
        <x:v>76</x:v>
      </x:c>
      <x:c r="B81" t="str">
        <x:v>Kon Knueppel</x:v>
      </x:c>
      <x:c r="C81" t="str">
        <x:v>CHA</x:v>
      </x:c>
      <x:c r="D81" t="str">
        <x:v>SG</x:v>
      </x:c>
      <x:c r="E81" t="str">
        <x:v>SF/SG</x:v>
      </x:c>
      <x:c r="F81" s="47" t="n">
        <x:v>81</x:v>
      </x:c>
      <x:c r="G81" s="22" t="n">
        <x:v>33.79999999999999</x:v>
      </x:c>
      <x:c r="H81" s="22" t="n">
        <x:v>25.836568208819408</x:v>
      </x:c>
      <x:c r="I81" s="22" t="n">
        <x:v>41.83656820881941</x:v>
      </x:c>
      <x:c r="J81" s="22" t="n">
        <x:v>68</x:v>
      </x:c>
      <x:c r="K81" s="22" t="str">
        <x:v>HIGH</x:v>
      </x:c>
      <x:c r="L81" s="22" t="n">
        <x:v>33.83656820881941</x:v>
      </x:c>
      <x:c r="M81" s="30" t="n">
        <x:v>2300.8866381997195</x:v>
      </x:c>
      <x:c r="N81" s="18" t="str">
        <x:v>Available</x:v>
      </x:c>
      <x:c r="O81" s="16" t="str">
        <x:v>Left hamstring strain will cost him the entire preseason and may cost him the start of the regular season.</x:v>
      </x:c>
      <x:c r="P81" s="22" t="n">
        <x:v>33.83656820881941</x:v>
      </x:c>
      <x:c r="Q81" s="22"/>
      <x:c r="R81" s="22" t="n">
        <x:v>33.83656820881941</x:v>
      </x:c>
      <x:c r="S81" s="22" t="n">
        <x:v>0</x:v>
      </x:c>
      <x:c r="T81" t="str">
        <x:v>https://www.nba.com/news/hornets-kon-knueppel-injures-his-left-hamstring-and-could-miss-the-start-of-the-season</x:v>
      </x:c>
      <x:c r="U81" s="49" t="str">
        <x:v>CORE</x:v>
      </x:c>
      <x:c r="V81" s="49" t="str">
        <x:v>HIGH</x:v>
      </x:c>
      <x:c r="W81" s="49" t="str">
        <x:v>DRAFT_DAY_FP</x:v>
      </x:c>
      <x:c r="X81" s="49" t="str">
        <x:v>TOP-200 RESEARCH</x:v>
      </x:c>
      <x:c r="Y81" s="49" t="str">
        <x:v>2026-10-10</x:v>
      </x:c>
      <x:c r="Z81" s="50" t="str">
        <x:v>https://www.nba.com/players</x:v>
      </x:c>
      <x:c r="AA81" s="50" t="str">
        <x:v>https://basketball.realgm.com/nba/stats/2026/Averages/All/points/All/desc/1/Regular_Season</x:v>
      </x:c>
    </x:row>
    <x:row r="82" ht="22" customHeight="1">
      <x:c r="A82" s="47" t="n">
        <x:v>77</x:v>
      </x:c>
      <x:c r="B82" t="str">
        <x:v>John Collins</x:v>
      </x:c>
      <x:c r="C82" t="str">
        <x:v>DET</x:v>
      </x:c>
      <x:c r="D82" t="str">
        <x:v>PF</x:v>
      </x:c>
      <x:c r="E82" t="str">
        <x:v>PF/C</x:v>
      </x:c>
      <x:c r="F82" s="47" t="n">
        <x:v>69</x:v>
      </x:c>
      <x:c r="G82" s="22" t="n">
        <x:v>27.15</x:v>
      </x:c>
      <x:c r="H82" s="22" t="n">
        <x:v>29.21426884281979</x:v>
      </x:c>
      <x:c r="I82" s="22" t="n">
        <x:v>36.21426884281979</x:v>
      </x:c>
      <x:c r="J82" s="22" t="n">
        <x:v>73</x:v>
      </x:c>
      <x:c r="K82" s="22" t="str">
        <x:v>STANDARD</x:v>
      </x:c>
      <x:c r="L82" s="22" t="n">
        <x:v>32.71426884281979</x:v>
      </x:c>
      <x:c r="M82" s="30" t="n">
        <x:v>2388.1416255258446</x:v>
      </x:c>
      <x:c r="N82" s="18" t="str">
        <x:v>Available</x:v>
      </x:c>
      <x:c r="O82" s="16" t="str">
        <x:v>Detroit depth option; role and minutes must support the projection.</x:v>
      </x:c>
      <x:c r="P82" s="22" t="n">
        <x:v>32.71426884281979</x:v>
      </x:c>
      <x:c r="Q82" s="22"/>
      <x:c r="R82" s="22" t="n">
        <x:v>32.71426884281979</x:v>
      </x:c>
      <x:c r="S82" s="22" t="n">
        <x:v>0</x:v>
      </x:c>
      <x:c r="T82" t="str">
        <x:v>https://www.fantasypros.com/nba/projections/overall.php</x:v>
      </x:c>
      <x:c r="U82" s="49" t="str">
        <x:v>CORE</x:v>
      </x:c>
      <x:c r="V82" s="49" t="str">
        <x:v>HIGH</x:v>
      </x:c>
      <x:c r="W82" s="49" t="str">
        <x:v>DRAFT_DAY_FP</x:v>
      </x:c>
      <x:c r="X82" s="49" t="str">
        <x:v>TOP-200 RESEARCH</x:v>
      </x:c>
      <x:c r="Y82" s="49" t="str">
        <x:v>2026-10-10</x:v>
      </x:c>
      <x:c r="Z82" s="50" t="str">
        <x:v>https://www.nba.com/players</x:v>
      </x:c>
      <x:c r="AA82" s="50" t="str">
        <x:v>https://basketball.realgm.com/nba/stats/2026/Averages/All/points/All/desc/1/Regular_Season</x:v>
      </x:c>
    </x:row>
    <x:row r="83" ht="22" customHeight="1">
      <x:c r="A83" s="47" t="n">
        <x:v>78</x:v>
      </x:c>
      <x:c r="B83" t="str">
        <x:v>Miles Bridges</x:v>
      </x:c>
      <x:c r="C83" t="str">
        <x:v>PHX</x:v>
      </x:c>
      <x:c r="D83" t="str">
        <x:v>PF</x:v>
      </x:c>
      <x:c r="E83" t="str">
        <x:v>SF/PF</x:v>
      </x:c>
      <x:c r="F83" s="47" t="n">
        <x:v>77</x:v>
      </x:c>
      <x:c r="G83" s="22" t="n">
        <x:v>31.600000000000005</x:v>
      </x:c>
      <x:c r="H83" s="22" t="n">
        <x:v>28.926687746383124</x:v>
      </x:c>
      <x:c r="I83" s="22" t="n">
        <x:v>35.926687746383124</x:v>
      </x:c>
      <x:c r="J83" s="22" t="n">
        <x:v>75</x:v>
      </x:c>
      <x:c r="K83" s="22" t="str">
        <x:v>STANDARD</x:v>
      </x:c>
      <x:c r="L83" s="22" t="n">
        <x:v>32.426687746383124</x:v>
      </x:c>
      <x:c r="M83" s="30" t="n">
        <x:v>2432.001580978734</x:v>
      </x:c>
      <x:c r="N83" s="18" t="str">
        <x:v>Available</x:v>
      </x:c>
      <x:c r="O83" s="16" t="str">
        <x:v>Phoenix forward depth; compare his total production with efficient centers at the same draft price.</x:v>
      </x:c>
      <x:c r="P83" s="22" t="n">
        <x:v>32.426687746383124</x:v>
      </x:c>
      <x:c r="Q83" s="22"/>
      <x:c r="R83" s="22" t="n">
        <x:v>32.426687746383124</x:v>
      </x:c>
      <x:c r="S83" s="22" t="n">
        <x:v>0</x:v>
      </x:c>
      <x:c r="T83" t="str">
        <x:v>https://www.fantasypros.com/nba/projections/overall.php</x:v>
      </x:c>
      <x:c r="U83" s="49" t="str">
        <x:v>CORE</x:v>
      </x:c>
      <x:c r="V83" s="49" t="str">
        <x:v>HIGH</x:v>
      </x:c>
      <x:c r="W83" s="49" t="str">
        <x:v>DRAFT_DAY_FP</x:v>
      </x:c>
      <x:c r="X83" s="49" t="str">
        <x:v>TOP-200 RESEARCH</x:v>
      </x:c>
      <x:c r="Y83" s="49" t="str">
        <x:v>2026-10-10</x:v>
      </x:c>
      <x:c r="Z83" s="50" t="str">
        <x:v>https://www.nba.com/players</x:v>
      </x:c>
      <x:c r="AA83" s="50" t="str">
        <x:v>https://basketball.realgm.com/nba/stats/2026/Averages/All/points/All/desc/1/Regular_Season</x:v>
      </x:c>
    </x:row>
    <x:row r="84" ht="22" customHeight="1">
      <x:c r="A84" s="47" t="n">
        <x:v>79</x:v>
      </x:c>
      <x:c r="B84" t="str">
        <x:v>Josh Hart</x:v>
      </x:c>
      <x:c r="C84" t="str">
        <x:v>NYK</x:v>
      </x:c>
      <x:c r="D84" t="str">
        <x:v>SF</x:v>
      </x:c>
      <x:c r="E84" t="str">
        <x:v>SF/SG</x:v>
      </x:c>
      <x:c r="F84" s="47" t="n">
        <x:v>66</x:v>
      </x:c>
      <x:c r="G84" s="22" t="n">
        <x:v>30.850000000000005</x:v>
      </x:c>
      <x:c r="H84" s="22" t="n">
        <x:v>28.9080099413437</x:v>
      </x:c>
      <x:c r="I84" s="22" t="n">
        <x:v>35.9080099413437</x:v>
      </x:c>
      <x:c r="J84" s="22" t="n">
        <x:v>73</x:v>
      </x:c>
      <x:c r="K84" s="22" t="str">
        <x:v>STANDARD</x:v>
      </x:c>
      <x:c r="L84" s="22" t="n">
        <x:v>32.4080099413437</x:v>
      </x:c>
      <x:c r="M84" s="30" t="n">
        <x:v>2365.78472571809</x:v>
      </x:c>
      <x:c r="N84" s="18" t="str">
        <x:v>Available</x:v>
      </x:c>
      <x:c r="O84" s="16" t="str">
        <x:v>Rebounding wing useful for lineup balance; limited high-usage scoring ceiling.</x:v>
      </x:c>
      <x:c r="P84" s="22" t="n">
        <x:v>32.4080099413437</x:v>
      </x:c>
      <x:c r="Q84" s="22"/>
      <x:c r="R84" s="22" t="n">
        <x:v>32.4080099413437</x:v>
      </x:c>
      <x:c r="S84" s="22" t="n">
        <x:v>0</x:v>
      </x:c>
      <x:c r="T84" t="str">
        <x:v>https://www.fantasypros.com/nba/projections/overall.php</x:v>
      </x:c>
      <x:c r="U84" s="49" t="str">
        <x:v>CORE</x:v>
      </x:c>
      <x:c r="V84" s="49" t="str">
        <x:v>HIGH</x:v>
      </x:c>
      <x:c r="W84" s="49" t="str">
        <x:v>DRAFT_DAY_FP</x:v>
      </x:c>
      <x:c r="X84" s="49" t="str">
        <x:v>TOP-200 RESEARCH</x:v>
      </x:c>
      <x:c r="Y84" s="49" t="str">
        <x:v>2026-10-10</x:v>
      </x:c>
      <x:c r="Z84" s="50" t="str">
        <x:v>https://www.nba.com/players</x:v>
      </x:c>
      <x:c r="AA84" s="50" t="str">
        <x:v>https://basketball.realgm.com/nba/stats/2026/Averages/All/points/All/desc/1/Regular_Season</x:v>
      </x:c>
    </x:row>
    <x:row r="85" ht="22" customHeight="1">
      <x:c r="A85" s="47" t="n">
        <x:v>80</x:v>
      </x:c>
      <x:c r="B85" t="str">
        <x:v>Jakob Poeltl</x:v>
      </x:c>
      <x:c r="C85" t="str">
        <x:v>TOR</x:v>
      </x:c>
      <x:c r="D85" t="str">
        <x:v>C</x:v>
      </x:c>
      <x:c r="E85" t="str">
        <x:v>C</x:v>
      </x:c>
      <x:c r="F85" s="47" t="n">
        <x:v>46</x:v>
      </x:c>
      <x:c r="G85" s="22" t="n">
        <x:v>29.35</x:v>
      </x:c>
      <x:c r="H85" s="22" t="n">
        <x:v>26.99522809793126</x:v>
      </x:c>
      <x:c r="I85" s="22" t="n">
        <x:v>37.99522809793126</x:v>
      </x:c>
      <x:c r="J85" s="22" t="n">
        <x:v>72</x:v>
      </x:c>
      <x:c r="K85" s="22" t="str">
        <x:v>MEDIUM</x:v>
      </x:c>
      <x:c r="L85" s="22" t="n">
        <x:v>32.49522809793126</x:v>
      </x:c>
      <x:c r="M85" s="30" t="n">
        <x:v>2339.6564230510508</x:v>
      </x:c>
      <x:c r="N85" s="18" t="str">
        <x:v>Available</x:v>
      </x:c>
      <x:c r="O85" s="16" t="str">
        <x:v>Efficient center target when available; veteran workload is a meaningful check.</x:v>
      </x:c>
      <x:c r="P85" s="22" t="n">
        <x:v>32.49522809793126</x:v>
      </x:c>
      <x:c r="Q85" s="22"/>
      <x:c r="R85" s="22" t="n">
        <x:v>32.49522809793126</x:v>
      </x:c>
      <x:c r="S85" s="22" t="n">
        <x:v>0</x:v>
      </x:c>
      <x:c r="T85" t="str">
        <x:v>https://www.fantasypros.com/nba/projections/overall.php</x:v>
      </x:c>
      <x:c r="U85" s="49" t="str">
        <x:v>CORE</x:v>
      </x:c>
      <x:c r="V85" s="49" t="str">
        <x:v>HIGH</x:v>
      </x:c>
      <x:c r="W85" s="49" t="str">
        <x:v>DRAFT_DAY_FP</x:v>
      </x:c>
      <x:c r="X85" s="49" t="str">
        <x:v>TOP-200 RESEARCH</x:v>
      </x:c>
      <x:c r="Y85" s="49" t="str">
        <x:v>2026-10-10</x:v>
      </x:c>
      <x:c r="Z85" s="50" t="str">
        <x:v>https://www.nba.com/players</x:v>
      </x:c>
      <x:c r="AA85" s="50" t="str">
        <x:v>https://basketball.realgm.com/nba/stats/2026/Averages/All/points/All/desc/1/Regular_Season</x:v>
      </x:c>
    </x:row>
    <x:row r="86" ht="22" customHeight="1">
      <x:c r="A86" s="47" t="n">
        <x:v>81</x:v>
      </x:c>
      <x:c r="B86" t="str">
        <x:v>Dejounte Murray</x:v>
      </x:c>
      <x:c r="C86" t="str">
        <x:v>NOP</x:v>
      </x:c>
      <x:c r="D86" t="str">
        <x:v>PG</x:v>
      </x:c>
      <x:c r="E86" t="str">
        <x:v>PG/SG</x:v>
      </x:c>
      <x:c r="F86" s="47" t="n">
        <x:v>14</x:v>
      </x:c>
      <x:c r="G86" s="22" t="n">
        <x:v>32.400000000000006</x:v>
      </x:c>
      <x:c r="H86" s="22" t="n">
        <x:v>26.219580855136666</x:v>
      </x:c>
      <x:c r="I86" s="22" t="n">
        <x:v>37.21958085513667</x:v>
      </x:c>
      <x:c r="J86" s="22" t="n">
        <x:v>73</x:v>
      </x:c>
      <x:c r="K86" s="22" t="str">
        <x:v>MEDIUM</x:v>
      </x:c>
      <x:c r="L86" s="22" t="n">
        <x:v>31.719580855136666</x:v>
      </x:c>
      <x:c r="M86" s="30" t="n">
        <x:v>2315.5294024249765</x:v>
      </x:c>
      <x:c r="N86" s="18" t="str">
        <x:v>Available</x:v>
      </x:c>
      <x:c r="O86" s="16" t="str">
        <x:v>Return workload and shooting remain risks; forecast below old peak reputation.</x:v>
      </x:c>
      <x:c r="P86" s="22" t="n">
        <x:v>31.719580855136666</x:v>
      </x:c>
      <x:c r="Q86" s="22"/>
      <x:c r="R86" s="22" t="n">
        <x:v>31.719580855136666</x:v>
      </x:c>
      <x:c r="S86" s="22" t="n">
        <x:v>0</x:v>
      </x:c>
      <x:c r="T86" t="str">
        <x:v>https://www.fantasypros.com/nba/projections/overall.php</x:v>
      </x:c>
      <x:c r="U86" s="49" t="str">
        <x:v>CORE</x:v>
      </x:c>
      <x:c r="V86" s="49" t="str">
        <x:v>HIGH</x:v>
      </x:c>
      <x:c r="W86" s="49" t="str">
        <x:v>DRAFT_DAY_FP</x:v>
      </x:c>
      <x:c r="X86" s="49" t="str">
        <x:v>TOP-200 RESEARCH</x:v>
      </x:c>
      <x:c r="Y86" s="49" t="str">
        <x:v>2026-10-10</x:v>
      </x:c>
      <x:c r="Z86" s="50" t="str">
        <x:v>https://www.nba.com/players</x:v>
      </x:c>
      <x:c r="AA86" s="50" t="str">
        <x:v>https://basketball.realgm.com/nba/stats/2026/Averages/All/points/All/desc/1/Regular_Season</x:v>
      </x:c>
    </x:row>
    <x:row r="87" ht="22" customHeight="1">
      <x:c r="A87" s="47" t="n">
        <x:v>82</x:v>
      </x:c>
      <x:c r="B87" t="str">
        <x:v>Immanuel Quickley</x:v>
      </x:c>
      <x:c r="C87" t="str">
        <x:v>TOR</x:v>
      </x:c>
      <x:c r="D87" t="str">
        <x:v>PG</x:v>
      </x:c>
      <x:c r="E87" t="str">
        <x:v>PG/SG</x:v>
      </x:c>
      <x:c r="F87" s="47" t="n">
        <x:v>70</x:v>
      </x:c>
      <x:c r="G87" s="22" t="n">
        <x:v>32.8</x:v>
      </x:c>
      <x:c r="H87" s="22" t="n">
        <x:v>26.58166715037069</x:v>
      </x:c>
      <x:c r="I87" s="22" t="n">
        <x:v>37.58166715037069</x:v>
      </x:c>
      <x:c r="J87" s="22" t="n">
        <x:v>72</x:v>
      </x:c>
      <x:c r="K87" s="22" t="str">
        <x:v>MEDIUM</x:v>
      </x:c>
      <x:c r="L87" s="22" t="n">
        <x:v>32.08166715037069</x:v>
      </x:c>
      <x:c r="M87" s="30" t="n">
        <x:v>2309.8800348266896</x:v>
      </x:c>
      <x:c r="N87" s="18" t="str">
        <x:v>Available</x:v>
      </x:c>
      <x:c r="O87" s="16" t="str">
        <x:v>Toronto creation is crowded; moderate upside at a discounted price.</x:v>
      </x:c>
      <x:c r="P87" s="22" t="n">
        <x:v>32.08166715037069</x:v>
      </x:c>
      <x:c r="Q87" s="22"/>
      <x:c r="R87" s="22" t="n">
        <x:v>32.08166715037069</x:v>
      </x:c>
      <x:c r="S87" s="22" t="n">
        <x:v>0</x:v>
      </x:c>
      <x:c r="T87" t="str">
        <x:v>https://www.fantasypros.com/nba/projections/overall.php</x:v>
      </x:c>
      <x:c r="U87" s="49" t="str">
        <x:v>CORE</x:v>
      </x:c>
      <x:c r="V87" s="49" t="str">
        <x:v>HIGH</x:v>
      </x:c>
      <x:c r="W87" s="49" t="str">
        <x:v>DRAFT_DAY_FP</x:v>
      </x:c>
      <x:c r="X87" s="49" t="str">
        <x:v>TOP-200 RESEARCH</x:v>
      </x:c>
      <x:c r="Y87" s="49" t="str">
        <x:v>2026-10-10</x:v>
      </x:c>
      <x:c r="Z87" s="50" t="str">
        <x:v>https://www.nba.com/players</x:v>
      </x:c>
      <x:c r="AA87" s="50" t="str">
        <x:v>https://basketball.realgm.com/nba/stats/2026/Averages/All/points/All/desc/1/Regular_Season</x:v>
      </x:c>
    </x:row>
    <x:row r="88" ht="22" customHeight="1">
      <x:c r="A88" s="47" t="n">
        <x:v>83</x:v>
      </x:c>
      <x:c r="B88" t="str">
        <x:v>VJ Edgecombe</x:v>
      </x:c>
      <x:c r="C88" t="str">
        <x:v>PHI</x:v>
      </x:c>
      <x:c r="D88" t="str">
        <x:v>SG</x:v>
      </x:c>
      <x:c r="E88" t="str">
        <x:v>PG/SG</x:v>
      </x:c>
      <x:c r="F88" s="47" t="n">
        <x:v>75</x:v>
      </x:c>
      <x:c r="G88" s="22" t="n">
        <x:v>32.949999999999996</x:v>
      </x:c>
      <x:c r="H88" s="22" t="n">
        <x:v>28.806594062391753</x:v>
      </x:c>
      <x:c r="I88" s="22" t="n">
        <x:v>35.80659406239175</x:v>
      </x:c>
      <x:c r="J88" s="22" t="n">
        <x:v>75</x:v>
      </x:c>
      <x:c r="K88" s="22" t="str">
        <x:v>STANDARD</x:v>
      </x:c>
      <x:c r="L88" s="22" t="n">
        <x:v>32.30659406239175</x:v>
      </x:c>
      <x:c r="M88" s="30" t="n">
        <x:v>2422.9945546793815</x:v>
      </x:c>
      <x:c r="N88" s="18" t="str">
        <x:v>Available</x:v>
      </x:c>
      <x:c r="O88" s="16" t="str">
        <x:v>Development candidate, but Philadelphia's added stars make a usage breakout less straightforward.</x:v>
      </x:c>
      <x:c r="P88" s="22" t="n">
        <x:v>32.30659406239175</x:v>
      </x:c>
      <x:c r="Q88" s="22"/>
      <x:c r="R88" s="22" t="n">
        <x:v>32.30659406239175</x:v>
      </x:c>
      <x:c r="S88" s="22" t="n">
        <x:v>0</x:v>
      </x:c>
      <x:c r="T88" t="str">
        <x:v>https://www.fantasypros.com/nba/projections/overall.php</x:v>
      </x:c>
      <x:c r="U88" s="49" t="str">
        <x:v>CORE</x:v>
      </x:c>
      <x:c r="V88" s="49" t="str">
        <x:v>HIGH</x:v>
      </x:c>
      <x:c r="W88" s="49" t="str">
        <x:v>DRAFT_DAY_FP</x:v>
      </x:c>
      <x:c r="X88" s="49" t="str">
        <x:v>TOP-200 RESEARCH</x:v>
      </x:c>
      <x:c r="Y88" s="49" t="str">
        <x:v>2026-10-10</x:v>
      </x:c>
      <x:c r="Z88" s="50" t="str">
        <x:v>https://www.nba.com/players</x:v>
      </x:c>
      <x:c r="AA88" s="50" t="str">
        <x:v>https://basketball.realgm.com/nba/stats/2026/Averages/All/points/All/desc/1/Regular_Season</x:v>
      </x:c>
    </x:row>
    <x:row r="89" ht="22" customHeight="1">
      <x:c r="A89" s="47" t="n">
        <x:v>84</x:v>
      </x:c>
      <x:c r="B89" t="str">
        <x:v>Coby White</x:v>
      </x:c>
      <x:c r="C89" t="str">
        <x:v>CHA</x:v>
      </x:c>
      <x:c r="D89" t="str">
        <x:v>PG</x:v>
      </x:c>
      <x:c r="E89" t="str">
        <x:v>PG/SG</x:v>
      </x:c>
      <x:c r="F89" s="47" t="n">
        <x:v>50</x:v>
      </x:c>
      <x:c r="G89" s="22" t="n">
        <x:v>27.350000000000005</x:v>
      </x:c>
      <x:c r="H89" s="22" t="n">
        <x:v>25.287360462970952</x:v>
      </x:c>
      <x:c r="I89" s="22" t="n">
        <x:v>41.28736046297095</x:v>
      </x:c>
      <x:c r="J89" s="22" t="n">
        <x:v>68</x:v>
      </x:c>
      <x:c r="K89" s="22" t="str">
        <x:v>HIGH</x:v>
      </x:c>
      <x:c r="L89" s="22" t="n">
        <x:v>33.28736046297095</x:v>
      </x:c>
      <x:c r="M89" s="30" t="n">
        <x:v>2263.5405114820246</x:v>
      </x:c>
      <x:c r="N89" s="18" t="str">
        <x:v>Available</x:v>
      </x:c>
      <x:c r="O89" s="16" t="str">
        <x:v>Left calf strain will keep him out for the entire preseason; opening-night availability is unclear.</x:v>
      </x:c>
      <x:c r="P89" s="22" t="n">
        <x:v>33.28736046297095</x:v>
      </x:c>
      <x:c r="Q89" s="22"/>
      <x:c r="R89" s="22" t="n">
        <x:v>33.28736046297095</x:v>
      </x:c>
      <x:c r="S89" s="22" t="n">
        <x:v>0</x:v>
      </x:c>
      <x:c r="T89" t="str">
        <x:v>https://www.nba.com/news/coby-white-preseason-calf-strain</x:v>
      </x:c>
      <x:c r="U89" s="49" t="str">
        <x:v>CORE</x:v>
      </x:c>
      <x:c r="V89" s="49" t="str">
        <x:v>HIGH</x:v>
      </x:c>
      <x:c r="W89" s="49" t="str">
        <x:v>DRAFT_DAY_FP</x:v>
      </x:c>
      <x:c r="X89" s="49" t="str">
        <x:v>TOP-200 RESEARCH</x:v>
      </x:c>
      <x:c r="Y89" s="49" t="str">
        <x:v>2026-10-10</x:v>
      </x:c>
      <x:c r="Z89" s="50" t="str">
        <x:v>https://www.nba.com/players</x:v>
      </x:c>
      <x:c r="AA89" s="50" t="str">
        <x:v>https://basketball.realgm.com/nba/stats/2026/Averages/All/points/All/desc/1/Regular_Season</x:v>
      </x:c>
    </x:row>
    <x:row r="90" ht="22" customHeight="1">
      <x:c r="A90" s="47" t="n">
        <x:v>85</x:v>
      </x:c>
      <x:c r="B90" t="str">
        <x:v>Isaiah Hartenstein</x:v>
      </x:c>
      <x:c r="C90" t="str">
        <x:v>OKC</x:v>
      </x:c>
      <x:c r="D90" t="str">
        <x:v>C</x:v>
      </x:c>
      <x:c r="E90" t="str">
        <x:v>C</x:v>
      </x:c>
      <x:c r="F90" s="47" t="n">
        <x:v>47</x:v>
      </x:c>
      <x:c r="G90" s="22" t="n">
        <x:v>32.150000000000006</x:v>
      </x:c>
      <x:c r="H90" s="22" t="n">
        <x:v>26.56377602795029</x:v>
      </x:c>
      <x:c r="I90" s="22" t="n">
        <x:v>37.56377602795029</x:v>
      </x:c>
      <x:c r="J90" s="22" t="n">
        <x:v>67</x:v>
      </x:c>
      <x:c r="K90" s="22" t="str">
        <x:v>MEDIUM</x:v>
      </x:c>
      <x:c r="L90" s="22" t="n">
        <x:v>32.06377602795029</x:v>
      </x:c>
      <x:c r="M90" s="30" t="n">
        <x:v>2148.2729938726693</x:v>
      </x:c>
      <x:c r="N90" s="18" t="str">
        <x:v>Available</x:v>
      </x:c>
      <x:c r="O90" s="16" t="str">
        <x:v>Strong per-minute profile; actual minutes cap the ceiling.</x:v>
      </x:c>
      <x:c r="P90" s="22" t="n">
        <x:v>32.06377602795029</x:v>
      </x:c>
      <x:c r="Q90" s="22"/>
      <x:c r="R90" s="22" t="n">
        <x:v>32.06377602795029</x:v>
      </x:c>
      <x:c r="S90" s="22" t="n">
        <x:v>0</x:v>
      </x:c>
      <x:c r="T90" t="str">
        <x:v>https://www.fantasypros.com/nba/projections/overall.php</x:v>
      </x:c>
      <x:c r="U90" s="49" t="str">
        <x:v>CORE</x:v>
      </x:c>
      <x:c r="V90" s="49" t="str">
        <x:v>HIGH</x:v>
      </x:c>
      <x:c r="W90" s="49" t="str">
        <x:v>RESEARCH_BLEND</x:v>
      </x:c>
      <x:c r="X90" s="49" t="str">
        <x:v>TOP-200 RESEARCH</x:v>
      </x:c>
      <x:c r="Y90" s="49" t="str">
        <x:v>2026-09-28</x:v>
      </x:c>
      <x:c r="Z90" s="50" t="str">
        <x:v>https://www.nba.com/players</x:v>
      </x:c>
      <x:c r="AA90" s="50" t="str">
        <x:v>https://basketball.realgm.com/nba/stats/2026/Averages/All/points/All/desc/1/Regular_Season</x:v>
      </x:c>
    </x:row>
    <x:row r="91" ht="22" customHeight="1">
      <x:c r="A91" s="47" t="n">
        <x:v>86</x:v>
      </x:c>
      <x:c r="B91" t="str">
        <x:v>CJ McCollum</x:v>
      </x:c>
      <x:c r="C91" t="str">
        <x:v>ATL</x:v>
      </x:c>
      <x:c r="D91" t="str">
        <x:v>PG</x:v>
      </x:c>
      <x:c r="E91" t="str">
        <x:v>PG/SG</x:v>
      </x:c>
      <x:c r="F91" s="47" t="n">
        <x:v>76</x:v>
      </x:c>
      <x:c r="G91" s="22" t="n">
        <x:v>31.000000000000007</x:v>
      </x:c>
      <x:c r="H91" s="22" t="n">
        <x:v>27.889185528582317</x:v>
      </x:c>
      <x:c r="I91" s="22" t="n">
        <x:v>34.88918552858232</x:v>
      </x:c>
      <x:c r="J91" s="22" t="n">
        <x:v>76</x:v>
      </x:c>
      <x:c r="K91" s="22" t="str">
        <x:v>STANDARD</x:v>
      </x:c>
      <x:c r="L91" s="22" t="n">
        <x:v>31.389185528582317</x:v>
      </x:c>
      <x:c r="M91" s="30" t="n">
        <x:v>2385.578100172256</x:v>
      </x:c>
      <x:c r="N91" s="18" t="str">
        <x:v>Available</x:v>
      </x:c>
      <x:c r="O91" s="16" t="str">
        <x:v>Veteran scoring depth; prefer younger upside at similar cost once starters are filled.</x:v>
      </x:c>
      <x:c r="P91" s="22" t="n">
        <x:v>31.389185528582317</x:v>
      </x:c>
      <x:c r="Q91" s="22"/>
      <x:c r="R91" s="22" t="n">
        <x:v>31.389185528582317</x:v>
      </x:c>
      <x:c r="S91" s="22" t="n">
        <x:v>0</x:v>
      </x:c>
      <x:c r="T91" t="str">
        <x:v>https://www.fantasypros.com/nba/projections/overall.php</x:v>
      </x:c>
      <x:c r="U91" s="49" t="str">
        <x:v>CORE</x:v>
      </x:c>
      <x:c r="V91" s="49" t="str">
        <x:v>HIGH</x:v>
      </x:c>
      <x:c r="W91" s="49" t="str">
        <x:v>DRAFT_DAY_FP</x:v>
      </x:c>
      <x:c r="X91" s="49" t="str">
        <x:v>TOP-200 RESEARCH</x:v>
      </x:c>
      <x:c r="Y91" s="49" t="str">
        <x:v>2026-10-10</x:v>
      </x:c>
      <x:c r="Z91" s="50" t="str">
        <x:v>https://www.nba.com/players</x:v>
      </x:c>
      <x:c r="AA91" s="50" t="str">
        <x:v>https://basketball.realgm.com/nba/stats/2026/Averages/All/points/All/desc/1/Regular_Season</x:v>
      </x:c>
    </x:row>
    <x:row r="92" ht="22" customHeight="1">
      <x:c r="A92" s="47" t="n">
        <x:v>87</x:v>
      </x:c>
      <x:c r="B92" t="str">
        <x:v>Alex Sarr</x:v>
      </x:c>
      <x:c r="C92" t="str">
        <x:v>WAS</x:v>
      </x:c>
      <x:c r="D92" t="str">
        <x:v>C</x:v>
      </x:c>
      <x:c r="E92" t="str">
        <x:v>C/PF</x:v>
      </x:c>
      <x:c r="F92" s="47" t="n">
        <x:v>48</x:v>
      </x:c>
      <x:c r="G92" s="22" t="n">
        <x:v>35.05</x:v>
      </x:c>
      <x:c r="H92" s="22" t="n">
        <x:v>26.165514867456594</x:v>
      </x:c>
      <x:c r="I92" s="22" t="n">
        <x:v>37.165514867456594</x:v>
      </x:c>
      <x:c r="J92" s="22" t="n">
        <x:v>72</x:v>
      </x:c>
      <x:c r="K92" s="22" t="str">
        <x:v>MEDIUM</x:v>
      </x:c>
      <x:c r="L92" s="22" t="n">
        <x:v>31.665514867456594</x:v>
      </x:c>
      <x:c r="M92" s="30" t="n">
        <x:v>2279.9170704568746</x:v>
      </x:c>
      <x:c r="N92" s="18" t="str">
        <x:v>Available</x:v>
      </x:c>
      <x:c r="O92" s="16" t="str">
        <x:v>Washington's Davis/Ayton frontcourt creates role uncertainty; incremental downgrade.</x:v>
      </x:c>
      <x:c r="P92" s="22" t="n">
        <x:v>32.165514867456594</x:v>
      </x:c>
      <x:c r="Q92" s="22"/>
      <x:c r="R92" s="22" t="n">
        <x:v>32.165514867456594</x:v>
      </x:c>
      <x:c r="S92" s="22" t="n">
        <x:v>-0.5</x:v>
      </x:c>
      <x:c r="T92" t="str">
        <x:v>https://www.fantasypros.com/nba/projections/overall.php</x:v>
      </x:c>
      <x:c r="U92" s="49" t="str">
        <x:v>CORE</x:v>
      </x:c>
      <x:c r="V92" s="49" t="str">
        <x:v>HIGH</x:v>
      </x:c>
      <x:c r="W92" s="49" t="str">
        <x:v>DRAFT_DAY_FP</x:v>
      </x:c>
      <x:c r="X92" s="49" t="str">
        <x:v>TOP-200 RESEARCH</x:v>
      </x:c>
      <x:c r="Y92" s="49" t="str">
        <x:v>2026-10-10</x:v>
      </x:c>
      <x:c r="Z92" s="50" t="str">
        <x:v>https://www.nba.com/players</x:v>
      </x:c>
      <x:c r="AA92" s="50" t="str">
        <x:v>https://basketball.realgm.com/nba/stats/2026/Averages/All/points/All/desc/1/Regular_Season</x:v>
      </x:c>
    </x:row>
    <x:row r="93" ht="22" customHeight="1">
      <x:c r="A93" s="47" t="n">
        <x:v>88</x:v>
      </x:c>
      <x:c r="B93" t="str">
        <x:v>Zach Edey</x:v>
      </x:c>
      <x:c r="C93" t="str">
        <x:v>MEM</x:v>
      </x:c>
      <x:c r="D93" t="str">
        <x:v>C</x:v>
      </x:c>
      <x:c r="E93" t="str">
        <x:v>C</x:v>
      </x:c>
      <x:c r="F93" s="47" t="n">
        <x:v>11</x:v>
      </x:c>
      <x:c r="G93" s="22" t="n">
        <x:v>37.50000000000001</x:v>
      </x:c>
      <x:c r="H93" s="22" t="n">
        <x:v>24.97196182337504</x:v>
      </x:c>
      <x:c r="I93" s="22" t="n">
        <x:v>40.97196182337504</x:v>
      </x:c>
      <x:c r="J93" s="22" t="n">
        <x:v>70</x:v>
      </x:c>
      <x:c r="K93" s="22" t="str">
        <x:v>HIGH</x:v>
      </x:c>
      <x:c r="L93" s="22" t="n">
        <x:v>32.97196182337504</x:v>
      </x:c>
      <x:c r="M93" s="30" t="n">
        <x:v>2308.037327636253</x:v>
      </x:c>
      <x:c r="N93" s="18" t="str">
        <x:v>Available</x:v>
      </x:c>
      <x:c r="O93" s="16" t="str">
        <x:v>Ankle recovery and rotation competition; excellent per-minute upside, insecure workload.</x:v>
      </x:c>
      <x:c r="P93" s="22" t="n">
        <x:v>32.97196182337504</x:v>
      </x:c>
      <x:c r="Q93" s="22"/>
      <x:c r="R93" s="22" t="n">
        <x:v>32.97196182337504</x:v>
      </x:c>
      <x:c r="S93" s="22" t="n">
        <x:v>0</x:v>
      </x:c>
      <x:c r="T93" t="str">
        <x:v>https://www.fantasypros.com/nba/projections/overall.php</x:v>
      </x:c>
      <x:c r="U93" s="49" t="str">
        <x:v>CORE</x:v>
      </x:c>
      <x:c r="V93" s="49" t="str">
        <x:v>HIGH</x:v>
      </x:c>
      <x:c r="W93" s="49" t="str">
        <x:v>DRAFT_DAY_FP</x:v>
      </x:c>
      <x:c r="X93" s="49" t="str">
        <x:v>TOP-200 RESEARCH</x:v>
      </x:c>
      <x:c r="Y93" s="49" t="str">
        <x:v>2026-10-10</x:v>
      </x:c>
      <x:c r="Z93" s="50" t="str">
        <x:v>https://www.nba.com/players</x:v>
      </x:c>
      <x:c r="AA93" s="50" t="str">
        <x:v>https://basketball.realgm.com/nba/stats/2026/Averages/All/points/All/desc/1/Regular_Season</x:v>
      </x:c>
    </x:row>
    <x:row r="94" ht="22" customHeight="1">
      <x:c r="A94" s="47" t="n">
        <x:v>89</x:v>
      </x:c>
      <x:c r="B94" t="str">
        <x:v>Darryn Peterson</x:v>
      </x:c>
      <x:c r="C94" t="str">
        <x:v>UTA</x:v>
      </x:c>
      <x:c r="D94" t="str">
        <x:v>PG</x:v>
      </x:c>
      <x:c r="E94" t="str">
        <x:v>PG/SG</x:v>
      </x:c>
      <x:c r="F94" s="47" t="n">
        <x:v>0</x:v>
      </x:c>
      <x:c r="G94" s="22"/>
      <x:c r="H94" s="22" t="n">
        <x:v>25.716611849234</x:v>
      </x:c>
      <x:c r="I94" s="22" t="n">
        <x:v>36.716611849234</x:v>
      </x:c>
      <x:c r="J94" s="22" t="n">
        <x:v>76</x:v>
      </x:c>
      <x:c r="K94" s="22" t="str">
        <x:v>MEDIUM</x:v>
      </x:c>
      <x:c r="L94" s="22" t="n">
        <x:v>31.216611849234</x:v>
      </x:c>
      <x:c r="M94" s="30" t="n">
        <x:v>2372.462500541784</x:v>
      </x:c>
      <x:c r="N94" s="18" t="str">
        <x:v>Available</x:v>
      </x:c>
      <x:c r="O94" s="16" t="str">
        <x:v>Utah rookie upside; competition and efficiency create a wide early-season range.</x:v>
      </x:c>
      <x:c r="P94" s="22" t="n">
        <x:v>31.216611849234</x:v>
      </x:c>
      <x:c r="Q94" s="22"/>
      <x:c r="R94" s="22" t="n">
        <x:v>31.216611849234</x:v>
      </x:c>
      <x:c r="S94" s="22" t="n">
        <x:v>0</x:v>
      </x:c>
      <x:c r="T94" t="str">
        <x:v>https://www.fantasypros.com/nba/projections/overall.php</x:v>
      </x:c>
      <x:c r="U94" s="49" t="str">
        <x:v>CORE</x:v>
      </x:c>
      <x:c r="V94" s="49" t="str">
        <x:v>HIGH</x:v>
      </x:c>
      <x:c r="W94" s="49" t="str">
        <x:v>DRAFT_DAY_FP</x:v>
      </x:c>
      <x:c r="X94" s="49" t="str">
        <x:v>TOP-200 RESEARCH</x:v>
      </x:c>
      <x:c r="Y94" s="49" t="str">
        <x:v>2026-10-10</x:v>
      </x:c>
      <x:c r="Z94" s="50" t="str">
        <x:v>https://www.nba.com/players</x:v>
      </x:c>
      <x:c r="AA94" s="50" t="str">
        <x:v>https://basketball.realgm.com/nba/stats/2026/Averages/All/points/All/desc/1/Regular_Season</x:v>
      </x:c>
    </x:row>
    <x:row r="95" ht="22" customHeight="1">
      <x:c r="A95" s="47" t="n">
        <x:v>90</x:v>
      </x:c>
      <x:c r="B95" t="str">
        <x:v>Brandon Ingram</x:v>
      </x:c>
      <x:c r="C95" t="str">
        <x:v>LAC</x:v>
      </x:c>
      <x:c r="D95" t="str">
        <x:v>SF</x:v>
      </x:c>
      <x:c r="E95" t="str">
        <x:v>SG/SF/PF</x:v>
      </x:c>
      <x:c r="F95" s="47" t="n">
        <x:v>77</x:v>
      </x:c>
      <x:c r="G95" s="22" t="n">
        <x:v>36.20000000000001</x:v>
      </x:c>
      <x:c r="H95" s="22" t="n">
        <x:v>28.435330515759638</x:v>
      </x:c>
      <x:c r="I95" s="22" t="n">
        <x:v>44.43533051575964</x:v>
      </x:c>
      <x:c r="J95" s="22" t="n">
        <x:v>52</x:v>
      </x:c>
      <x:c r="K95" s="22" t="str">
        <x:v>HIGH</x:v>
      </x:c>
      <x:c r="L95" s="22" t="n">
        <x:v>36.43533051575964</x:v>
      </x:c>
      <x:c r="M95" s="30" t="n">
        <x:v>1894.6371868195013</x:v>
      </x:c>
      <x:c r="N95" s="18" t="str">
        <x:v>Available</x:v>
      </x:c>
      <x:c r="O95" s="16" t="str">
        <x:v>Will miss the start of the season after heel surgery/partial Achilles tear; no firm return date.</x:v>
      </x:c>
      <x:c r="P95" s="22" t="n">
        <x:v>36.43533051575964</x:v>
      </x:c>
      <x:c r="Q95" s="22"/>
      <x:c r="R95" s="22" t="n">
        <x:v>36.43533051575964</x:v>
      </x:c>
      <x:c r="S95" s="22" t="n">
        <x:v>0</x:v>
      </x:c>
      <x:c r="T95" t="str">
        <x:v>https://www.nba.com/news/brandon-ingrams-clippers-debut-on-hold-after-heel-surgery-partial-achilles-tear</x:v>
      </x:c>
      <x:c r="U95" s="49" t="str">
        <x:v>CORE</x:v>
      </x:c>
      <x:c r="V95" s="49" t="str">
        <x:v>HIGH</x:v>
      </x:c>
      <x:c r="W95" s="49" t="str">
        <x:v>DRAFT_DAY_FP</x:v>
      </x:c>
      <x:c r="X95" s="49" t="str">
        <x:v>TOP-200 RESEARCH</x:v>
      </x:c>
      <x:c r="Y95" s="49" t="str">
        <x:v>2026-10-10</x:v>
      </x:c>
      <x:c r="Z95" s="50" t="str">
        <x:v>https://www.nba.com/players</x:v>
      </x:c>
      <x:c r="AA95" s="50" t="str">
        <x:v>https://basketball.realgm.com/nba/stats/2026/Averages/All/points/All/desc/1/Regular_Season</x:v>
      </x:c>
    </x:row>
    <x:row r="96" ht="22" customHeight="1">
      <x:c r="A96" s="47" t="n">
        <x:v>91</x:v>
      </x:c>
      <x:c r="B96" t="str">
        <x:v>Jalen Green</x:v>
      </x:c>
      <x:c r="C96" t="str">
        <x:v>PHX</x:v>
      </x:c>
      <x:c r="D96" t="str">
        <x:v>SG</x:v>
      </x:c>
      <x:c r="E96" t="str">
        <x:v>SF/SG</x:v>
      </x:c>
      <x:c r="F96" s="47" t="n">
        <x:v>32</x:v>
      </x:c>
      <x:c r="G96" s="22" t="n">
        <x:v>25.75</x:v>
      </x:c>
      <x:c r="H96" s="22" t="n">
        <x:v>27.29068744010917</x:v>
      </x:c>
      <x:c r="I96" s="22" t="n">
        <x:v>34.29068744010917</x:v>
      </x:c>
      <x:c r="J96" s="22" t="n">
        <x:v>74</x:v>
      </x:c>
      <x:c r="K96" s="22" t="str">
        <x:v>STANDARD</x:v>
      </x:c>
      <x:c r="L96" s="22" t="n">
        <x:v>30.79068744010917</x:v>
      </x:c>
      <x:c r="M96" s="30" t="n">
        <x:v>2278.5108705680786</x:v>
      </x:c>
      <x:c r="N96" s="18" t="str">
        <x:v>Available</x:v>
      </x:c>
      <x:c r="O96" s="16" t="str">
        <x:v>Volume scoring is not enough when missed shots and turnovers subtract points.</x:v>
      </x:c>
      <x:c r="P96" s="22" t="n">
        <x:v>30.79068744010917</x:v>
      </x:c>
      <x:c r="Q96" s="22"/>
      <x:c r="R96" s="22" t="n">
        <x:v>30.79068744010917</x:v>
      </x:c>
      <x:c r="S96" s="22" t="n">
        <x:v>0</x:v>
      </x:c>
      <x:c r="T96" t="str">
        <x:v>https://www.fantasypros.com/nba/projections/overall.php</x:v>
      </x:c>
      <x:c r="U96" s="49" t="str">
        <x:v>CORE</x:v>
      </x:c>
      <x:c r="V96" s="49" t="str">
        <x:v>HIGH</x:v>
      </x:c>
      <x:c r="W96" s="49" t="str">
        <x:v>DRAFT_DAY_FP</x:v>
      </x:c>
      <x:c r="X96" s="49" t="str">
        <x:v>TOP-200 RESEARCH</x:v>
      </x:c>
      <x:c r="Y96" s="49" t="str">
        <x:v>2026-10-10</x:v>
      </x:c>
      <x:c r="Z96" s="50" t="str">
        <x:v>https://www.nba.com/players</x:v>
      </x:c>
      <x:c r="AA96" s="50" t="str">
        <x:v>https://basketball.realgm.com/nba/stats/2026/Averages/All/points/All/desc/1/Regular_Season</x:v>
      </x:c>
    </x:row>
    <x:row r="97" ht="22" customHeight="1">
      <x:c r="A97" s="47" t="n">
        <x:v>92</x:v>
      </x:c>
      <x:c r="B97" t="str">
        <x:v>Zach LaVine</x:v>
      </x:c>
      <x:c r="C97" t="str">
        <x:v>SAC</x:v>
      </x:c>
      <x:c r="D97" t="str">
        <x:v>SG</x:v>
      </x:c>
      <x:c r="E97" t="str">
        <x:v>PG/SF/SG</x:v>
      </x:c>
      <x:c r="F97" s="47" t="n">
        <x:v>39</x:v>
      </x:c>
      <x:c r="G97" s="22" t="n">
        <x:v>28.599999999999998</x:v>
      </x:c>
      <x:c r="H97" s="22" t="n">
        <x:v>25.541849430351977</x:v>
      </x:c>
      <x:c r="I97" s="22" t="n">
        <x:v>36.541849430351974</x:v>
      </x:c>
      <x:c r="J97" s="22" t="n">
        <x:v>70</x:v>
      </x:c>
      <x:c r="K97" s="22" t="str">
        <x:v>MEDIUM</x:v>
      </x:c>
      <x:c r="L97" s="22" t="n">
        <x:v>31.041849430351977</x:v>
      </x:c>
      <x:c r="M97" s="30" t="n">
        <x:v>2172.9294601246384</x:v>
      </x:c>
      <x:c r="N97" s="18" t="str">
        <x:v>Available</x:v>
      </x:c>
      <x:c r="O97" s="16" t="str">
        <x:v>Sacramento scoring role; games and lower all-around production keep price modest.</x:v>
      </x:c>
      <x:c r="P97" s="22" t="n">
        <x:v>31.041849430351977</x:v>
      </x:c>
      <x:c r="Q97" s="22"/>
      <x:c r="R97" s="22" t="n">
        <x:v>31.041849430351977</x:v>
      </x:c>
      <x:c r="S97" s="22" t="n">
        <x:v>0</x:v>
      </x:c>
      <x:c r="T97" t="str">
        <x:v>https://www.fantasypros.com/nba/projections/overall.php</x:v>
      </x:c>
      <x:c r="U97" s="49" t="str">
        <x:v>CORE</x:v>
      </x:c>
      <x:c r="V97" s="49" t="str">
        <x:v>HIGH</x:v>
      </x:c>
      <x:c r="W97" s="49" t="str">
        <x:v>DRAFT_DAY_FP</x:v>
      </x:c>
      <x:c r="X97" s="49" t="str">
        <x:v>TOP-200 RESEARCH</x:v>
      </x:c>
      <x:c r="Y97" s="49" t="str">
        <x:v>2026-10-10</x:v>
      </x:c>
      <x:c r="Z97" s="50" t="str">
        <x:v>https://www.nba.com/players</x:v>
      </x:c>
      <x:c r="AA97" s="50" t="str">
        <x:v>https://basketball.realgm.com/nba/stats/2026/Averages/All/points/All/desc/1/Regular_Season</x:v>
      </x:c>
    </x:row>
    <x:row r="98" ht="22" customHeight="1">
      <x:c r="A98" s="47" t="n">
        <x:v>93</x:v>
      </x:c>
      <x:c r="B98" t="str">
        <x:v>Payton Pritchard</x:v>
      </x:c>
      <x:c r="C98" t="str">
        <x:v>BOS</x:v>
      </x:c>
      <x:c r="D98" t="str">
        <x:v>PG</x:v>
      </x:c>
      <x:c r="E98" t="str">
        <x:v>PG/SG</x:v>
      </x:c>
      <x:c r="F98" s="47" t="n">
        <x:v>79</x:v>
      </x:c>
      <x:c r="G98" s="22" t="n">
        <x:v>32.25</x:v>
      </x:c>
      <x:c r="H98" s="22" t="n">
        <x:v>27.186223832300687</x:v>
      </x:c>
      <x:c r="I98" s="22" t="n">
        <x:v>34.18622383230068</x:v>
      </x:c>
      <x:c r="J98" s="22" t="n">
        <x:v>75</x:v>
      </x:c>
      <x:c r="K98" s="22" t="str">
        <x:v>STANDARD</x:v>
      </x:c>
      <x:c r="L98" s="22" t="n">
        <x:v>30.686223832300687</x:v>
      </x:c>
      <x:c r="M98" s="30" t="n">
        <x:v>2301.4667874225515</x:v>
      </x:c>
      <x:c r="N98" s="18" t="str">
        <x:v>Available</x:v>
      </x:c>
      <x:c r="O98" s="16" t="str">
        <x:v>Useful Boston guard depth; evaluate real minutes rather than preseason reputation.</x:v>
      </x:c>
      <x:c r="P98" s="22" t="n">
        <x:v>30.686223832300687</x:v>
      </x:c>
      <x:c r="Q98" s="22"/>
      <x:c r="R98" s="22" t="n">
        <x:v>30.686223832300687</x:v>
      </x:c>
      <x:c r="S98" s="22" t="n">
        <x:v>0</x:v>
      </x:c>
      <x:c r="T98" t="str">
        <x:v>https://www.fantasypros.com/nba/projections/overall.php</x:v>
      </x:c>
      <x:c r="U98" s="49" t="str">
        <x:v>CORE</x:v>
      </x:c>
      <x:c r="V98" s="49" t="str">
        <x:v>HIGH</x:v>
      </x:c>
      <x:c r="W98" s="49" t="str">
        <x:v>DRAFT_DAY_FP</x:v>
      </x:c>
      <x:c r="X98" s="49" t="str">
        <x:v>TOP-200 RESEARCH</x:v>
      </x:c>
      <x:c r="Y98" s="49" t="str">
        <x:v>2026-10-10</x:v>
      </x:c>
      <x:c r="Z98" s="50" t="str">
        <x:v>https://www.nba.com/players</x:v>
      </x:c>
      <x:c r="AA98" s="50" t="str">
        <x:v>https://basketball.realgm.com/nba/stats/2026/Averages/All/points/All/desc/1/Regular_Season</x:v>
      </x:c>
    </x:row>
    <x:row r="99" ht="22" customHeight="1">
      <x:c r="A99" s="47" t="n">
        <x:v>94</x:v>
      </x:c>
      <x:c r="B99" t="str">
        <x:v>Aaron Gordon</x:v>
      </x:c>
      <x:c r="C99" t="str">
        <x:v>DEN</x:v>
      </x:c>
      <x:c r="D99" t="str">
        <x:v>PF</x:v>
      </x:c>
      <x:c r="E99" t="str">
        <x:v>PF/C</x:v>
      </x:c>
      <x:c r="F99" s="47" t="n">
        <x:v>36</x:v>
      </x:c>
      <x:c r="G99" s="22" t="n">
        <x:v>32.400000000000006</x:v>
      </x:c>
      <x:c r="H99" s="22" t="n">
        <x:v>25.21795356184974</x:v>
      </x:c>
      <x:c r="I99" s="22" t="n">
        <x:v>36.21795356184974</x:v>
      </x:c>
      <x:c r="J99" s="22" t="n">
        <x:v>72</x:v>
      </x:c>
      <x:c r="K99" s="22" t="str">
        <x:v>MEDIUM</x:v>
      </x:c>
      <x:c r="L99" s="22" t="n">
        <x:v>30.71795356184974</x:v>
      </x:c>
      <x:c r="M99" s="30" t="n">
        <x:v>2211.6926564531814</x:v>
      </x:c>
      <x:c r="N99" s="18" t="str">
        <x:v>Available</x:v>
      </x:c>
      <x:c r="O99" s="16" t="str">
        <x:v>Efficient big-forward depth when healthy; don't assume a scoring-led breakout.</x:v>
      </x:c>
      <x:c r="P99" s="22" t="n">
        <x:v>30.71795356184974</x:v>
      </x:c>
      <x:c r="Q99" s="22"/>
      <x:c r="R99" s="22" t="n">
        <x:v>30.71795356184974</x:v>
      </x:c>
      <x:c r="S99" s="22" t="n">
        <x:v>0</x:v>
      </x:c>
      <x:c r="T99" t="str">
        <x:v>https://www.fantasypros.com/nba/projections/overall.php</x:v>
      </x:c>
      <x:c r="U99" s="49" t="str">
        <x:v>CORE</x:v>
      </x:c>
      <x:c r="V99" s="49" t="str">
        <x:v>HIGH</x:v>
      </x:c>
      <x:c r="W99" s="49" t="str">
        <x:v>DRAFT_DAY_FP</x:v>
      </x:c>
      <x:c r="X99" s="49" t="str">
        <x:v>TOP-200 RESEARCH</x:v>
      </x:c>
      <x:c r="Y99" s="49" t="str">
        <x:v>2026-10-10</x:v>
      </x:c>
      <x:c r="Z99" s="50" t="str">
        <x:v>https://www.nba.com/players</x:v>
      </x:c>
      <x:c r="AA99" s="50" t="str">
        <x:v>https://basketball.realgm.com/nba/stats/2026/Averages/All/points/All/desc/1/Regular_Season</x:v>
      </x:c>
    </x:row>
    <x:row r="100" ht="22" customHeight="1">
      <x:c r="A100" s="47" t="n">
        <x:v>95</x:v>
      </x:c>
      <x:c r="B100" t="str">
        <x:v>DeMar DeRozan</x:v>
      </x:c>
      <x:c r="C100" t="str">
        <x:v>DEN</x:v>
      </x:c>
      <x:c r="D100" t="str">
        <x:v>SF</x:v>
      </x:c>
      <x:c r="E100" t="str">
        <x:v>PF/SF</x:v>
      </x:c>
      <x:c r="F100" s="47" t="n">
        <x:v>77</x:v>
      </x:c>
      <x:c r="G100" s="22" t="n">
        <x:v>33.2</x:v>
      </x:c>
      <x:c r="H100" s="22" t="n">
        <x:v>26.64770597516781</x:v>
      </x:c>
      <x:c r="I100" s="22" t="n">
        <x:v>33.64770597516781</x:v>
      </x:c>
      <x:c r="J100" s="22" t="n">
        <x:v>77</x:v>
      </x:c>
      <x:c r="K100" s="22" t="str">
        <x:v>STANDARD</x:v>
      </x:c>
      <x:c r="L100" s="22" t="n">
        <x:v>30.14770597516781</x:v>
      </x:c>
      <x:c r="M100" s="30" t="n">
        <x:v>2321.3733600879214</x:v>
      </x:c>
      <x:c r="N100" s="18" t="str">
        <x:v>Available</x:v>
      </x:c>
      <x:c r="O100" s="16" t="str">
        <x:v>Denver role is less likely to reproduce a primary scoring workload.</x:v>
      </x:c>
      <x:c r="P100" s="22" t="n">
        <x:v>30.14770597516781</x:v>
      </x:c>
      <x:c r="Q100" s="22"/>
      <x:c r="R100" s="22" t="n">
        <x:v>30.14770597516781</x:v>
      </x:c>
      <x:c r="S100" s="22" t="n">
        <x:v>0</x:v>
      </x:c>
      <x:c r="T100" t="str">
        <x:v>https://www.fantasypros.com/nba/projections/overall.php</x:v>
      </x:c>
      <x:c r="U100" s="49" t="str">
        <x:v>CORE</x:v>
      </x:c>
      <x:c r="V100" s="49" t="str">
        <x:v>HIGH</x:v>
      </x:c>
      <x:c r="W100" s="49" t="str">
        <x:v>DRAFT_DAY_FP</x:v>
      </x:c>
      <x:c r="X100" s="49" t="str">
        <x:v>TOP-200 RESEARCH</x:v>
      </x:c>
      <x:c r="Y100" s="49" t="str">
        <x:v>2026-10-10</x:v>
      </x:c>
      <x:c r="Z100" s="50" t="str">
        <x:v>https://www.nba.com/players</x:v>
      </x:c>
      <x:c r="AA100" s="50" t="str">
        <x:v>https://basketball.realgm.com/nba/stats/2026/Averages/All/points/All/desc/1/Regular_Season</x:v>
      </x:c>
    </x:row>
    <x:row r="101" ht="22" customHeight="1">
      <x:c r="A101" s="47" t="n">
        <x:v>96</x:v>
      </x:c>
      <x:c r="B101" t="str">
        <x:v>Mark Williams</x:v>
      </x:c>
      <x:c r="C101" t="str">
        <x:v>PHX</x:v>
      </x:c>
      <x:c r="D101" t="str">
        <x:v>C</x:v>
      </x:c>
      <x:c r="E101" t="str">
        <x:v>C</x:v>
      </x:c>
      <x:c r="F101" s="47" t="n">
        <x:v>60</x:v>
      </x:c>
      <x:c r="G101" s="22" t="n">
        <x:v>32.15</x:v>
      </x:c>
      <x:c r="H101" s="22" t="n">
        <x:v>25.18058727245073</x:v>
      </x:c>
      <x:c r="I101" s="22" t="n">
        <x:v>41.18058727245073</x:v>
      </x:c>
      <x:c r="J101" s="22" t="n">
        <x:v>50</x:v>
      </x:c>
      <x:c r="K101" s="22" t="str">
        <x:v>HIGH</x:v>
      </x:c>
      <x:c r="L101" s="22" t="n">
        <x:v>33.18058727245073</x:v>
      </x:c>
      <x:c r="M101" s="30" t="n">
        <x:v>1659.0293636225365</x:v>
      </x:c>
      <x:c r="N101" s="18" t="str">
        <x:v>Available</x:v>
      </x:c>
      <x:c r="O101" s="16" t="str">
        <x:v>Availability discount; 50 GP is a planning assumption, not a prognosis.</x:v>
      </x:c>
      <x:c r="P101" s="22" t="n">
        <x:v>33.18058727245073</x:v>
      </x:c>
      <x:c r="Q101" s="22"/>
      <x:c r="R101" s="22" t="n">
        <x:v>33.18058727245073</x:v>
      </x:c>
      <x:c r="S101" s="22" t="n">
        <x:v>0</x:v>
      </x:c>
      <x:c r="T101" t="str">
        <x:v>https://www.fantasypros.com/nba/projections/overall.php</x:v>
      </x:c>
      <x:c r="U101" s="49" t="str">
        <x:v>CORE</x:v>
      </x:c>
      <x:c r="V101" s="49" t="str">
        <x:v>HIGH</x:v>
      </x:c>
      <x:c r="W101" s="49" t="str">
        <x:v>RESEARCH_BLEND</x:v>
      </x:c>
      <x:c r="X101" s="49" t="str">
        <x:v>TOP-200 RESEARCH</x:v>
      </x:c>
      <x:c r="Y101" s="49" t="str">
        <x:v>2026-09-28</x:v>
      </x:c>
      <x:c r="Z101" s="50" t="str">
        <x:v>https://www.nba.com/players</x:v>
      </x:c>
      <x:c r="AA101" s="50" t="str">
        <x:v>https://basketball.realgm.com/nba/stats/2026/Averages/All/points/All/desc/1/Regular_Season</x:v>
      </x:c>
    </x:row>
    <x:row r="102" ht="22" customHeight="1">
      <x:c r="A102" s="47" t="n">
        <x:v>97</x:v>
      </x:c>
      <x:c r="B102" t="str">
        <x:v>Mikal Bridges</x:v>
      </x:c>
      <x:c r="C102" t="str">
        <x:v>NYK</x:v>
      </x:c>
      <x:c r="D102" t="str">
        <x:v>SF</x:v>
      </x:c>
      <x:c r="E102" t="str">
        <x:v>PF/SF/SG</x:v>
      </x:c>
      <x:c r="F102" s="47" t="n">
        <x:v>82</x:v>
      </x:c>
      <x:c r="G102" s="22" t="n">
        <x:v>30.150000000000006</x:v>
      </x:c>
      <x:c r="H102" s="22" t="n">
        <x:v>26.220184736367504</x:v>
      </x:c>
      <x:c r="I102" s="22" t="n">
        <x:v>33.2201847363675</x:v>
      </x:c>
      <x:c r="J102" s="22" t="n">
        <x:v>80</x:v>
      </x:c>
      <x:c r="K102" s="22" t="str">
        <x:v>STANDARD</x:v>
      </x:c>
      <x:c r="L102" s="22" t="n">
        <x:v>29.720184736367504</x:v>
      </x:c>
      <x:c r="M102" s="30" t="n">
        <x:v>2377.6147789094002</x:v>
      </x:c>
      <x:c r="N102" s="18" t="str">
        <x:v>Available</x:v>
      </x:c>
      <x:c r="O102" s="16" t="str">
        <x:v>Availability helps depth value; don't mistake heavy minutes for elite per-game production.</x:v>
      </x:c>
      <x:c r="P102" s="22" t="n">
        <x:v>29.720184736367504</x:v>
      </x:c>
      <x:c r="Q102" s="22"/>
      <x:c r="R102" s="22" t="n">
        <x:v>29.720184736367504</x:v>
      </x:c>
      <x:c r="S102" s="22" t="n">
        <x:v>0</x:v>
      </x:c>
      <x:c r="T102" t="str">
        <x:v>https://www.fantasypros.com/nba/projections/overall.php</x:v>
      </x:c>
      <x:c r="U102" s="49" t="str">
        <x:v>CORE</x:v>
      </x:c>
      <x:c r="V102" s="49" t="str">
        <x:v>HIGH</x:v>
      </x:c>
      <x:c r="W102" s="49" t="str">
        <x:v>DRAFT_DAY_FP</x:v>
      </x:c>
      <x:c r="X102" s="49" t="str">
        <x:v>TOP-200 RESEARCH</x:v>
      </x:c>
      <x:c r="Y102" s="49" t="str">
        <x:v>2026-10-10</x:v>
      </x:c>
      <x:c r="Z102" s="50" t="str">
        <x:v>https://www.nba.com/players</x:v>
      </x:c>
      <x:c r="AA102" s="50" t="str">
        <x:v>https://basketball.realgm.com/nba/stats/2026/Averages/All/points/All/desc/1/Regular_Season</x:v>
      </x:c>
    </x:row>
    <x:row r="103" ht="22" customHeight="1">
      <x:c r="A103" s="47" t="n">
        <x:v>98</x:v>
      </x:c>
      <x:c r="B103" t="str">
        <x:v>Dylan Harper</x:v>
      </x:c>
      <x:c r="C103" t="str">
        <x:v>SAS</x:v>
      </x:c>
      <x:c r="D103" t="str">
        <x:v>PG</x:v>
      </x:c>
      <x:c r="E103" t="str">
        <x:v>PG/SG</x:v>
      </x:c>
      <x:c r="F103" s="47" t="n">
        <x:v>69</x:v>
      </x:c>
      <x:c r="G103" s="22" t="n">
        <x:v>23.800000000000004</x:v>
      </x:c>
      <x:c r="H103" s="22" t="n">
        <x:v>26.420322328593677</x:v>
      </x:c>
      <x:c r="I103" s="22" t="n">
        <x:v>33.42032232859368</x:v>
      </x:c>
      <x:c r="J103" s="22" t="n">
        <x:v>75</x:v>
      </x:c>
      <x:c r="K103" s="22" t="str">
        <x:v>STANDARD</x:v>
      </x:c>
      <x:c r="L103" s="22" t="n">
        <x:v>29.920322328593677</x:v>
      </x:c>
      <x:c r="M103" s="30" t="n">
        <x:v>2244.024174644526</x:v>
      </x:c>
      <x:c r="N103" s="18" t="str">
        <x:v>Available</x:v>
      </x:c>
      <x:c r="O103" s="16" t="str">
        <x:v>Development upside; Spurs' crowded guard rotation creates a minutes constraint.</x:v>
      </x:c>
      <x:c r="P103" s="22" t="n">
        <x:v>29.920322328593677</x:v>
      </x:c>
      <x:c r="Q103" s="22"/>
      <x:c r="R103" s="22" t="n">
        <x:v>29.920322328593677</x:v>
      </x:c>
      <x:c r="S103" s="22" t="n">
        <x:v>0</x:v>
      </x:c>
      <x:c r="T103" t="str">
        <x:v>https://www.fantasypros.com/nba/projections/overall.php</x:v>
      </x:c>
      <x:c r="U103" s="49" t="str">
        <x:v>CORE</x:v>
      </x:c>
      <x:c r="V103" s="49" t="str">
        <x:v>HIGH</x:v>
      </x:c>
      <x:c r="W103" s="49" t="str">
        <x:v>DRAFT_DAY_FP</x:v>
      </x:c>
      <x:c r="X103" s="49" t="str">
        <x:v>TOP-200 RESEARCH</x:v>
      </x:c>
      <x:c r="Y103" s="49" t="str">
        <x:v>2026-10-10</x:v>
      </x:c>
      <x:c r="Z103" s="50" t="str">
        <x:v>https://www.nba.com/players</x:v>
      </x:c>
      <x:c r="AA103" s="50" t="str">
        <x:v>https://basketball.realgm.com/nba/stats/2026/Averages/All/points/All/desc/1/Regular_Season</x:v>
      </x:c>
    </x:row>
    <x:row r="104" ht="22" customHeight="1">
      <x:c r="A104" s="47" t="n">
        <x:v>99</x:v>
      </x:c>
      <x:c r="B104" t="str">
        <x:v>Naz Reid</x:v>
      </x:c>
      <x:c r="C104" t="str">
        <x:v>CHA</x:v>
      </x:c>
      <x:c r="D104" t="str">
        <x:v>PF</x:v>
      </x:c>
      <x:c r="E104" t="str">
        <x:v>PF/C</x:v>
      </x:c>
      <x:c r="F104" s="47" t="n">
        <x:v>77</x:v>
      </x:c>
      <x:c r="G104" s="22" t="n">
        <x:v>27.799999999999997</x:v>
      </x:c>
      <x:c r="H104" s="22" t="n">
        <x:v>26.13655073184971</x:v>
      </x:c>
      <x:c r="I104" s="22" t="n">
        <x:v>33.13655073184971</x:v>
      </x:c>
      <x:c r="J104" s="22" t="n">
        <x:v>77</x:v>
      </x:c>
      <x:c r="K104" s="22" t="str">
        <x:v>STANDARD</x:v>
      </x:c>
      <x:c r="L104" s="22" t="n">
        <x:v>29.63655073184971</x:v>
      </x:c>
      <x:c r="M104" s="30" t="n">
        <x:v>2282.0144063524276</x:v>
      </x:c>
      <x:c r="N104" s="18" t="str">
        <x:v>Available</x:v>
      </x:c>
      <x:c r="O104" s="16" t="str">
        <x:v>Charlotte move changes opportunity; do not price in unconfirmed starting minutes.</x:v>
      </x:c>
      <x:c r="P104" s="22" t="n">
        <x:v>29.63655073184971</x:v>
      </x:c>
      <x:c r="Q104" s="22"/>
      <x:c r="R104" s="22" t="n">
        <x:v>29.63655073184971</x:v>
      </x:c>
      <x:c r="S104" s="22" t="n">
        <x:v>0</x:v>
      </x:c>
      <x:c r="T104" t="str">
        <x:v>https://www.fantasypros.com/nba/projections/overall.php</x:v>
      </x:c>
      <x:c r="U104" s="49" t="str">
        <x:v>CORE</x:v>
      </x:c>
      <x:c r="V104" s="49" t="str">
        <x:v>HIGH</x:v>
      </x:c>
      <x:c r="W104" s="49" t="str">
        <x:v>DRAFT_DAY_FP</x:v>
      </x:c>
      <x:c r="X104" s="49" t="str">
        <x:v>TOP-200 RESEARCH</x:v>
      </x:c>
      <x:c r="Y104" s="49" t="str">
        <x:v>2026-10-10</x:v>
      </x:c>
      <x:c r="Z104" s="50" t="str">
        <x:v>https://www.nba.com/players</x:v>
      </x:c>
      <x:c r="AA104" s="50" t="str">
        <x:v>https://basketball.realgm.com/nba/stats/2026/Averages/All/points/All/desc/1/Regular_Season</x:v>
      </x:c>
    </x:row>
    <x:row r="105" ht="22" customHeight="1">
      <x:c r="A105" s="47" t="n">
        <x:v>100</x:v>
      </x:c>
      <x:c r="B105" t="str">
        <x:v>Nic Claxton</x:v>
      </x:c>
      <x:c r="C105" t="str">
        <x:v>CHI</x:v>
      </x:c>
      <x:c r="D105" t="str">
        <x:v>C</x:v>
      </x:c>
      <x:c r="E105" t="str">
        <x:v>C</x:v>
      </x:c>
      <x:c r="F105" s="47" t="n">
        <x:v>69</x:v>
      </x:c>
      <x:c r="G105" s="22" t="n">
        <x:v>31.099999999999998</x:v>
      </x:c>
      <x:c r="H105" s="22" t="n">
        <x:v>25.10376897698101</x:v>
      </x:c>
      <x:c r="I105" s="22" t="n">
        <x:v>36.10376897698101</x:v>
      </x:c>
      <x:c r="J105" s="22" t="n">
        <x:v>68</x:v>
      </x:c>
      <x:c r="K105" s="22" t="str">
        <x:v>MEDIUM</x:v>
      </x:c>
      <x:c r="L105" s="22" t="n">
        <x:v>30.60376897698101</x:v>
      </x:c>
      <x:c r="M105" s="30" t="n">
        <x:v>2081.0562904347084</x:v>
      </x:c>
      <x:c r="N105" s="18" t="str">
        <x:v>Available</x:v>
      </x:c>
      <x:c r="O105" s="16" t="str">
        <x:v>Hamstring injury carries a two-week reevaluation window and puts the opener in question.</x:v>
      </x:c>
      <x:c r="P105" s="22" t="n">
        <x:v>30.60376897698101</x:v>
      </x:c>
      <x:c r="Q105" s="22"/>
      <x:c r="R105" s="22" t="n">
        <x:v>30.60376897698101</x:v>
      </x:c>
      <x:c r="S105" s="22" t="n">
        <x:v>0</x:v>
      </x:c>
      <x:c r="T105" t="str">
        <x:v>https://sports.yahoo.com/articles/nic-claxton-2-weeks-preseason-015856779.html</x:v>
      </x:c>
      <x:c r="U105" s="49" t="str">
        <x:v>CORE</x:v>
      </x:c>
      <x:c r="V105" s="49" t="str">
        <x:v>HIGH</x:v>
      </x:c>
      <x:c r="W105" s="49" t="str">
        <x:v>DRAFT_DAY_FP</x:v>
      </x:c>
      <x:c r="X105" s="49" t="str">
        <x:v>TOP-200 RESEARCH</x:v>
      </x:c>
      <x:c r="Y105" s="49" t="str">
        <x:v>2026-10-10</x:v>
      </x:c>
      <x:c r="Z105" s="50" t="str">
        <x:v>https://www.nba.com/players</x:v>
      </x:c>
      <x:c r="AA105" s="50" t="str">
        <x:v>https://basketball.realgm.com/nba/stats/2026/Averages/All/points/All/desc/1/Regular_Season</x:v>
      </x:c>
    </x:row>
    <x:row r="106" ht="22" customHeight="1">
      <x:c r="A106" s="47" t="n">
        <x:v>101</x:v>
      </x:c>
      <x:c r="B106" t="str">
        <x:v>Nickeil Alexander-Walker</x:v>
      </x:c>
      <x:c r="C106" t="str">
        <x:v>ATL</x:v>
      </x:c>
      <x:c r="D106" t="str">
        <x:v>SG</x:v>
      </x:c>
      <x:c r="E106" t="str">
        <x:v>PG/SG</x:v>
      </x:c>
      <x:c r="F106" s="47" t="n">
        <x:v>78</x:v>
      </x:c>
      <x:c r="G106" s="22" t="n">
        <x:v>35.49999999999999</x:v>
      </x:c>
      <x:c r="H106" s="22" t="n">
        <x:v>25.160549569862418</x:v>
      </x:c>
      <x:c r="I106" s="22" t="n">
        <x:v>32.16054956986242</x:v>
      </x:c>
      <x:c r="J106" s="22" t="n">
        <x:v>79</x:v>
      </x:c>
      <x:c r="K106" s="22" t="str">
        <x:v>STANDARD</x:v>
      </x:c>
      <x:c r="L106" s="22" t="n">
        <x:v>28.660549569862418</x:v>
      </x:c>
      <x:c r="M106" s="30" t="n">
        <x:v>2264.183416019131</x:v>
      </x:c>
      <x:c r="N106" s="18" t="str">
        <x:v>Available</x:v>
      </x:c>
      <x:c r="O106" s="16" t="str">
        <x:v>Projected below last year's production; avoid extrapolating a career-year role.</x:v>
      </x:c>
      <x:c r="P106" s="22" t="n">
        <x:v>28.660549569862418</x:v>
      </x:c>
      <x:c r="Q106" s="22"/>
      <x:c r="R106" s="22" t="n">
        <x:v>28.660549569862418</x:v>
      </x:c>
      <x:c r="S106" s="22" t="n">
        <x:v>0</x:v>
      </x:c>
      <x:c r="T106" t="str">
        <x:v>https://www.fantasypros.com/nba/projections/overall.php</x:v>
      </x:c>
      <x:c r="U106" s="49" t="str">
        <x:v>CORE</x:v>
      </x:c>
      <x:c r="V106" s="49" t="str">
        <x:v>HIGH</x:v>
      </x:c>
      <x:c r="W106" s="49" t="str">
        <x:v>DRAFT_DAY_FP</x:v>
      </x:c>
      <x:c r="X106" s="49" t="str">
        <x:v>TOP-200 RESEARCH</x:v>
      </x:c>
      <x:c r="Y106" s="49" t="str">
        <x:v>2026-10-10</x:v>
      </x:c>
      <x:c r="Z106" s="50" t="str">
        <x:v>https://www.nba.com/players</x:v>
      </x:c>
      <x:c r="AA106" s="50" t="str">
        <x:v>https://basketball.realgm.com/nba/stats/2026/Averages/All/points/All/desc/1/Regular_Season</x:v>
      </x:c>
    </x:row>
    <x:row r="107" ht="22" customHeight="1">
      <x:c r="A107" s="47" t="n">
        <x:v>102</x:v>
      </x:c>
      <x:c r="B107" t="str">
        <x:v>Kel'el Ware</x:v>
      </x:c>
      <x:c r="C107" t="str">
        <x:v>MIL</x:v>
      </x:c>
      <x:c r="D107" t="str">
        <x:v>C</x:v>
      </x:c>
      <x:c r="E107" t="str">
        <x:v>C</x:v>
      </x:c>
      <x:c r="F107" s="47" t="n">
        <x:v>77</x:v>
      </x:c>
      <x:c r="G107" s="22" t="n">
        <x:v>30.799999999999997</x:v>
      </x:c>
      <x:c r="H107" s="22" t="n">
        <x:v>25.93506712256756</x:v>
      </x:c>
      <x:c r="I107" s="22" t="n">
        <x:v>32.93506712256756</x:v>
      </x:c>
      <x:c r="J107" s="22" t="n">
        <x:v>74</x:v>
      </x:c>
      <x:c r="K107" s="22" t="str">
        <x:v>STANDARD</x:v>
      </x:c>
      <x:c r="L107" s="22" t="n">
        <x:v>29.43506712256756</x:v>
      </x:c>
      <x:c r="M107" s="30" t="n">
        <x:v>2178.1949670699996</x:v>
      </x:c>
      <x:c r="N107" s="18" t="str">
        <x:v>Available</x:v>
      </x:c>
      <x:c r="O107" s="16" t="str">
        <x:v>Milwaukee upside, but Turner remains competition; do not assume 30-plus minutes.</x:v>
      </x:c>
      <x:c r="P107" s="22" t="n">
        <x:v>27.43506712256756</x:v>
      </x:c>
      <x:c r="Q107" s="22"/>
      <x:c r="R107" s="22" t="n">
        <x:v>27.43506712256756</x:v>
      </x:c>
      <x:c r="S107" s="22" t="n">
        <x:v>2</x:v>
      </x:c>
      <x:c r="T107" t="str">
        <x:v>https://www.nba.com/news/2026-27-season-preview-mil</x:v>
      </x:c>
      <x:c r="U107" s="49" t="str">
        <x:v>CORE</x:v>
      </x:c>
      <x:c r="V107" s="49" t="str">
        <x:v>HIGH</x:v>
      </x:c>
      <x:c r="W107" s="49" t="str">
        <x:v>RESEARCH_BLEND</x:v>
      </x:c>
      <x:c r="X107" s="49" t="str">
        <x:v>TOP-200 RESEARCH</x:v>
      </x:c>
      <x:c r="Y107" s="49" t="str">
        <x:v>2026-09-28</x:v>
      </x:c>
      <x:c r="Z107" s="50" t="str">
        <x:v>https://www.nba.com/players</x:v>
      </x:c>
      <x:c r="AA107" s="50" t="str">
        <x:v>https://basketball.realgm.com/nba/stats/2026/Averages/All/points/All/desc/1/Regular_Season</x:v>
      </x:c>
    </x:row>
    <x:row r="108" ht="22" customHeight="1">
      <x:c r="A108" s="47" t="n">
        <x:v>103</x:v>
      </x:c>
      <x:c r="B108" t="str">
        <x:v>Cedric Coward</x:v>
      </x:c>
      <x:c r="C108" t="str">
        <x:v>MEM</x:v>
      </x:c>
      <x:c r="D108" t="str">
        <x:v>SF</x:v>
      </x:c>
      <x:c r="E108" t="str">
        <x:v>SF/SG</x:v>
      </x:c>
      <x:c r="F108" s="47" t="n">
        <x:v>62</x:v>
      </x:c>
      <x:c r="G108" s="22" t="n">
        <x:v>27.4</x:v>
      </x:c>
      <x:c r="H108" s="22" t="n">
        <x:v>25.285944978046405</x:v>
      </x:c>
      <x:c r="I108" s="22" t="n">
        <x:v>32.2859449780464</x:v>
      </x:c>
      <x:c r="J108" s="22" t="n">
        <x:v>74</x:v>
      </x:c>
      <x:c r="K108" s="22" t="str">
        <x:v>STANDARD</x:v>
      </x:c>
      <x:c r="L108" s="22" t="n">
        <x:v>28.785944978046405</x:v>
      </x:c>
      <x:c r="M108" s="30" t="n">
        <x:v>2130.159928375434</x:v>
      </x:c>
      <x:c r="N108" s="18" t="str">
        <x:v>Available</x:v>
      </x:c>
      <x:c r="O108" s="16" t="str">
        <x:v>Memphis youth opportunity earns a modest upside adjustment; still speculative.</x:v>
      </x:c>
      <x:c r="P108" s="22" t="n">
        <x:v>28.285944978046405</x:v>
      </x:c>
      <x:c r="Q108" s="22"/>
      <x:c r="R108" s="22" t="n">
        <x:v>28.285944978046405</x:v>
      </x:c>
      <x:c r="S108" s="22" t="n">
        <x:v>0.5</x:v>
      </x:c>
      <x:c r="T108" t="str">
        <x:v>https://www.fantasypros.com/nba/projections/overall.php</x:v>
      </x:c>
      <x:c r="U108" s="49" t="str">
        <x:v>CORE</x:v>
      </x:c>
      <x:c r="V108" s="49" t="str">
        <x:v>HIGH</x:v>
      </x:c>
      <x:c r="W108" s="49" t="str">
        <x:v>DRAFT_DAY_FP</x:v>
      </x:c>
      <x:c r="X108" s="49" t="str">
        <x:v>TOP-200 RESEARCH</x:v>
      </x:c>
      <x:c r="Y108" s="49" t="str">
        <x:v>2026-10-10</x:v>
      </x:c>
      <x:c r="Z108" s="50" t="str">
        <x:v>https://www.nba.com/players</x:v>
      </x:c>
      <x:c r="AA108" s="50" t="str">
        <x:v>https://basketball.realgm.com/nba/stats/2026/Averages/All/points/All/desc/1/Regular_Season</x:v>
      </x:c>
    </x:row>
    <x:row r="109" ht="22" customHeight="1">
      <x:c r="A109" s="47" t="n">
        <x:v>104</x:v>
      </x:c>
      <x:c r="B109" t="str">
        <x:v>Matas Buzelis</x:v>
      </x:c>
      <x:c r="C109" t="str">
        <x:v>CHI</x:v>
      </x:c>
      <x:c r="D109" t="str">
        <x:v>PF</x:v>
      </x:c>
      <x:c r="E109" t="str">
        <x:v>SF/PF</x:v>
      </x:c>
      <x:c r="F109" s="47" t="n">
        <x:v>77</x:v>
      </x:c>
      <x:c r="G109" s="22" t="n">
        <x:v>29.7</x:v>
      </x:c>
      <x:c r="H109" s="22" t="n">
        <x:v>24.615772790481856</x:v>
      </x:c>
      <x:c r="I109" s="22" t="n">
        <x:v>31.615772790481856</x:v>
      </x:c>
      <x:c r="J109" s="22" t="n">
        <x:v>76</x:v>
      </x:c>
      <x:c r="K109" s="22" t="str">
        <x:v>STANDARD</x:v>
      </x:c>
      <x:c r="L109" s="22" t="n">
        <x:v>28.115772790481856</x:v>
      </x:c>
      <x:c r="M109" s="30" t="n">
        <x:v>2136.798732076621</x:v>
      </x:c>
      <x:c r="N109" s="18" t="str">
        <x:v>Available</x:v>
      </x:c>
      <x:c r="O109" s="16" t="str">
        <x:v>Development watch; Chicago's additions create competition rather than guaranteed growth.</x:v>
      </x:c>
      <x:c r="P109" s="22" t="n">
        <x:v>28.115772790481856</x:v>
      </x:c>
      <x:c r="Q109" s="22"/>
      <x:c r="R109" s="22" t="n">
        <x:v>28.115772790481856</x:v>
      </x:c>
      <x:c r="S109" s="22" t="n">
        <x:v>0</x:v>
      </x:c>
      <x:c r="T109" t="str">
        <x:v>https://www.fantasypros.com/nba/projections/overall.php</x:v>
      </x:c>
      <x:c r="U109" s="49" t="str">
        <x:v>CORE</x:v>
      </x:c>
      <x:c r="V109" s="49" t="str">
        <x:v>HIGH</x:v>
      </x:c>
      <x:c r="W109" s="49" t="str">
        <x:v>DRAFT_DAY_FP</x:v>
      </x:c>
      <x:c r="X109" s="49" t="str">
        <x:v>TOP-200 RESEARCH</x:v>
      </x:c>
      <x:c r="Y109" s="49" t="str">
        <x:v>2026-10-10</x:v>
      </x:c>
      <x:c r="Z109" s="50" t="str">
        <x:v>https://www.nba.com/players</x:v>
      </x:c>
      <x:c r="AA109" s="50" t="str">
        <x:v>https://basketball.realgm.com/nba/stats/2026/Averages/All/points/All/desc/1/Regular_Season</x:v>
      </x:c>
    </x:row>
    <x:row r="110" ht="22" customHeight="1">
      <x:c r="A110" s="47" t="n">
        <x:v>105</x:v>
      </x:c>
      <x:c r="B110" t="str">
        <x:v>Jaden McDaniels</x:v>
      </x:c>
      <x:c r="C110" t="str">
        <x:v>MIN</x:v>
      </x:c>
      <x:c r="D110" t="str">
        <x:v>SF</x:v>
      </x:c>
      <x:c r="E110" t="str">
        <x:v>PF/SF</x:v>
      </x:c>
      <x:c r="F110" s="47"/>
      <x:c r="G110" s="22"/>
      <x:c r="H110" s="22" t="n">
        <x:v>26.06936253610582</x:v>
      </x:c>
      <x:c r="I110" s="22" t="n">
        <x:v>33.06936253610582</x:v>
      </x:c>
      <x:c r="J110" s="22" t="n">
        <x:v>76</x:v>
      </x:c>
      <x:c r="K110" s="22" t="str">
        <x:v>DEEP</x:v>
      </x:c>
      <x:c r="L110" s="22" t="n">
        <x:v>29.56936253610582</x:v>
      </x:c>
      <x:c r="M110" s="30" t="n">
        <x:v>2247.2715527440423</x:v>
      </x:c>
      <x:c r="N110" s="18" t="str">
        <x:v>Available</x:v>
      </x:c>
      <x:c r="O110" s="16" t="str">
        <x:v>Deep-board candidate for a 10-team league; custom-format estimate emphasizes role, efficiency and rebounding. Recheck camp role and app eligibility before draft day.</x:v>
      </x:c>
      <x:c r="P110" s="22" t="n">
        <x:v>29.56936253610582</x:v>
      </x:c>
      <x:c r="Q110" s="22"/>
      <x:c r="R110" s="22" t="n">
        <x:v>29.56936253610582</x:v>
      </x:c>
      <x:c r="S110" s="22" t="n">
        <x:v>0</x:v>
      </x:c>
      <x:c r="T110" t="str">
        <x:v>https://www.fantasypros.com/nba/projections/overall.php</x:v>
      </x:c>
      <x:c r="U110" s="49" t="str">
        <x:v>DEEP</x:v>
      </x:c>
      <x:c r="V110" s="49" t="str">
        <x:v>HIGH</x:v>
      </x:c>
      <x:c r="W110" s="49" t="str">
        <x:v>DRAFT_DAY_FP</x:v>
      </x:c>
      <x:c r="X110" s="49" t="str">
        <x:v>TOP-200 RESEARCH</x:v>
      </x:c>
      <x:c r="Y110" s="49" t="str">
        <x:v>2026-10-10</x:v>
      </x:c>
      <x:c r="Z110" s="50" t="str">
        <x:v>https://www.nba.com/players</x:v>
      </x:c>
      <x:c r="AA110" s="50" t="str">
        <x:v>https://basketball.realgm.com/nba/stats/2026/Averages/All/points/All/desc/1/Regular_Season</x:v>
      </x:c>
    </x:row>
    <x:row r="111" ht="22" customHeight="1">
      <x:c r="A111" s="47" t="n">
        <x:v>106</x:v>
      </x:c>
      <x:c r="B111" t="str">
        <x:v>Jabari Smith Jr.</x:v>
      </x:c>
      <x:c r="C111" t="str">
        <x:v>HOU</x:v>
      </x:c>
      <x:c r="D111" t="str">
        <x:v>PF</x:v>
      </x:c>
      <x:c r="E111" t="str">
        <x:v>C/PF</x:v>
      </x:c>
      <x:c r="F111" s="47" t="n">
        <x:v>77</x:v>
      </x:c>
      <x:c r="G111" s="22" t="n">
        <x:v>30.900000000000002</x:v>
      </x:c>
      <x:c r="H111" s="22" t="n">
        <x:v>24.04215230826077</x:v>
      </x:c>
      <x:c r="I111" s="22" t="n">
        <x:v>31.04215230826077</x:v>
      </x:c>
      <x:c r="J111" s="22" t="n">
        <x:v>76</x:v>
      </x:c>
      <x:c r="K111" s="22" t="str">
        <x:v>STANDARD</x:v>
      </x:c>
      <x:c r="L111" s="22" t="n">
        <x:v>27.54215230826077</x:v>
      </x:c>
      <x:c r="M111" s="30" t="n">
        <x:v>2093.2035754278186</x:v>
      </x:c>
      <x:c r="N111" s="18" t="str">
        <x:v>Available</x:v>
      </x:c>
      <x:c r="O111" s="16" t="str">
        <x:v>Rebounding/shooting depth; Houston has established high-usage options.</x:v>
      </x:c>
      <x:c r="P111" s="22" t="n">
        <x:v>27.54215230826077</x:v>
      </x:c>
      <x:c r="Q111" s="22"/>
      <x:c r="R111" s="22" t="n">
        <x:v>27.54215230826077</x:v>
      </x:c>
      <x:c r="S111" s="22" t="n">
        <x:v>0</x:v>
      </x:c>
      <x:c r="T111" t="str">
        <x:v>https://www.fantasypros.com/nba/projections/overall.php</x:v>
      </x:c>
      <x:c r="U111" s="49" t="str">
        <x:v>CORE</x:v>
      </x:c>
      <x:c r="V111" s="49" t="str">
        <x:v>HIGH</x:v>
      </x:c>
      <x:c r="W111" s="49" t="str">
        <x:v>DRAFT_DAY_FP</x:v>
      </x:c>
      <x:c r="X111" s="49" t="str">
        <x:v>TOP-200 RESEARCH</x:v>
      </x:c>
      <x:c r="Y111" s="49" t="str">
        <x:v>2026-10-10</x:v>
      </x:c>
      <x:c r="Z111" s="50" t="str">
        <x:v>https://www.nba.com/players</x:v>
      </x:c>
      <x:c r="AA111" s="50" t="str">
        <x:v>https://basketball.realgm.com/nba/stats/2026/Averages/All/points/All/desc/1/Regular_Season</x:v>
      </x:c>
    </x:row>
    <x:row r="112" ht="22" customHeight="1">
      <x:c r="A112" s="47" t="n">
        <x:v>107</x:v>
      </x:c>
      <x:c r="B112" t="str">
        <x:v>Andrew Nembhard</x:v>
      </x:c>
      <x:c r="C112" t="str">
        <x:v>IND</x:v>
      </x:c>
      <x:c r="D112" t="str">
        <x:v>PG</x:v>
      </x:c>
      <x:c r="E112" t="str">
        <x:v>PG/SG</x:v>
      </x:c>
      <x:c r="F112" s="47" t="n">
        <x:v>57</x:v>
      </x:c>
      <x:c r="G112" s="22" t="n">
        <x:v>32.199999999999996</x:v>
      </x:c>
      <x:c r="H112" s="22" t="n">
        <x:v>23.890074307884454</x:v>
      </x:c>
      <x:c r="I112" s="22" t="n">
        <x:v>30.890074307884454</x:v>
      </x:c>
      <x:c r="J112" s="22" t="n">
        <x:v>75</x:v>
      </x:c>
      <x:c r="K112" s="22" t="str">
        <x:v>STANDARD</x:v>
      </x:c>
      <x:c r="L112" s="22" t="n">
        <x:v>27.390074307884454</x:v>
      </x:c>
      <x:c r="M112" s="30" t="n">
        <x:v>2054.255573091334</x:v>
      </x:c>
      <x:c r="N112" s="18" t="str">
        <x:v>Available</x:v>
      </x:c>
      <x:c r="O112" s="16" t="str">
        <x:v>Haliburton returns, reducing the appeal of extrapolating last year's creation.</x:v>
      </x:c>
      <x:c r="P112" s="22" t="n">
        <x:v>27.640074307884454</x:v>
      </x:c>
      <x:c r="Q112" s="22"/>
      <x:c r="R112" s="22" t="n">
        <x:v>27.640074307884454</x:v>
      </x:c>
      <x:c r="S112" s="22" t="n">
        <x:v>-0.25</x:v>
      </x:c>
      <x:c r="T112" t="str">
        <x:v>https://www.fantasypros.com/nba/projections/overall.php</x:v>
      </x:c>
      <x:c r="U112" s="49" t="str">
        <x:v>CORE</x:v>
      </x:c>
      <x:c r="V112" s="49" t="str">
        <x:v>HIGH</x:v>
      </x:c>
      <x:c r="W112" s="49" t="str">
        <x:v>DRAFT_DAY_FP</x:v>
      </x:c>
      <x:c r="X112" s="49" t="str">
        <x:v>TOP-200 RESEARCH</x:v>
      </x:c>
      <x:c r="Y112" s="49" t="str">
        <x:v>2026-10-10</x:v>
      </x:c>
      <x:c r="Z112" s="50" t="str">
        <x:v>https://www.nba.com/players</x:v>
      </x:c>
      <x:c r="AA112" s="50" t="str">
        <x:v>https://basketball.realgm.com/nba/stats/2026/Averages/All/points/All/desc/1/Regular_Season</x:v>
      </x:c>
    </x:row>
    <x:row r="113" ht="22" customHeight="1">
      <x:c r="A113" s="47" t="n">
        <x:v>108</x:v>
      </x:c>
      <x:c r="B113" t="str">
        <x:v>Keegan Murray</x:v>
      </x:c>
      <x:c r="C113" t="str">
        <x:v>SAC</x:v>
      </x:c>
      <x:c r="D113" t="str">
        <x:v>PF</x:v>
      </x:c>
      <x:c r="E113" t="str">
        <x:v>SF/PF</x:v>
      </x:c>
      <x:c r="F113" s="47"/>
      <x:c r="G113" s="22"/>
      <x:c r="H113" s="22" t="n">
        <x:v>25.24668652496303</x:v>
      </x:c>
      <x:c r="I113" s="22" t="n">
        <x:v>32.24668652496303</x:v>
      </x:c>
      <x:c r="J113" s="22" t="n">
        <x:v>75</x:v>
      </x:c>
      <x:c r="K113" s="22" t="str">
        <x:v>DEEP</x:v>
      </x:c>
      <x:c r="L113" s="22" t="n">
        <x:v>28.74668652496303</x:v>
      </x:c>
      <x:c r="M113" s="30" t="n">
        <x:v>2156.0014893722273</x:v>
      </x:c>
      <x:c r="N113" s="18" t="str">
        <x:v>Available</x:v>
      </x:c>
      <x:c r="O113" s="16" t="str">
        <x:v>Deep-board candidate for a 10-team league; custom-format estimate emphasizes role, efficiency and rebounding. Recheck camp role and app eligibility before draft day.</x:v>
      </x:c>
      <x:c r="P113" s="22" t="n">
        <x:v>28.74668652496303</x:v>
      </x:c>
      <x:c r="Q113" s="22"/>
      <x:c r="R113" s="22" t="n">
        <x:v>28.74668652496303</x:v>
      </x:c>
      <x:c r="S113" s="22" t="n">
        <x:v>0</x:v>
      </x:c>
      <x:c r="T113" t="str">
        <x:v>https://www.fantasypros.com/nba/projections/overall.php</x:v>
      </x:c>
      <x:c r="U113" s="49" t="str">
        <x:v>DEEP</x:v>
      </x:c>
      <x:c r="V113" s="49" t="str">
        <x:v>HIGH</x:v>
      </x:c>
      <x:c r="W113" s="49" t="str">
        <x:v>DRAFT_DAY_FP</x:v>
      </x:c>
      <x:c r="X113" s="49" t="str">
        <x:v>TOP-200 RESEARCH</x:v>
      </x:c>
      <x:c r="Y113" s="49" t="str">
        <x:v>2026-10-10</x:v>
      </x:c>
      <x:c r="Z113" s="50" t="str">
        <x:v>https://www.nba.com/players</x:v>
      </x:c>
      <x:c r="AA113" s="50" t="str">
        <x:v>https://basketball.realgm.com/nba/stats/2026/Averages/All/points/All/desc/1/Regular_Season</x:v>
      </x:c>
    </x:row>
    <x:row r="114" ht="22" customHeight="1">
      <x:c r="A114" s="47" t="n">
        <x:v>109</x:v>
      </x:c>
      <x:c r="B114" t="str">
        <x:v>Fred VanVleet</x:v>
      </x:c>
      <x:c r="C114" t="str">
        <x:v>HOU</x:v>
      </x:c>
      <x:c r="D114" t="str">
        <x:v>PG</x:v>
      </x:c>
      <x:c r="E114" t="str">
        <x:v>PG/SG</x:v>
      </x:c>
      <x:c r="F114" s="47" t="n">
        <x:v>0</x:v>
      </x:c>
      <x:c r="G114" s="22"/>
      <x:c r="H114" s="22" t="n">
        <x:v>21.88112148275654</x:v>
      </x:c>
      <x:c r="I114" s="22" t="n">
        <x:v>32.88112148275654</x:v>
      </x:c>
      <x:c r="J114" s="22" t="n">
        <x:v>73</x:v>
      </x:c>
      <x:c r="K114" s="22" t="str">
        <x:v>MEDIUM</x:v>
      </x:c>
      <x:c r="L114" s="22" t="n">
        <x:v>27.38112148275654</x:v>
      </x:c>
      <x:c r="M114" s="30" t="n">
        <x:v>1998.8218682412275</x:v>
      </x:c>
      <x:c r="N114" s="18" t="str">
        <x:v>Available</x:v>
      </x:c>
      <x:c r="O114" s="16" t="str">
        <x:v>ACL return and crowded Houston offense; wait for camp workload clarity.</x:v>
      </x:c>
      <x:c r="P114" s="22" t="n">
        <x:v>27.50612148275654</x:v>
      </x:c>
      <x:c r="Q114" s="22"/>
      <x:c r="R114" s="22" t="n">
        <x:v>27.50612148275654</x:v>
      </x:c>
      <x:c r="S114" s="22" t="n">
        <x:v>-0.125</x:v>
      </x:c>
      <x:c r="T114" t="str">
        <x:v>https://www.fantasypros.com/nba/projections/overall.php</x:v>
      </x:c>
      <x:c r="U114" s="49" t="str">
        <x:v>CORE</x:v>
      </x:c>
      <x:c r="V114" s="49" t="str">
        <x:v>HIGH</x:v>
      </x:c>
      <x:c r="W114" s="49" t="str">
        <x:v>DRAFT_DAY_FP</x:v>
      </x:c>
      <x:c r="X114" s="49" t="str">
        <x:v>TOP-200 RESEARCH</x:v>
      </x:c>
      <x:c r="Y114" s="49" t="str">
        <x:v>2026-10-10</x:v>
      </x:c>
      <x:c r="Z114" s="50" t="str">
        <x:v>https://www.nba.com/players</x:v>
      </x:c>
      <x:c r="AA114" s="50" t="str">
        <x:v>https://basketball.realgm.com/nba/stats/2026/Averages/All/points/All/desc/1/Regular_Season</x:v>
      </x:c>
    </x:row>
    <x:row r="115" ht="22" customHeight="1">
      <x:c r="A115" s="47" t="n">
        <x:v>110</x:v>
      </x:c>
      <x:c r="B115" t="str">
        <x:v>Dillon Brooks</x:v>
      </x:c>
      <x:c r="C115" t="str">
        <x:v>PHX</x:v>
      </x:c>
      <x:c r="D115" t="str">
        <x:v>SF</x:v>
      </x:c>
      <x:c r="E115" t="str">
        <x:v>PF/SF/SG</x:v>
      </x:c>
      <x:c r="F115" s="47" t="n">
        <x:v>56</x:v>
      </x:c>
      <x:c r="G115" s="22" t="n">
        <x:v>29.199999999999996</x:v>
      </x:c>
      <x:c r="H115" s="22" t="n">
        <x:v>23.77121098373676</x:v>
      </x:c>
      <x:c r="I115" s="22" t="n">
        <x:v>30.77121098373676</x:v>
      </x:c>
      <x:c r="J115" s="22" t="n">
        <x:v>74</x:v>
      </x:c>
      <x:c r="K115" s="22" t="str">
        <x:v>STANDARD</x:v>
      </x:c>
      <x:c r="L115" s="22" t="n">
        <x:v>27.27121098373676</x:v>
      </x:c>
      <x:c r="M115" s="30" t="n">
        <x:v>2018.0696127965202</x:v>
      </x:c>
      <x:c r="N115" s="18" t="str">
        <x:v>Available</x:v>
      </x:c>
      <x:c r="O115" s="16" t="str">
        <x:v>Late depth; no speculative ejection bonus is included.</x:v>
      </x:c>
      <x:c r="P115" s="22" t="n">
        <x:v>27.27121098373676</x:v>
      </x:c>
      <x:c r="Q115" s="22"/>
      <x:c r="R115" s="22" t="n">
        <x:v>27.27121098373676</x:v>
      </x:c>
      <x:c r="S115" s="22" t="n">
        <x:v>0</x:v>
      </x:c>
      <x:c r="T115" t="str">
        <x:v>https://www.fantasypros.com/nba/projections/overall.php</x:v>
      </x:c>
      <x:c r="U115" s="49" t="str">
        <x:v>CORE</x:v>
      </x:c>
      <x:c r="V115" s="49" t="str">
        <x:v>HIGH</x:v>
      </x:c>
      <x:c r="W115" s="49" t="str">
        <x:v>DRAFT_DAY_FP</x:v>
      </x:c>
      <x:c r="X115" s="49" t="str">
        <x:v>TOP-200 RESEARCH</x:v>
      </x:c>
      <x:c r="Y115" s="49" t="str">
        <x:v>2026-10-10</x:v>
      </x:c>
      <x:c r="Z115" s="50" t="str">
        <x:v>https://www.nba.com/players</x:v>
      </x:c>
      <x:c r="AA115" s="50" t="str">
        <x:v>https://basketball.realgm.com/nba/stats/2026/Averages/All/points/All/desc/1/Regular_Season</x:v>
      </x:c>
    </x:row>
    <x:row r="116" ht="22" customHeight="1">
      <x:c r="A116" s="47" t="n">
        <x:v>111</x:v>
      </x:c>
      <x:c r="B116" t="str">
        <x:v>PJ Washington</x:v>
      </x:c>
      <x:c r="C116" t="str">
        <x:v>DAL</x:v>
      </x:c>
      <x:c r="D116" t="str">
        <x:v>PF</x:v>
      </x:c>
      <x:c r="E116" t="str">
        <x:v>C/PF/SF</x:v>
      </x:c>
      <x:c r="F116" s="47" t="n">
        <x:v>56</x:v>
      </x:c>
      <x:c r="G116" s="22" t="n">
        <x:v>28.45</x:v>
      </x:c>
      <x:c r="H116" s="22" t="n">
        <x:v>23.81236299416251</x:v>
      </x:c>
      <x:c r="I116" s="22" t="n">
        <x:v>30.81236299416251</x:v>
      </x:c>
      <x:c r="J116" s="22" t="n">
        <x:v>71</x:v>
      </x:c>
      <x:c r="K116" s="22" t="str">
        <x:v>STANDARD</x:v>
      </x:c>
      <x:c r="L116" s="22" t="n">
        <x:v>27.31236299416251</x:v>
      </x:c>
      <x:c r="M116" s="30" t="n">
        <x:v>1939.1777725855382</x:v>
      </x:c>
      <x:c r="N116" s="18" t="str">
        <x:v>Available</x:v>
      </x:c>
      <x:c r="O116" s="16" t="str">
        <x:v>Dallas depth; limited projected ceiling compared with rebound-heavy centers.</x:v>
      </x:c>
      <x:c r="P116" s="22" t="n">
        <x:v>27.31236299416251</x:v>
      </x:c>
      <x:c r="Q116" s="22"/>
      <x:c r="R116" s="22" t="n">
        <x:v>27.31236299416251</x:v>
      </x:c>
      <x:c r="S116" s="22" t="n">
        <x:v>0</x:v>
      </x:c>
      <x:c r="T116" t="str">
        <x:v>https://www.fantasypros.com/nba/projections/overall.php</x:v>
      </x:c>
      <x:c r="U116" s="49" t="str">
        <x:v>CORE</x:v>
      </x:c>
      <x:c r="V116" s="49" t="str">
        <x:v>HIGH</x:v>
      </x:c>
      <x:c r="W116" s="49" t="str">
        <x:v>DRAFT_DAY_FP</x:v>
      </x:c>
      <x:c r="X116" s="49" t="str">
        <x:v>TOP-200 RESEARCH</x:v>
      </x:c>
      <x:c r="Y116" s="49" t="str">
        <x:v>2026-10-10</x:v>
      </x:c>
      <x:c r="Z116" s="50" t="str">
        <x:v>https://www.nba.com/players</x:v>
      </x:c>
      <x:c r="AA116" s="50" t="str">
        <x:v>https://basketball.realgm.com/nba/stats/2026/Averages/All/points/All/desc/1/Regular_Season</x:v>
      </x:c>
    </x:row>
    <x:row r="117" ht="22" customHeight="1">
      <x:c r="A117" s="47" t="n">
        <x:v>112</x:v>
      </x:c>
      <x:c r="B117" t="str">
        <x:v>Brandin Podziemski</x:v>
      </x:c>
      <x:c r="C117" t="str">
        <x:v>GSW</x:v>
      </x:c>
      <x:c r="D117" t="str">
        <x:v>SG</x:v>
      </x:c>
      <x:c r="E117" t="str">
        <x:v>PG/SG</x:v>
      </x:c>
      <x:c r="F117" s="47"/>
      <x:c r="G117" s="22"/>
      <x:c r="H117" s="22" t="n">
        <x:v>25.031322294862328</x:v>
      </x:c>
      <x:c r="I117" s="22" t="n">
        <x:v>32.03132229486233</x:v>
      </x:c>
      <x:c r="J117" s="22" t="n">
        <x:v>79</x:v>
      </x:c>
      <x:c r="K117" s="22" t="str">
        <x:v>DEEP</x:v>
      </x:c>
      <x:c r="L117" s="22" t="n">
        <x:v>28.531322294862328</x:v>
      </x:c>
      <x:c r="M117" s="30" t="n">
        <x:v>2253.974461294124</x:v>
      </x:c>
      <x:c r="N117" s="18" t="str">
        <x:v>Available</x:v>
      </x:c>
      <x:c r="O117" s="16" t="str">
        <x:v>Deep-board candidate for a 10-team league; custom-format estimate emphasizes role, efficiency and rebounding. Recheck camp role and app eligibility before draft day.</x:v>
      </x:c>
      <x:c r="P117" s="22" t="n">
        <x:v>28.531322294862328</x:v>
      </x:c>
      <x:c r="Q117" s="22"/>
      <x:c r="R117" s="22" t="n">
        <x:v>28.531322294862328</x:v>
      </x:c>
      <x:c r="S117" s="22" t="n">
        <x:v>0</x:v>
      </x:c>
      <x:c r="T117" t="str">
        <x:v>https://www.fantasypros.com/nba/projections/overall.php</x:v>
      </x:c>
      <x:c r="U117" s="49" t="str">
        <x:v>DEEP</x:v>
      </x:c>
      <x:c r="V117" s="49" t="str">
        <x:v>HIGH</x:v>
      </x:c>
      <x:c r="W117" s="49" t="str">
        <x:v>DRAFT_DAY_FP</x:v>
      </x:c>
      <x:c r="X117" s="49" t="str">
        <x:v>TOP-200 RESEARCH</x:v>
      </x:c>
      <x:c r="Y117" s="49" t="str">
        <x:v>2026-10-10</x:v>
      </x:c>
      <x:c r="Z117" s="50" t="str">
        <x:v>https://www.nba.com/players</x:v>
      </x:c>
      <x:c r="AA117" s="50" t="str">
        <x:v>https://basketball.realgm.com/nba/stats/2026/Averages/All/points/All/desc/1/Regular_Season</x:v>
      </x:c>
    </x:row>
    <x:row r="118" ht="22" customHeight="1">
      <x:c r="A118" s="47" t="n">
        <x:v>113</x:v>
      </x:c>
      <x:c r="B118" t="str">
        <x:v>Saddiq Bey</x:v>
      </x:c>
      <x:c r="C118" t="str">
        <x:v>NOP</x:v>
      </x:c>
      <x:c r="D118" t="str">
        <x:v>SF</x:v>
      </x:c>
      <x:c r="E118" t="str">
        <x:v>SF/PF</x:v>
      </x:c>
      <x:c r="F118" s="47" t="n">
        <x:v>72</x:v>
      </x:c>
      <x:c r="G118" s="22" t="n">
        <x:v>34.199999999999996</x:v>
      </x:c>
      <x:c r="H118" s="22" t="n">
        <x:v>22.68461039473509</x:v>
      </x:c>
      <x:c r="I118" s="22" t="n">
        <x:v>29.68461039473509</x:v>
      </x:c>
      <x:c r="J118" s="22" t="n">
        <x:v>75</x:v>
      </x:c>
      <x:c r="K118" s="22" t="str">
        <x:v>STANDARD</x:v>
      </x:c>
      <x:c r="L118" s="22" t="n">
        <x:v>26.18461039473509</x:v>
      </x:c>
      <x:c r="M118" s="30" t="n">
        <x:v>1963.8457796051316</x:v>
      </x:c>
      <x:c r="N118" s="18" t="str">
        <x:v>Available</x:v>
      </x:c>
      <x:c r="O118" s="16" t="str">
        <x:v>Late wing option; prefer him only at a price below the higher-upside forwards.</x:v>
      </x:c>
      <x:c r="P118" s="22" t="n">
        <x:v>26.18461039473509</x:v>
      </x:c>
      <x:c r="Q118" s="22"/>
      <x:c r="R118" s="22" t="n">
        <x:v>26.18461039473509</x:v>
      </x:c>
      <x:c r="S118" s="22" t="n">
        <x:v>0</x:v>
      </x:c>
      <x:c r="T118" t="str">
        <x:v>https://www.fantasypros.com/nba/projections/overall.php</x:v>
      </x:c>
      <x:c r="U118" s="49" t="str">
        <x:v>CORE</x:v>
      </x:c>
      <x:c r="V118" s="49" t="str">
        <x:v>HIGH</x:v>
      </x:c>
      <x:c r="W118" s="49" t="str">
        <x:v>DRAFT_DAY_FP</x:v>
      </x:c>
      <x:c r="X118" s="49" t="str">
        <x:v>TOP-200 RESEARCH</x:v>
      </x:c>
      <x:c r="Y118" s="49" t="str">
        <x:v>2026-10-10</x:v>
      </x:c>
      <x:c r="Z118" s="50" t="str">
        <x:v>https://www.nba.com/players</x:v>
      </x:c>
      <x:c r="AA118" s="50" t="str">
        <x:v>https://basketball.realgm.com/nba/stats/2026/Averages/All/points/All/desc/1/Regular_Season</x:v>
      </x:c>
    </x:row>
    <x:row r="119" ht="22" customHeight="1">
      <x:c r="A119" s="47" t="n">
        <x:v>114</x:v>
      </x:c>
      <x:c r="B119" t="str">
        <x:v>Ayo Dosunmu</x:v>
      </x:c>
      <x:c r="C119" t="str">
        <x:v>MIN</x:v>
      </x:c>
      <x:c r="D119" t="str">
        <x:v>SG</x:v>
      </x:c>
      <x:c r="E119" t="str">
        <x:v>PG/SF/SG</x:v>
      </x:c>
      <x:c r="F119" s="47"/>
      <x:c r="G119" s="22"/>
      <x:c r="H119" s="22" t="n">
        <x:v>25.774815268065275</x:v>
      </x:c>
      <x:c r="I119" s="22" t="n">
        <x:v>32.774815268065275</x:v>
      </x:c>
      <x:c r="J119" s="22" t="n">
        <x:v>75</x:v>
      </x:c>
      <x:c r="K119" s="22" t="str">
        <x:v>DEEP</x:v>
      </x:c>
      <x:c r="L119" s="22" t="n">
        <x:v>29.274815268065275</x:v>
      </x:c>
      <x:c r="M119" s="30" t="n">
        <x:v>2195.6111451048955</x:v>
      </x:c>
      <x:c r="N119" s="18" t="str">
        <x:v>Available</x:v>
      </x:c>
      <x:c r="O119" s="16" t="str">
        <x:v>Deep-board candidate for a 10-team league; custom-format estimate emphasizes role, efficiency and rebounding. Recheck camp role and app eligibility before draft day.</x:v>
      </x:c>
      <x:c r="P119" s="22" t="n">
        <x:v>29.274815268065275</x:v>
      </x:c>
      <x:c r="Q119" s="22"/>
      <x:c r="R119" s="22" t="n">
        <x:v>29.274815268065275</x:v>
      </x:c>
      <x:c r="S119" s="22" t="n">
        <x:v>0</x:v>
      </x:c>
      <x:c r="T119" t="str">
        <x:v>https://www.fantasypros.com/nba/projections/overall.php</x:v>
      </x:c>
      <x:c r="U119" s="49" t="str">
        <x:v>DEEP</x:v>
      </x:c>
      <x:c r="V119" s="49" t="str">
        <x:v>HIGH</x:v>
      </x:c>
      <x:c r="W119" s="49" t="str">
        <x:v>DRAFT_DAY_FP</x:v>
      </x:c>
      <x:c r="X119" s="49" t="str">
        <x:v>TOP-200 RESEARCH</x:v>
      </x:c>
      <x:c r="Y119" s="49" t="str">
        <x:v>2026-10-10</x:v>
      </x:c>
      <x:c r="Z119" s="50" t="str">
        <x:v>https://www.nba.com/players</x:v>
      </x:c>
      <x:c r="AA119" s="50" t="str">
        <x:v>https://basketball.realgm.com/nba/stats/2026/Averages/All/points/All/desc/1/Regular_Season</x:v>
      </x:c>
    </x:row>
    <x:row r="120" ht="22" customHeight="1">
      <x:c r="A120" s="47" t="n">
        <x:v>115</x:v>
      </x:c>
      <x:c r="B120" t="str">
        <x:v>Donte DiVincenzo</x:v>
      </x:c>
      <x:c r="C120" t="str">
        <x:v>MIN</x:v>
      </x:c>
      <x:c r="D120" t="str">
        <x:v>SG</x:v>
      </x:c>
      <x:c r="E120" t="str">
        <x:v>PG/SG</x:v>
      </x:c>
      <x:c r="F120" s="47"/>
      <x:c r="G120" s="22"/>
      <x:c r="H120" s="22" t="n">
        <x:v>23.39</x:v>
      </x:c>
      <x:c r="I120" s="22" t="n">
        <x:v>30.39</x:v>
      </x:c>
      <x:c r="J120" s="22" t="n">
        <x:v>70</x:v>
      </x:c>
      <x:c r="K120" s="22" t="str">
        <x:v>DEEP</x:v>
      </x:c>
      <x:c r="L120" s="22" t="n">
        <x:v>26.89</x:v>
      </x:c>
      <x:c r="M120" s="30" t="n">
        <x:v>1882.3</x:v>
      </x:c>
      <x:c r="N120" s="18" t="str">
        <x:v>Available</x:v>
      </x:c>
      <x:c r="O120" s="16" t="str">
        <x:v>Deep-board candidate for a 10-team league; custom-format estimate emphasizes role, efficiency and rebounding. Recheck camp role and app eligibility before draft day.</x:v>
      </x:c>
      <x:c r="P120" s="22" t="n">
        <x:v>26.89</x:v>
      </x:c>
      <x:c r="Q120" s="22"/>
      <x:c r="R120" s="22" t="n">
        <x:v>26.89</x:v>
      </x:c>
      <x:c r="S120" s="22" t="n">
        <x:v>0</x:v>
      </x:c>
      <x:c r="T120" t="str">
        <x:v>https://ca.sports.yahoo.com/news/2026-27-fantasy-basketball-rankings-top-200-players-points-leagues-182942270.html</x:v>
      </x:c>
      <x:c r="U120" s="49" t="str">
        <x:v>DEEP</x:v>
      </x:c>
      <x:c r="V120" s="49" t="str">
        <x:v>MEDIUM</x:v>
      </x:c>
      <x:c r="W120" s="49" t="str">
        <x:v>DEEP_ESTIMATE</x:v>
      </x:c>
      <x:c r="X120" s="49" t="str">
        <x:v>TOP-200 RESEARCH</x:v>
      </x:c>
      <x:c r="Y120" s="49" t="str">
        <x:v>2026-09-28</x:v>
      </x:c>
      <x:c r="Z120" s="50" t="str">
        <x:v>https://www.nba.com/players</x:v>
      </x:c>
      <x:c r="AA120" s="50" t="str">
        <x:v>https://basketball.realgm.com/nba/stats/2026/Averages/All/points/All/desc/1/Regular_Season</x:v>
      </x:c>
    </x:row>
    <x:row r="121" ht="22" customHeight="1">
      <x:c r="A121" s="47" t="n">
        <x:v>116</x:v>
      </x:c>
      <x:c r="B121" t="str">
        <x:v>Cameron Johnson</x:v>
      </x:c>
      <x:c r="C121" t="str">
        <x:v>DEN</x:v>
      </x:c>
      <x:c r="D121" t="str">
        <x:v>SF</x:v>
      </x:c>
      <x:c r="E121" t="str">
        <x:v>PF/SF</x:v>
      </x:c>
      <x:c r="F121" s="47"/>
      <x:c r="G121" s="22"/>
      <x:c r="H121" s="22" t="n">
        <x:v>25.309796886901413</x:v>
      </x:c>
      <x:c r="I121" s="22" t="n">
        <x:v>32.30979688690141</x:v>
      </x:c>
      <x:c r="J121" s="22" t="n">
        <x:v>73</x:v>
      </x:c>
      <x:c r="K121" s="22" t="str">
        <x:v>DEEP</x:v>
      </x:c>
      <x:c r="L121" s="22" t="n">
        <x:v>28.809796886901413</x:v>
      </x:c>
      <x:c r="M121" s="30" t="n">
        <x:v>2103.115172743803</x:v>
      </x:c>
      <x:c r="N121" s="18" t="str">
        <x:v>Available</x:v>
      </x:c>
      <x:c r="O121" s="16" t="str">
        <x:v>Deep-board candidate for a 10-team league; custom-format estimate emphasizes role, efficiency and rebounding. Recheck camp role and app eligibility before draft day.</x:v>
      </x:c>
      <x:c r="P121" s="22" t="n">
        <x:v>28.809796886901413</x:v>
      </x:c>
      <x:c r="Q121" s="22"/>
      <x:c r="R121" s="22" t="n">
        <x:v>28.809796886901413</x:v>
      </x:c>
      <x:c r="S121" s="22" t="n">
        <x:v>0</x:v>
      </x:c>
      <x:c r="T121" t="str">
        <x:v>https://www.fantasypros.com/nba/projections/overall.php</x:v>
      </x:c>
      <x:c r="U121" s="49" t="str">
        <x:v>DEEP</x:v>
      </x:c>
      <x:c r="V121" s="49" t="str">
        <x:v>HIGH</x:v>
      </x:c>
      <x:c r="W121" s="49" t="str">
        <x:v>DRAFT_DAY_FP</x:v>
      </x:c>
      <x:c r="X121" s="49" t="str">
        <x:v>TOP-200 RESEARCH</x:v>
      </x:c>
      <x:c r="Y121" s="49" t="str">
        <x:v>2026-10-10</x:v>
      </x:c>
      <x:c r="Z121" s="50" t="str">
        <x:v>https://www.nba.com/players</x:v>
      </x:c>
      <x:c r="AA121" s="50" t="str">
        <x:v>https://basketball.realgm.com/nba/stats/2026/Averages/All/points/All/desc/1/Regular_Season</x:v>
      </x:c>
    </x:row>
    <x:row r="122" ht="22" customHeight="1">
      <x:c r="A122" s="47" t="n">
        <x:v>117</x:v>
      </x:c>
      <x:c r="B122" t="str">
        <x:v>Andrew Wiggins</x:v>
      </x:c>
      <x:c r="C122" t="str">
        <x:v>MIA</x:v>
      </x:c>
      <x:c r="D122" t="str">
        <x:v>SF</x:v>
      </x:c>
      <x:c r="E122" t="str">
        <x:v>PF/SF/SG</x:v>
      </x:c>
      <x:c r="F122" s="47"/>
      <x:c r="G122" s="22"/>
      <x:c r="H122" s="22" t="n">
        <x:v>27.674345446311243</x:v>
      </x:c>
      <x:c r="I122" s="22" t="n">
        <x:v>34.67434544631124</x:v>
      </x:c>
      <x:c r="J122" s="22" t="n">
        <x:v>73</x:v>
      </x:c>
      <x:c r="K122" s="22" t="str">
        <x:v>DEEP</x:v>
      </x:c>
      <x:c r="L122" s="22" t="n">
        <x:v>31.174345446311243</x:v>
      </x:c>
      <x:c r="M122" s="30" t="n">
        <x:v>2275.7272175807207</x:v>
      </x:c>
      <x:c r="N122" s="18" t="str">
        <x:v>Available</x:v>
      </x:c>
      <x:c r="O122" s="16" t="str">
        <x:v>Deep-board candidate for a 10-team league; custom-format estimate emphasizes role, efficiency and rebounding. Recheck camp role and app eligibility before draft day.</x:v>
      </x:c>
      <x:c r="P122" s="22" t="n">
        <x:v>31.174345446311243</x:v>
      </x:c>
      <x:c r="Q122" s="22"/>
      <x:c r="R122" s="22" t="n">
        <x:v>31.174345446311243</x:v>
      </x:c>
      <x:c r="S122" s="22" t="n">
        <x:v>0</x:v>
      </x:c>
      <x:c r="T122" t="str">
        <x:v>https://www.fantasypros.com/nba/projections/overall.php</x:v>
      </x:c>
      <x:c r="U122" s="49" t="str">
        <x:v>DEEP</x:v>
      </x:c>
      <x:c r="V122" s="49" t="str">
        <x:v>HIGH</x:v>
      </x:c>
      <x:c r="W122" s="49" t="str">
        <x:v>DRAFT_DAY_FP</x:v>
      </x:c>
      <x:c r="X122" s="49" t="str">
        <x:v>TOP-200 RESEARCH</x:v>
      </x:c>
      <x:c r="Y122" s="49" t="str">
        <x:v>2026-10-10</x:v>
      </x:c>
      <x:c r="Z122" s="50" t="str">
        <x:v>https://www.nba.com/players</x:v>
      </x:c>
      <x:c r="AA122" s="50" t="str">
        <x:v>https://basketball.realgm.com/nba/stats/2026/Averages/All/points/All/desc/1/Regular_Season</x:v>
      </x:c>
    </x:row>
    <x:row r="123" ht="22" customHeight="1">
      <x:c r="A123" s="47" t="n">
        <x:v>118</x:v>
      </x:c>
      <x:c r="B123" t="str">
        <x:v>Zaccharie Risacher</x:v>
      </x:c>
      <x:c r="C123" t="str">
        <x:v>ATL</x:v>
      </x:c>
      <x:c r="D123" t="str">
        <x:v>SF</x:v>
      </x:c>
      <x:c r="E123" t="str">
        <x:v>SF/PF</x:v>
      </x:c>
      <x:c r="F123" s="47"/>
      <x:c r="G123" s="22"/>
      <x:c r="H123" s="22" t="n">
        <x:v>23.27</x:v>
      </x:c>
      <x:c r="I123" s="22" t="n">
        <x:v>30.27</x:v>
      </x:c>
      <x:c r="J123" s="22" t="n">
        <x:v>70</x:v>
      </x:c>
      <x:c r="K123" s="22" t="str">
        <x:v>DEEP</x:v>
      </x:c>
      <x:c r="L123" s="22" t="n">
        <x:v>26.77</x:v>
      </x:c>
      <x:c r="M123" s="30" t="n">
        <x:v>1873.8999999999999</x:v>
      </x:c>
      <x:c r="N123" s="18" t="str">
        <x:v>Available</x:v>
      </x:c>
      <x:c r="O123" s="16" t="str">
        <x:v>Deep-board candidate for a 10-team league; custom-format estimate emphasizes role, efficiency and rebounding. Recheck camp role and app eligibility before draft day.</x:v>
      </x:c>
      <x:c r="P123" s="22" t="n">
        <x:v>26.77</x:v>
      </x:c>
      <x:c r="Q123" s="22"/>
      <x:c r="R123" s="22" t="n">
        <x:v>26.77</x:v>
      </x:c>
      <x:c r="S123" s="22" t="n">
        <x:v>0</x:v>
      </x:c>
      <x:c r="T123" t="str">
        <x:v>https://ca.sports.yahoo.com/news/2026-27-fantasy-basketball-rankings-top-200-players-points-leagues-182942270.html</x:v>
      </x:c>
      <x:c r="U123" s="49" t="str">
        <x:v>DEEP</x:v>
      </x:c>
      <x:c r="V123" s="49" t="str">
        <x:v>MEDIUM</x:v>
      </x:c>
      <x:c r="W123" s="49" t="str">
        <x:v>DEEP_ESTIMATE</x:v>
      </x:c>
      <x:c r="X123" s="49" t="str">
        <x:v>TOP-200 RESEARCH</x:v>
      </x:c>
      <x:c r="Y123" s="49" t="str">
        <x:v>2026-09-28</x:v>
      </x:c>
      <x:c r="Z123" s="50" t="str">
        <x:v>https://www.nba.com/players</x:v>
      </x:c>
      <x:c r="AA123" s="50" t="str">
        <x:v>https://basketball.realgm.com/nba/stats/2026/Averages/All/points/All/desc/1/Regular_Season</x:v>
      </x:c>
    </x:row>
    <x:row r="124" ht="22" customHeight="1">
      <x:c r="A124" s="47" t="n">
        <x:v>119</x:v>
      </x:c>
      <x:c r="B124" t="str">
        <x:v>Nikola Vucevic</x:v>
      </x:c>
      <x:c r="C124" t="str">
        <x:v>ORL</x:v>
      </x:c>
      <x:c r="D124" t="str">
        <x:v>C</x:v>
      </x:c>
      <x:c r="E124" t="str">
        <x:v>C</x:v>
      </x:c>
      <x:c r="F124" s="47" t="n">
        <x:v>64</x:v>
      </x:c>
      <x:c r="G124" s="22" t="n">
        <x:v>34.349999999999994</x:v>
      </x:c>
      <x:c r="H124" s="22" t="n">
        <x:v>22.682786417030833</x:v>
      </x:c>
      <x:c r="I124" s="22" t="n">
        <x:v>29.682786417030833</x:v>
      </x:c>
      <x:c r="J124" s="22" t="n">
        <x:v>75</x:v>
      </x:c>
      <x:c r="K124" s="22" t="str">
        <x:v>STANDARD</x:v>
      </x:c>
      <x:c r="L124" s="22" t="n">
        <x:v>26.182786417030833</x:v>
      </x:c>
      <x:c r="M124" s="30" t="n">
        <x:v>1963.7089812773124</x:v>
      </x:c>
      <x:c r="N124" s="18" t="str">
        <x:v>Available</x:v>
      </x:c>
      <x:c r="O124" s="16" t="str">
        <x:v>Orlando projection implies a smaller role; name value exceeds model output.</x:v>
      </x:c>
      <x:c r="P124" s="22" t="n">
        <x:v>26.182786417030833</x:v>
      </x:c>
      <x:c r="Q124" s="22"/>
      <x:c r="R124" s="22" t="n">
        <x:v>26.182786417030833</x:v>
      </x:c>
      <x:c r="S124" s="22" t="n">
        <x:v>0</x:v>
      </x:c>
      <x:c r="T124" t="str">
        <x:v>https://www.fantasypros.com/nba/projections/overall.php</x:v>
      </x:c>
      <x:c r="U124" s="49" t="str">
        <x:v>CORE</x:v>
      </x:c>
      <x:c r="V124" s="49" t="str">
        <x:v>HIGH</x:v>
      </x:c>
      <x:c r="W124" s="49" t="str">
        <x:v>DRAFT_DAY_FP</x:v>
      </x:c>
      <x:c r="X124" s="49" t="str">
        <x:v>TOP-200 RESEARCH</x:v>
      </x:c>
      <x:c r="Y124" s="49" t="str">
        <x:v>2026-10-10</x:v>
      </x:c>
      <x:c r="Z124" s="50" t="str">
        <x:v>https://www.nba.com/players</x:v>
      </x:c>
      <x:c r="AA124" s="50" t="str">
        <x:v>https://basketball.realgm.com/nba/stats/2026/Averages/All/points/All/desc/1/Regular_Season</x:v>
      </x:c>
    </x:row>
    <x:row r="125" ht="22" customHeight="1">
      <x:c r="A125" s="47" t="n">
        <x:v>120</x:v>
      </x:c>
      <x:c r="B125" t="str">
        <x:v>Christian Braun</x:v>
      </x:c>
      <x:c r="C125" t="str">
        <x:v>DEN</x:v>
      </x:c>
      <x:c r="D125" t="str">
        <x:v>SG</x:v>
      </x:c>
      <x:c r="E125" t="str">
        <x:v>PF/SF/SG</x:v>
      </x:c>
      <x:c r="F125" s="47"/>
      <x:c r="G125" s="22"/>
      <x:c r="H125" s="22" t="n">
        <x:v>22.87165857035577</x:v>
      </x:c>
      <x:c r="I125" s="22" t="n">
        <x:v>29.87165857035577</x:v>
      </x:c>
      <x:c r="J125" s="22" t="n">
        <x:v>72</x:v>
      </x:c>
      <x:c r="K125" s="22" t="str">
        <x:v>DEEP</x:v>
      </x:c>
      <x:c r="L125" s="22" t="n">
        <x:v>26.37165857035577</x:v>
      </x:c>
      <x:c r="M125" s="30" t="n">
        <x:v>1898.7594170656155</x:v>
      </x:c>
      <x:c r="N125" s="18" t="str">
        <x:v>Available</x:v>
      </x:c>
      <x:c r="O125" s="16" t="str">
        <x:v>Deep-board candidate for a 10-team league; custom-format estimate emphasizes role, efficiency and rebounding. Recheck camp role and app eligibility before draft day.</x:v>
      </x:c>
      <x:c r="P125" s="22" t="n">
        <x:v>26.37165857035577</x:v>
      </x:c>
      <x:c r="Q125" s="22"/>
      <x:c r="R125" s="22" t="n">
        <x:v>26.37165857035577</x:v>
      </x:c>
      <x:c r="S125" s="22" t="n">
        <x:v>0</x:v>
      </x:c>
      <x:c r="T125" t="str">
        <x:v>https://www.fantasypros.com/nba/projections/overall.php</x:v>
      </x:c>
      <x:c r="U125" s="49" t="str">
        <x:v>DEEP</x:v>
      </x:c>
      <x:c r="V125" s="49" t="str">
        <x:v>HIGH</x:v>
      </x:c>
      <x:c r="W125" s="49" t="str">
        <x:v>DRAFT_DAY_FP</x:v>
      </x:c>
      <x:c r="X125" s="49" t="str">
        <x:v>TOP-200 RESEARCH</x:v>
      </x:c>
      <x:c r="Y125" s="49" t="str">
        <x:v>2026-10-10</x:v>
      </x:c>
      <x:c r="Z125" s="50" t="str">
        <x:v>https://www.nba.com/players</x:v>
      </x:c>
      <x:c r="AA125" s="50" t="str">
        <x:v>https://basketball.realgm.com/nba/stats/2026/Averages/All/points/All/desc/1/Regular_Season</x:v>
      </x:c>
    </x:row>
    <x:row r="126" ht="30" customHeight="1">
      <x:c r="A126" s="47" t="n">
        <x:v>121</x:v>
      </x:c>
      <x:c r="B126" t="str">
        <x:v>Obi Toppin</x:v>
      </x:c>
      <x:c r="C126" t="str">
        <x:v>IND</x:v>
      </x:c>
      <x:c r="D126" t="str">
        <x:v>PF</x:v>
      </x:c>
      <x:c r="E126" t="str">
        <x:v>PF</x:v>
      </x:c>
      <x:c r="F126" s="47"/>
      <x:c r="G126" s="22"/>
      <x:c r="H126" s="22" t="n">
        <x:v>22.97</x:v>
      </x:c>
      <x:c r="I126" s="22" t="n">
        <x:v>29.97</x:v>
      </x:c>
      <x:c r="J126" s="22" t="n">
        <x:v>70</x:v>
      </x:c>
      <x:c r="K126" s="22" t="str">
        <x:v>DEEP</x:v>
      </x:c>
      <x:c r="L126" s="22" t="n">
        <x:v>26.47</x:v>
      </x:c>
      <x:c r="M126" s="30" t="n">
        <x:v>1852.8999999999999</x:v>
      </x:c>
      <x:c r="N126" t="str">
        <x:v>Available</x:v>
      </x:c>
      <x:c r="O126" s="16" t="str">
        <x:v>Deep-board candidate for a 10-team league; custom-format estimate emphasizes role, efficiency and rebounding. Recheck camp role and app eligibility before draft day.</x:v>
      </x:c>
      <x:c r="P126" s="22" t="n">
        <x:v>26.47</x:v>
      </x:c>
      <x:c r="Q126" s="22"/>
      <x:c r="R126" s="22" t="n">
        <x:v>26.47</x:v>
      </x:c>
      <x:c r="S126" s="22" t="n">
        <x:v>0</x:v>
      </x:c>
      <x:c r="T126" t="str">
        <x:v>https://ca.sports.yahoo.com/news/2026-27-fantasy-basketball-rankings-top-200-players-points-leagues-182942270.html</x:v>
      </x:c>
      <x:c r="U126" s="49" t="str">
        <x:v>DEEP</x:v>
      </x:c>
      <x:c r="V126" s="49" t="str">
        <x:v>MEDIUM</x:v>
      </x:c>
      <x:c r="W126" s="49" t="str">
        <x:v>DEEP_ESTIMATE</x:v>
      </x:c>
      <x:c r="X126" s="49" t="str">
        <x:v>TOP-200 RESEARCH</x:v>
      </x:c>
      <x:c r="Y126" s="49" t="str">
        <x:v>2026-09-28</x:v>
      </x:c>
      <x:c r="Z126" s="50" t="str">
        <x:v>https://www.nba.com/players</x:v>
      </x:c>
      <x:c r="AA126" s="50" t="str">
        <x:v>https://basketball.realgm.com/nba/stats/2026/Averages/All/points/All/desc/1/Regular_Season</x:v>
      </x:c>
    </x:row>
    <x:row r="127" ht="30" customHeight="1">
      <x:c r="A127" s="47" t="n">
        <x:v>122</x:v>
      </x:c>
      <x:c r="B127" t="str">
        <x:v>Kyle Filipowski</x:v>
      </x:c>
      <x:c r="C127" t="str">
        <x:v>UTA</x:v>
      </x:c>
      <x:c r="D127" t="str">
        <x:v>C</x:v>
      </x:c>
      <x:c r="E127" t="str">
        <x:v>PF/C</x:v>
      </x:c>
      <x:c r="F127" s="47"/>
      <x:c r="G127" s="22"/>
      <x:c r="H127" s="22" t="n">
        <x:v>22.99</x:v>
      </x:c>
      <x:c r="I127" s="22" t="n">
        <x:v>29.99</x:v>
      </x:c>
      <x:c r="J127" s="22" t="n">
        <x:v>70</x:v>
      </x:c>
      <x:c r="K127" s="22" t="str">
        <x:v>DEEP</x:v>
      </x:c>
      <x:c r="L127" s="22" t="n">
        <x:v>26.49</x:v>
      </x:c>
      <x:c r="M127" s="30" t="n">
        <x:v>1854.3</x:v>
      </x:c>
      <x:c r="N127" t="str">
        <x:v>Available</x:v>
      </x:c>
      <x:c r="O127" s="16" t="str">
        <x:v>Deep-board candidate for a 10-team league; custom-format estimate emphasizes role, efficiency and rebounding. Recheck camp role and app eligibility before draft day.</x:v>
      </x:c>
      <x:c r="P127" s="22" t="n">
        <x:v>26.49</x:v>
      </x:c>
      <x:c r="Q127" s="22"/>
      <x:c r="R127" s="22" t="n">
        <x:v>26.49</x:v>
      </x:c>
      <x:c r="S127" s="22" t="n">
        <x:v>0</x:v>
      </x:c>
      <x:c r="T127" t="str">
        <x:v>https://ca.sports.yahoo.com/news/2026-27-fantasy-basketball-rankings-top-200-players-points-leagues-182942270.html</x:v>
      </x:c>
      <x:c r="U127" s="49" t="str">
        <x:v>DEEP</x:v>
      </x:c>
      <x:c r="V127" s="49" t="str">
        <x:v>MEDIUM</x:v>
      </x:c>
      <x:c r="W127" s="49" t="str">
        <x:v>DEEP_ESTIMATE</x:v>
      </x:c>
      <x:c r="X127" s="49" t="str">
        <x:v>TOP-200 RESEARCH</x:v>
      </x:c>
      <x:c r="Y127" s="49" t="str">
        <x:v>2026-09-28</x:v>
      </x:c>
      <x:c r="Z127" s="50" t="str">
        <x:v>https://www.nba.com/players</x:v>
      </x:c>
      <x:c r="AA127" s="50" t="str">
        <x:v>https://basketball.realgm.com/nba/stats/2026/Averages/All/points/All/desc/1/Regular_Season</x:v>
      </x:c>
    </x:row>
    <x:row r="128" ht="30" customHeight="1">
      <x:c r="A128" s="47" t="n">
        <x:v>123</x:v>
      </x:c>
      <x:c r="B128" t="str">
        <x:v>Jalen Suggs</x:v>
      </x:c>
      <x:c r="C128" t="str">
        <x:v>ORL</x:v>
      </x:c>
      <x:c r="D128" t="str">
        <x:v>PG</x:v>
      </x:c>
      <x:c r="E128" t="str">
        <x:v>PG/SG</x:v>
      </x:c>
      <x:c r="F128" s="47"/>
      <x:c r="G128" s="22"/>
      <x:c r="H128" s="22" t="n">
        <x:v>23.117507696632064</x:v>
      </x:c>
      <x:c r="I128" s="22" t="n">
        <x:v>30.117507696632064</x:v>
      </x:c>
      <x:c r="J128" s="22" t="n">
        <x:v>70</x:v>
      </x:c>
      <x:c r="K128" s="22" t="str">
        <x:v>DEEP</x:v>
      </x:c>
      <x:c r="L128" s="22" t="n">
        <x:v>26.617507696632064</x:v>
      </x:c>
      <x:c r="M128" s="30" t="n">
        <x:v>1863.2255387642444</x:v>
      </x:c>
      <x:c r="N128" t="str">
        <x:v>Available</x:v>
      </x:c>
      <x:c r="O128" s="16" t="str">
        <x:v>Deep-board candidate for a 10-team league; custom-format estimate emphasizes role, efficiency and rebounding. Recheck camp role and app eligibility before draft day.</x:v>
      </x:c>
      <x:c r="P128" s="22" t="n">
        <x:v>26.617507696632064</x:v>
      </x:c>
      <x:c r="Q128" s="22"/>
      <x:c r="R128" s="22" t="n">
        <x:v>26.617507696632064</x:v>
      </x:c>
      <x:c r="S128" s="22" t="n">
        <x:v>0</x:v>
      </x:c>
      <x:c r="T128" t="str">
        <x:v>https://www.fantasypros.com/nba/projections/overall.php</x:v>
      </x:c>
      <x:c r="U128" s="49" t="str">
        <x:v>DEEP</x:v>
      </x:c>
      <x:c r="V128" s="49" t="str">
        <x:v>HIGH</x:v>
      </x:c>
      <x:c r="W128" s="49" t="str">
        <x:v>DRAFT_DAY_FP</x:v>
      </x:c>
      <x:c r="X128" s="49" t="str">
        <x:v>TOP-200 RESEARCH</x:v>
      </x:c>
      <x:c r="Y128" s="49" t="str">
        <x:v>2026-10-10</x:v>
      </x:c>
      <x:c r="Z128" s="50" t="str">
        <x:v>https://www.nba.com/players</x:v>
      </x:c>
      <x:c r="AA128" s="50" t="str">
        <x:v>https://basketball.realgm.com/nba/stats/2026/Averages/All/points/All/desc/1/Regular_Season</x:v>
      </x:c>
    </x:row>
    <x:row r="129" ht="30" customHeight="1">
      <x:c r="A129" s="47" t="n">
        <x:v>124</x:v>
      </x:c>
      <x:c r="B129" t="str">
        <x:v>Peyton Watson</x:v>
      </x:c>
      <x:c r="C129" t="str">
        <x:v>CLE</x:v>
      </x:c>
      <x:c r="D129" t="str">
        <x:v>SF</x:v>
      </x:c>
      <x:c r="E129" t="str">
        <x:v>SF/PF</x:v>
      </x:c>
      <x:c r="F129" s="47" t="n">
        <x:v>54</x:v>
      </x:c>
      <x:c r="G129" s="22" t="n">
        <x:v>27.500000000000004</x:v>
      </x:c>
      <x:c r="H129" s="22" t="n">
        <x:v>21.899427004647787</x:v>
      </x:c>
      <x:c r="I129" s="22" t="n">
        <x:v>28.899427004647787</x:v>
      </x:c>
      <x:c r="J129" s="22" t="n">
        <x:v>75</x:v>
      </x:c>
      <x:c r="K129" s="22" t="str">
        <x:v>STANDARD</x:v>
      </x:c>
      <x:c r="L129" s="22" t="n">
        <x:v>25.399427004647787</x:v>
      </x:c>
      <x:c r="M129" s="30" t="n">
        <x:v>1904.957025348584</x:v>
      </x:c>
      <x:c r="N129" t="str">
        <x:v>Available</x:v>
      </x:c>
      <x:c r="O129" s="16" t="str">
        <x:v>Cleveland role needs confirmation; defensive reputation alone is not enough.</x:v>
      </x:c>
      <x:c r="P129" s="22" t="n">
        <x:v>25.399427004647787</x:v>
      </x:c>
      <x:c r="Q129" s="22"/>
      <x:c r="R129" s="22" t="n">
        <x:v>25.399427004647787</x:v>
      </x:c>
      <x:c r="S129" s="22" t="n">
        <x:v>0</x:v>
      </x:c>
      <x:c r="T129" t="str">
        <x:v>https://www.fantasypros.com/nba/projections/overall.php</x:v>
      </x:c>
      <x:c r="U129" s="49" t="str">
        <x:v>CORE</x:v>
      </x:c>
      <x:c r="V129" s="49" t="str">
        <x:v>HIGH</x:v>
      </x:c>
      <x:c r="W129" s="49" t="str">
        <x:v>DRAFT_DAY_FP</x:v>
      </x:c>
      <x:c r="X129" s="49" t="str">
        <x:v>TOP-200 RESEARCH</x:v>
      </x:c>
      <x:c r="Y129" s="49" t="str">
        <x:v>2026-10-10</x:v>
      </x:c>
      <x:c r="Z129" s="50" t="str">
        <x:v>https://www.nba.com/players</x:v>
      </x:c>
      <x:c r="AA129" s="50" t="str">
        <x:v>https://basketball.realgm.com/nba/stats/2026/Averages/All/points/All/desc/1/Regular_Season</x:v>
      </x:c>
    </x:row>
    <x:row r="130" ht="30" customHeight="1">
      <x:c r="A130" s="47" t="n">
        <x:v>125</x:v>
      </x:c>
      <x:c r="B130" t="str">
        <x:v>Bobby Portis</x:v>
      </x:c>
      <x:c r="C130" t="str">
        <x:v>MIA</x:v>
      </x:c>
      <x:c r="D130" t="str">
        <x:v>PF</x:v>
      </x:c>
      <x:c r="E130" t="str">
        <x:v>PF/C</x:v>
      </x:c>
      <x:c r="F130" s="47"/>
      <x:c r="G130" s="22"/>
      <x:c r="H130" s="22" t="n">
        <x:v>23.38952010816345</x:v>
      </x:c>
      <x:c r="I130" s="22" t="n">
        <x:v>30.38952010816345</x:v>
      </x:c>
      <x:c r="J130" s="22" t="n">
        <x:v>72</x:v>
      </x:c>
      <x:c r="K130" s="22" t="str">
        <x:v>DEEP</x:v>
      </x:c>
      <x:c r="L130" s="22" t="n">
        <x:v>26.88952010816345</x:v>
      </x:c>
      <x:c r="M130" s="30" t="n">
        <x:v>1936.0454477877684</x:v>
      </x:c>
      <x:c r="N130" t="str">
        <x:v>Available</x:v>
      </x:c>
      <x:c r="O130" s="16" t="str">
        <x:v>Deep-board candidate for a 10-team league; custom-format estimate emphasizes role, efficiency and rebounding. Recheck camp role and app eligibility before draft day.</x:v>
      </x:c>
      <x:c r="P130" s="22" t="n">
        <x:v>26.88952010816345</x:v>
      </x:c>
      <x:c r="Q130" s="22"/>
      <x:c r="R130" s="22" t="n">
        <x:v>26.88952010816345</x:v>
      </x:c>
      <x:c r="S130" s="22" t="n">
        <x:v>0</x:v>
      </x:c>
      <x:c r="T130" t="str">
        <x:v>https://www.fantasypros.com/nba/projections/overall.php</x:v>
      </x:c>
      <x:c r="U130" s="49" t="str">
        <x:v>DEEP</x:v>
      </x:c>
      <x:c r="V130" s="49" t="str">
        <x:v>HIGH</x:v>
      </x:c>
      <x:c r="W130" s="49" t="str">
        <x:v>DRAFT_DAY_FP</x:v>
      </x:c>
      <x:c r="X130" s="49" t="str">
        <x:v>TOP-200 RESEARCH</x:v>
      </x:c>
      <x:c r="Y130" s="49" t="str">
        <x:v>2026-10-10</x:v>
      </x:c>
      <x:c r="Z130" s="50" t="str">
        <x:v>https://www.nba.com/players</x:v>
      </x:c>
      <x:c r="AA130" s="50" t="str">
        <x:v>https://basketball.realgm.com/nba/stats/2026/Averages/All/points/All/desc/1/Regular_Season</x:v>
      </x:c>
    </x:row>
    <x:row r="131" ht="30" customHeight="1">
      <x:c r="A131" s="47" t="n">
        <x:v>126</x:v>
      </x:c>
      <x:c r="B131" t="str">
        <x:v>Gradey Dick</x:v>
      </x:c>
      <x:c r="C131" t="str">
        <x:v>TOR</x:v>
      </x:c>
      <x:c r="D131" t="str">
        <x:v>SG</x:v>
      </x:c>
      <x:c r="E131" t="str">
        <x:v>SG/SF</x:v>
      </x:c>
      <x:c r="F131" s="47"/>
      <x:c r="G131" s="22"/>
      <x:c r="H131" s="22" t="n">
        <x:v>22.59</x:v>
      </x:c>
      <x:c r="I131" s="22" t="n">
        <x:v>29.59</x:v>
      </x:c>
      <x:c r="J131" s="22" t="n">
        <x:v>70</x:v>
      </x:c>
      <x:c r="K131" s="22" t="str">
        <x:v>DEEP</x:v>
      </x:c>
      <x:c r="L131" s="22" t="n">
        <x:v>26.09</x:v>
      </x:c>
      <x:c r="M131" s="30" t="n">
        <x:v>1826.3</x:v>
      </x:c>
      <x:c r="N131" t="str">
        <x:v>Available</x:v>
      </x:c>
      <x:c r="O131" s="16" t="str">
        <x:v>Deep-board candidate for a 10-team league; custom-format estimate emphasizes role, efficiency and rebounding. Recheck camp role and app eligibility before draft day.</x:v>
      </x:c>
      <x:c r="P131" s="22" t="n">
        <x:v>26.09</x:v>
      </x:c>
      <x:c r="Q131" s="22"/>
      <x:c r="R131" s="22" t="n">
        <x:v>26.09</x:v>
      </x:c>
      <x:c r="S131" s="22" t="n">
        <x:v>0</x:v>
      </x:c>
      <x:c r="T131" t="str">
        <x:v>https://ca.sports.yahoo.com/news/2026-27-fantasy-basketball-rankings-top-200-players-points-leagues-182942270.html</x:v>
      </x:c>
      <x:c r="U131" s="49" t="str">
        <x:v>DEEP</x:v>
      </x:c>
      <x:c r="V131" s="49" t="str">
        <x:v>MEDIUM</x:v>
      </x:c>
      <x:c r="W131" s="49" t="str">
        <x:v>DEEP_ESTIMATE</x:v>
      </x:c>
      <x:c r="X131" s="49" t="str">
        <x:v>TOP-200 RESEARCH</x:v>
      </x:c>
      <x:c r="Y131" s="49" t="str">
        <x:v>2026-09-28</x:v>
      </x:c>
      <x:c r="Z131" s="50" t="str">
        <x:v>https://www.nba.com/players</x:v>
      </x:c>
      <x:c r="AA131" s="50" t="str">
        <x:v>https://basketball.realgm.com/nba/stats/2026/Averages/All/points/All/desc/1/Regular_Season</x:v>
      </x:c>
    </x:row>
    <x:row r="132" ht="30" customHeight="1">
      <x:c r="A132" s="47" t="n">
        <x:v>127</x:v>
      </x:c>
      <x:c r="B132" t="str">
        <x:v>Jrue Holiday</x:v>
      </x:c>
      <x:c r="C132" t="str">
        <x:v>POR</x:v>
      </x:c>
      <x:c r="D132" t="str">
        <x:v>PG</x:v>
      </x:c>
      <x:c r="E132" t="str">
        <x:v>PG/SG</x:v>
      </x:c>
      <x:c r="F132" s="47"/>
      <x:c r="G132" s="22"/>
      <x:c r="H132" s="22" t="n">
        <x:v>22.56</x:v>
      </x:c>
      <x:c r="I132" s="22" t="n">
        <x:v>29.56</x:v>
      </x:c>
      <x:c r="J132" s="22" t="n">
        <x:v>70</x:v>
      </x:c>
      <x:c r="K132" s="22" t="str">
        <x:v>DEEP</x:v>
      </x:c>
      <x:c r="L132" s="22" t="n">
        <x:v>26.06</x:v>
      </x:c>
      <x:c r="M132" s="30" t="n">
        <x:v>1824.1999999999998</x:v>
      </x:c>
      <x:c r="N132" t="str">
        <x:v>Available</x:v>
      </x:c>
      <x:c r="O132" s="16" t="str">
        <x:v>Deep-board candidate for a 10-team league; custom-format estimate emphasizes role, efficiency and rebounding. Recheck camp role and app eligibility before draft day.</x:v>
      </x:c>
      <x:c r="P132" s="22" t="n">
        <x:v>26.06</x:v>
      </x:c>
      <x:c r="Q132" s="22"/>
      <x:c r="R132" s="22" t="n">
        <x:v>26.06</x:v>
      </x:c>
      <x:c r="S132" s="22" t="n">
        <x:v>0</x:v>
      </x:c>
      <x:c r="T132" t="str">
        <x:v>https://ca.sports.yahoo.com/news/2026-27-fantasy-basketball-rankings-top-200-players-points-leagues-182942270.html</x:v>
      </x:c>
      <x:c r="U132" s="49" t="str">
        <x:v>DEEP</x:v>
      </x:c>
      <x:c r="V132" s="49" t="str">
        <x:v>MEDIUM</x:v>
      </x:c>
      <x:c r="W132" s="49" t="str">
        <x:v>DEEP_ESTIMATE</x:v>
      </x:c>
      <x:c r="X132" s="49" t="str">
        <x:v>TOP-200 RESEARCH</x:v>
      </x:c>
      <x:c r="Y132" s="49" t="str">
        <x:v>2026-09-28</x:v>
      </x:c>
      <x:c r="Z132" s="50" t="str">
        <x:v>https://www.nba.com/players</x:v>
      </x:c>
      <x:c r="AA132" s="50" t="str">
        <x:v>https://basketball.realgm.com/nba/stats/2026/Averages/All/points/All/desc/1/Regular_Season</x:v>
      </x:c>
    </x:row>
    <x:row r="133" ht="30" customHeight="1">
      <x:c r="A133" s="47" t="n">
        <x:v>128</x:v>
      </x:c>
      <x:c r="B133" t="str">
        <x:v>T.J. McConnell</x:v>
      </x:c>
      <x:c r="C133" t="str">
        <x:v>IND</x:v>
      </x:c>
      <x:c r="D133" t="str">
        <x:v>PG</x:v>
      </x:c>
      <x:c r="E133" t="str">
        <x:v>PG</x:v>
      </x:c>
      <x:c r="F133" s="47"/>
      <x:c r="G133" s="22"/>
      <x:c r="H133" s="22" t="n">
        <x:v>22.45</x:v>
      </x:c>
      <x:c r="I133" s="22" t="n">
        <x:v>29.45</x:v>
      </x:c>
      <x:c r="J133" s="22" t="n">
        <x:v>70</x:v>
      </x:c>
      <x:c r="K133" s="22" t="str">
        <x:v>DEEP</x:v>
      </x:c>
      <x:c r="L133" s="22" t="n">
        <x:v>25.95</x:v>
      </x:c>
      <x:c r="M133" s="30" t="n">
        <x:v>1816.5</x:v>
      </x:c>
      <x:c r="N133" t="str">
        <x:v>Available</x:v>
      </x:c>
      <x:c r="O133" s="16" t="str">
        <x:v>Deep-board candidate for a 10-team league; custom-format estimate emphasizes role, efficiency and rebounding. Recheck camp role and app eligibility before draft day.</x:v>
      </x:c>
      <x:c r="P133" s="22" t="n">
        <x:v>25.95</x:v>
      </x:c>
      <x:c r="Q133" s="22"/>
      <x:c r="R133" s="22" t="n">
        <x:v>25.95</x:v>
      </x:c>
      <x:c r="S133" s="22" t="n">
        <x:v>0</x:v>
      </x:c>
      <x:c r="T133" t="str">
        <x:v>https://ca.sports.yahoo.com/news/2026-27-fantasy-basketball-rankings-top-200-players-points-leagues-182942270.html</x:v>
      </x:c>
      <x:c r="U133" s="49" t="str">
        <x:v>DEEP</x:v>
      </x:c>
      <x:c r="V133" s="49" t="str">
        <x:v>MEDIUM</x:v>
      </x:c>
      <x:c r="W133" s="49" t="str">
        <x:v>DEEP_ESTIMATE</x:v>
      </x:c>
      <x:c r="X133" s="49" t="str">
        <x:v>TOP-200 RESEARCH</x:v>
      </x:c>
      <x:c r="Y133" s="49" t="str">
        <x:v>2026-09-28</x:v>
      </x:c>
      <x:c r="Z133" s="50" t="str">
        <x:v>https://www.nba.com/players</x:v>
      </x:c>
      <x:c r="AA133" s="50" t="str">
        <x:v>https://basketball.realgm.com/nba/stats/2026/Averages/All/points/All/desc/1/Regular_Season</x:v>
      </x:c>
    </x:row>
    <x:row r="134" ht="30" customHeight="1">
      <x:c r="A134" s="47" t="n">
        <x:v>129</x:v>
      </x:c>
      <x:c r="B134" t="str">
        <x:v>Jonathan Kuminga</x:v>
      </x:c>
      <x:c r="C134" t="str">
        <x:v>MIN</x:v>
      </x:c>
      <x:c r="D134" t="str">
        <x:v>PF</x:v>
      </x:c>
      <x:c r="E134" t="str">
        <x:v>PF/SF</x:v>
      </x:c>
      <x:c r="F134" s="47"/>
      <x:c r="G134" s="22"/>
      <x:c r="H134" s="22" t="n">
        <x:v>23.08243706949403</x:v>
      </x:c>
      <x:c r="I134" s="22" t="n">
        <x:v>30.08243706949403</x:v>
      </x:c>
      <x:c r="J134" s="22" t="n">
        <x:v>72</x:v>
      </x:c>
      <x:c r="K134" s="22" t="str">
        <x:v>DEEP</x:v>
      </x:c>
      <x:c r="L134" s="22" t="n">
        <x:v>26.58243706949403</x:v>
      </x:c>
      <x:c r="M134" s="30" t="n">
        <x:v>1913.9354690035702</x:v>
      </x:c>
      <x:c r="N134" t="str">
        <x:v>Available</x:v>
      </x:c>
      <x:c r="O134" s="16" t="str">
        <x:v>Deep-board candidate for a 10-team league; custom-format estimate emphasizes role, efficiency and rebounding. Recheck camp role and app eligibility before draft day.</x:v>
      </x:c>
      <x:c r="P134" s="22" t="n">
        <x:v>26.58243706949403</x:v>
      </x:c>
      <x:c r="Q134" s="22"/>
      <x:c r="R134" s="22" t="n">
        <x:v>26.58243706949403</x:v>
      </x:c>
      <x:c r="S134" s="22" t="n">
        <x:v>0</x:v>
      </x:c>
      <x:c r="T134" t="str">
        <x:v>https://www.fantasypros.com/nba/projections/overall.php</x:v>
      </x:c>
      <x:c r="U134" s="49" t="str">
        <x:v>DEEP</x:v>
      </x:c>
      <x:c r="V134" s="49" t="str">
        <x:v>HIGH</x:v>
      </x:c>
      <x:c r="W134" s="49" t="str">
        <x:v>DRAFT_DAY_FP</x:v>
      </x:c>
      <x:c r="X134" s="49" t="str">
        <x:v>TOP-200 RESEARCH</x:v>
      </x:c>
      <x:c r="Y134" s="49" t="str">
        <x:v>2026-10-10</x:v>
      </x:c>
      <x:c r="Z134" s="50" t="str">
        <x:v>https://www.nba.com/players</x:v>
      </x:c>
      <x:c r="AA134" s="50" t="str">
        <x:v>https://basketball.realgm.com/nba/stats/2026/Averages/All/points/All/desc/1/Regular_Season</x:v>
      </x:c>
    </x:row>
    <x:row r="135" ht="30" customHeight="1">
      <x:c r="A135" s="47" t="n">
        <x:v>130</x:v>
      </x:c>
      <x:c r="B135" t="str">
        <x:v>Quentin Grimes</x:v>
      </x:c>
      <x:c r="C135" t="str">
        <x:v>LAL</x:v>
      </x:c>
      <x:c r="D135" t="str">
        <x:v>SG</x:v>
      </x:c>
      <x:c r="E135" t="str">
        <x:v>SG/SF</x:v>
      </x:c>
      <x:c r="F135" s="47"/>
      <x:c r="G135" s="22"/>
      <x:c r="H135" s="22" t="n">
        <x:v>22.717827845799032</x:v>
      </x:c>
      <x:c r="I135" s="22" t="n">
        <x:v>29.717827845799032</x:v>
      </x:c>
      <x:c r="J135" s="22" t="n">
        <x:v>76</x:v>
      </x:c>
      <x:c r="K135" s="22" t="str">
        <x:v>DEEP</x:v>
      </x:c>
      <x:c r="L135" s="22" t="n">
        <x:v>26.217827845799032</x:v>
      </x:c>
      <x:c r="M135" s="30" t="n">
        <x:v>1992.5549162807265</x:v>
      </x:c>
      <x:c r="N135" t="str">
        <x:v>Available</x:v>
      </x:c>
      <x:c r="O135" s="16" t="str">
        <x:v>Deep-board candidate for a 10-team league; custom-format estimate emphasizes role, efficiency and rebounding. Recheck camp role and app eligibility before draft day.</x:v>
      </x:c>
      <x:c r="P135" s="22" t="n">
        <x:v>26.217827845799032</x:v>
      </x:c>
      <x:c r="Q135" s="22"/>
      <x:c r="R135" s="22" t="n">
        <x:v>26.217827845799032</x:v>
      </x:c>
      <x:c r="S135" s="22" t="n">
        <x:v>0</x:v>
      </x:c>
      <x:c r="T135" t="str">
        <x:v>https://www.fantasypros.com/nba/projections/overall.php</x:v>
      </x:c>
      <x:c r="U135" s="49" t="str">
        <x:v>DEEP</x:v>
      </x:c>
      <x:c r="V135" s="49" t="str">
        <x:v>HIGH</x:v>
      </x:c>
      <x:c r="W135" s="49" t="str">
        <x:v>DRAFT_DAY_FP</x:v>
      </x:c>
      <x:c r="X135" s="49" t="str">
        <x:v>TOP-200 RESEARCH</x:v>
      </x:c>
      <x:c r="Y135" s="49" t="str">
        <x:v>2026-10-10</x:v>
      </x:c>
      <x:c r="Z135" s="50" t="str">
        <x:v>https://www.nba.com/players</x:v>
      </x:c>
      <x:c r="AA135" s="50" t="str">
        <x:v>https://basketball.realgm.com/nba/stats/2026/Averages/All/points/All/desc/1/Regular_Season</x:v>
      </x:c>
    </x:row>
    <x:row r="136" ht="30" customHeight="1">
      <x:c r="A136" s="47" t="n">
        <x:v>131</x:v>
      </x:c>
      <x:c r="B136" t="str">
        <x:v>Myles Turner</x:v>
      </x:c>
      <x:c r="C136" t="str">
        <x:v>MIL</x:v>
      </x:c>
      <x:c r="D136" t="str">
        <x:v>C</x:v>
      </x:c>
      <x:c r="E136" t="str">
        <x:v>C</x:v>
      </x:c>
      <x:c r="F136" s="47" t="n">
        <x:v>71</x:v>
      </x:c>
      <x:c r="G136" s="22" t="n">
        <x:v>25.150000000000006</x:v>
      </x:c>
      <x:c r="H136" s="22" t="n">
        <x:v>21.561940478386276</x:v>
      </x:c>
      <x:c r="I136" s="22" t="n">
        <x:v>28.561940478386276</x:v>
      </x:c>
      <x:c r="J136" s="22" t="n">
        <x:v>75</x:v>
      </x:c>
      <x:c r="K136" s="22" t="str">
        <x:v>STANDARD</x:v>
      </x:c>
      <x:c r="L136" s="22" t="n">
        <x:v>25.061940478386276</x:v>
      </x:c>
      <x:c r="M136" s="30" t="n">
        <x:v>1879.6455358789708</x:v>
      </x:c>
      <x:c r="N136" t="str">
        <x:v>Available</x:v>
      </x:c>
      <x:c r="O136" s="16" t="str">
        <x:v>Ware competes for center work; low block weighting limits his premium.</x:v>
      </x:c>
      <x:c r="P136" s="22" t="n">
        <x:v>25.061940478386276</x:v>
      </x:c>
      <x:c r="Q136" s="22"/>
      <x:c r="R136" s="22" t="n">
        <x:v>25.061940478386276</x:v>
      </x:c>
      <x:c r="S136" s="22" t="n">
        <x:v>0</x:v>
      </x:c>
      <x:c r="T136" t="str">
        <x:v>https://www.fantasypros.com/nba/projections/overall.php</x:v>
      </x:c>
      <x:c r="U136" s="49" t="str">
        <x:v>CORE</x:v>
      </x:c>
      <x:c r="V136" s="49" t="str">
        <x:v>HIGH</x:v>
      </x:c>
      <x:c r="W136" s="49" t="str">
        <x:v>DRAFT_DAY_FP</x:v>
      </x:c>
      <x:c r="X136" s="49" t="str">
        <x:v>TOP-200 RESEARCH</x:v>
      </x:c>
      <x:c r="Y136" s="49" t="str">
        <x:v>2026-10-10</x:v>
      </x:c>
      <x:c r="Z136" s="50" t="str">
        <x:v>https://www.nba.com/players</x:v>
      </x:c>
      <x:c r="AA136" s="50" t="str">
        <x:v>https://basketball.realgm.com/nba/stats/2026/Averages/All/points/All/desc/1/Regular_Season</x:v>
      </x:c>
    </x:row>
    <x:row r="137" ht="30" customHeight="1">
      <x:c r="A137" s="47" t="n">
        <x:v>132</x:v>
      </x:c>
      <x:c r="B137" t="str">
        <x:v>Ryan Rollins</x:v>
      </x:c>
      <x:c r="C137" t="str">
        <x:v>MIL</x:v>
      </x:c>
      <x:c r="D137" t="str">
        <x:v>PG</x:v>
      </x:c>
      <x:c r="E137" t="str">
        <x:v>PG/SG</x:v>
      </x:c>
      <x:c r="F137" s="47" t="n">
        <x:v>74</x:v>
      </x:c>
      <x:c r="G137" s="22" t="n">
        <x:v>33</x:v>
      </x:c>
      <x:c r="H137" s="22" t="n">
        <x:v>21.64736139272584</x:v>
      </x:c>
      <x:c r="I137" s="22" t="n">
        <x:v>28.64736139272584</x:v>
      </x:c>
      <x:c r="J137" s="22" t="n">
        <x:v>73</x:v>
      </x:c>
      <x:c r="K137" s="22" t="str">
        <x:v>STANDARD</x:v>
      </x:c>
      <x:c r="L137" s="22" t="n">
        <x:v>25.14736139272584</x:v>
      </x:c>
      <x:c r="M137" s="30" t="n">
        <x:v>1835.7573816689865</x:v>
      </x:c>
      <x:c r="N137" t="str">
        <x:v>Available</x:v>
      </x:c>
      <x:c r="O137" s="16" t="str">
        <x:v>Milwaukee has added Herro; previous production is not a guaranteed starting point.</x:v>
      </x:c>
      <x:c r="P137" s="22" t="n">
        <x:v>25.14736139272584</x:v>
      </x:c>
      <x:c r="Q137" s="22"/>
      <x:c r="R137" s="22" t="n">
        <x:v>25.14736139272584</x:v>
      </x:c>
      <x:c r="S137" s="22" t="n">
        <x:v>0</x:v>
      </x:c>
      <x:c r="T137" t="str">
        <x:v>https://www.nba.com/news/2026-27-season-preview-mil</x:v>
      </x:c>
      <x:c r="U137" s="49" t="str">
        <x:v>CORE</x:v>
      </x:c>
      <x:c r="V137" s="49" t="str">
        <x:v>HIGH</x:v>
      </x:c>
      <x:c r="W137" s="49" t="str">
        <x:v>RESEARCH_BLEND</x:v>
      </x:c>
      <x:c r="X137" s="49" t="str">
        <x:v>TOP-200 RESEARCH</x:v>
      </x:c>
      <x:c r="Y137" s="49" t="str">
        <x:v>2026-09-28</x:v>
      </x:c>
      <x:c r="Z137" s="50" t="str">
        <x:v>https://www.nba.com/players</x:v>
      </x:c>
      <x:c r="AA137" s="50" t="str">
        <x:v>https://basketball.realgm.com/nba/stats/2026/Averages/All/points/All/desc/1/Regular_Season</x:v>
      </x:c>
    </x:row>
    <x:row r="138" ht="30" customHeight="1">
      <x:c r="A138" s="47" t="n">
        <x:v>133</x:v>
      </x:c>
      <x:c r="B138" t="str">
        <x:v>Aaron Nesmith</x:v>
      </x:c>
      <x:c r="C138" t="str">
        <x:v>IND</x:v>
      </x:c>
      <x:c r="D138" t="str">
        <x:v>SF</x:v>
      </x:c>
      <x:c r="E138" t="str">
        <x:v>PF/SF/SG</x:v>
      </x:c>
      <x:c r="F138" s="47"/>
      <x:c r="G138" s="22"/>
      <x:c r="H138" s="22" t="n">
        <x:v>21.861256046537925</x:v>
      </x:c>
      <x:c r="I138" s="22" t="n">
        <x:v>28.861256046537925</x:v>
      </x:c>
      <x:c r="J138" s="22" t="n">
        <x:v>71</x:v>
      </x:c>
      <x:c r="K138" s="22" t="str">
        <x:v>DEEP</x:v>
      </x:c>
      <x:c r="L138" s="22" t="n">
        <x:v>25.361256046537925</x:v>
      </x:c>
      <x:c r="M138" s="30" t="n">
        <x:v>1800.6491793041926</x:v>
      </x:c>
      <x:c r="N138" t="str">
        <x:v>Available</x:v>
      </x:c>
      <x:c r="O138" s="16" t="str">
        <x:v>Deep-board candidate for a 10-team league; custom-format estimate emphasizes role, efficiency and rebounding. Recheck camp role and app eligibility before draft day.</x:v>
      </x:c>
      <x:c r="P138" s="22" t="n">
        <x:v>25.361256046537925</x:v>
      </x:c>
      <x:c r="Q138" s="22"/>
      <x:c r="R138" s="22" t="n">
        <x:v>25.361256046537925</x:v>
      </x:c>
      <x:c r="S138" s="22" t="n">
        <x:v>0</x:v>
      </x:c>
      <x:c r="T138" t="str">
        <x:v>https://www.fantasypros.com/nba/projections/overall.php</x:v>
      </x:c>
      <x:c r="U138" s="49" t="str">
        <x:v>DEEP</x:v>
      </x:c>
      <x:c r="V138" s="49" t="str">
        <x:v>HIGH</x:v>
      </x:c>
      <x:c r="W138" s="49" t="str">
        <x:v>DRAFT_DAY_FP</x:v>
      </x:c>
      <x:c r="X138" s="49" t="str">
        <x:v>TOP-200 RESEARCH</x:v>
      </x:c>
      <x:c r="Y138" s="49" t="str">
        <x:v>2026-10-10</x:v>
      </x:c>
      <x:c r="Z138" s="50" t="str">
        <x:v>https://www.nba.com/players</x:v>
      </x:c>
      <x:c r="AA138" s="50" t="str">
        <x:v>https://basketball.realgm.com/nba/stats/2026/Averages/All/points/All/desc/1/Regular_Season</x:v>
      </x:c>
    </x:row>
    <x:row r="139" ht="30" customHeight="1">
      <x:c r="A139" s="47" t="n">
        <x:v>134</x:v>
      </x:c>
      <x:c r="B139" t="str">
        <x:v>Derik Queen</x:v>
      </x:c>
      <x:c r="C139" t="str">
        <x:v>NOP</x:v>
      </x:c>
      <x:c r="D139" t="str">
        <x:v>C</x:v>
      </x:c>
      <x:c r="E139" t="str">
        <x:v>PF/C</x:v>
      </x:c>
      <x:c r="F139" s="47"/>
      <x:c r="G139" s="22"/>
      <x:c r="H139" s="22" t="n">
        <x:v>22.31</x:v>
      </x:c>
      <x:c r="I139" s="22" t="n">
        <x:v>29.31</x:v>
      </x:c>
      <x:c r="J139" s="22" t="n">
        <x:v>70</x:v>
      </x:c>
      <x:c r="K139" s="22" t="str">
        <x:v>DEEP</x:v>
      </x:c>
      <x:c r="L139" s="22" t="n">
        <x:v>25.81</x:v>
      </x:c>
      <x:c r="M139" s="30" t="n">
        <x:v>1806.6999999999998</x:v>
      </x:c>
      <x:c r="N139" t="str">
        <x:v>Available</x:v>
      </x:c>
      <x:c r="O139" s="16" t="str">
        <x:v>Deep-board candidate for a 10-team league; custom-format estimate emphasizes role, efficiency and rebounding. Recheck camp role and app eligibility before draft day.</x:v>
      </x:c>
      <x:c r="P139" s="22" t="n">
        <x:v>25.81</x:v>
      </x:c>
      <x:c r="Q139" s="22"/>
      <x:c r="R139" s="22" t="n">
        <x:v>25.81</x:v>
      </x:c>
      <x:c r="S139" s="22" t="n">
        <x:v>0</x:v>
      </x:c>
      <x:c r="T139" t="str">
        <x:v>https://ca.sports.yahoo.com/news/2026-27-fantasy-basketball-rankings-top-200-players-points-leagues-182942270.html</x:v>
      </x:c>
      <x:c r="U139" s="49" t="str">
        <x:v>DEEP</x:v>
      </x:c>
      <x:c r="V139" s="49" t="str">
        <x:v>MEDIUM</x:v>
      </x:c>
      <x:c r="W139" s="49" t="str">
        <x:v>DEEP_ESTIMATE</x:v>
      </x:c>
      <x:c r="X139" s="49" t="str">
        <x:v>TOP-200 RESEARCH</x:v>
      </x:c>
      <x:c r="Y139" s="49" t="str">
        <x:v>2026-09-28</x:v>
      </x:c>
      <x:c r="Z139" s="50" t="str">
        <x:v>https://www.nba.com/players</x:v>
      </x:c>
      <x:c r="AA139" s="50" t="str">
        <x:v>https://basketball.realgm.com/nba/stats/2026/Averages/All/points/All/desc/1/Regular_Season</x:v>
      </x:c>
    </x:row>
    <x:row r="140" ht="30" customHeight="1">
      <x:c r="A140" s="47" t="n">
        <x:v>135</x:v>
      </x:c>
      <x:c r="B140" t="str">
        <x:v>Santi Aldama</x:v>
      </x:c>
      <x:c r="C140" t="str">
        <x:v>MEM</x:v>
      </x:c>
      <x:c r="D140" t="str">
        <x:v>PF</x:v>
      </x:c>
      <x:c r="E140" t="str">
        <x:v>PF/C</x:v>
      </x:c>
      <x:c r="F140" s="47"/>
      <x:c r="G140" s="22"/>
      <x:c r="H140" s="22" t="n">
        <x:v>22.18</x:v>
      </x:c>
      <x:c r="I140" s="22" t="n">
        <x:v>29.18</x:v>
      </x:c>
      <x:c r="J140" s="22" t="n">
        <x:v>70</x:v>
      </x:c>
      <x:c r="K140" s="22" t="str">
        <x:v>DEEP</x:v>
      </x:c>
      <x:c r="L140" s="22" t="n">
        <x:v>25.68</x:v>
      </x:c>
      <x:c r="M140" s="30" t="n">
        <x:v>1797.6</x:v>
      </x:c>
      <x:c r="N140" t="str">
        <x:v>Available</x:v>
      </x:c>
      <x:c r="O140" s="16" t="str">
        <x:v>Deep-board candidate for a 10-team league; custom-format estimate emphasizes role, efficiency and rebounding. Recheck camp role and app eligibility before draft day.</x:v>
      </x:c>
      <x:c r="P140" s="22" t="n">
        <x:v>25.68</x:v>
      </x:c>
      <x:c r="Q140" s="22"/>
      <x:c r="R140" s="22" t="n">
        <x:v>25.68</x:v>
      </x:c>
      <x:c r="S140" s="22" t="n">
        <x:v>0</x:v>
      </x:c>
      <x:c r="T140" t="str">
        <x:v>https://ca.sports.yahoo.com/news/2026-27-fantasy-basketball-rankings-top-200-players-points-leagues-182942270.html</x:v>
      </x:c>
      <x:c r="U140" s="49" t="str">
        <x:v>DEEP</x:v>
      </x:c>
      <x:c r="V140" s="49" t="str">
        <x:v>MEDIUM</x:v>
      </x:c>
      <x:c r="W140" s="49" t="str">
        <x:v>DEEP_ESTIMATE</x:v>
      </x:c>
      <x:c r="X140" s="49" t="str">
        <x:v>TOP-200 RESEARCH</x:v>
      </x:c>
      <x:c r="Y140" s="49" t="str">
        <x:v>2026-09-28</x:v>
      </x:c>
      <x:c r="Z140" s="50" t="str">
        <x:v>https://www.nba.com/players</x:v>
      </x:c>
      <x:c r="AA140" s="50" t="str">
        <x:v>https://basketball.realgm.com/nba/stats/2026/Averages/All/points/All/desc/1/Regular_Season</x:v>
      </x:c>
    </x:row>
    <x:row r="141" ht="30" customHeight="1">
      <x:c r="A141" s="47" t="n">
        <x:v>136</x:v>
      </x:c>
      <x:c r="B141" t="str">
        <x:v>Ausar Thompson</x:v>
      </x:c>
      <x:c r="C141" t="str">
        <x:v>DET</x:v>
      </x:c>
      <x:c r="D141" t="str">
        <x:v>SF</x:v>
      </x:c>
      <x:c r="E141" t="str">
        <x:v>SF/PF</x:v>
      </x:c>
      <x:c r="F141" s="47"/>
      <x:c r="G141" s="22"/>
      <x:c r="H141" s="22" t="n">
        <x:v>22.13</x:v>
      </x:c>
      <x:c r="I141" s="22" t="n">
        <x:v>29.13</x:v>
      </x:c>
      <x:c r="J141" s="22" t="n">
        <x:v>70</x:v>
      </x:c>
      <x:c r="K141" s="22" t="str">
        <x:v>DEEP</x:v>
      </x:c>
      <x:c r="L141" s="22" t="n">
        <x:v>25.63</x:v>
      </x:c>
      <x:c r="M141" s="30" t="n">
        <x:v>1794.1</x:v>
      </x:c>
      <x:c r="N141" t="str">
        <x:v>Available</x:v>
      </x:c>
      <x:c r="O141" s="16" t="str">
        <x:v>Deep-board candidate for a 10-team league; custom-format estimate emphasizes role, efficiency and rebounding. Recheck camp role and app eligibility before draft day.</x:v>
      </x:c>
      <x:c r="P141" s="22" t="n">
        <x:v>25.63</x:v>
      </x:c>
      <x:c r="Q141" s="22"/>
      <x:c r="R141" s="22" t="n">
        <x:v>25.63</x:v>
      </x:c>
      <x:c r="S141" s="22" t="n">
        <x:v>0</x:v>
      </x:c>
      <x:c r="T141" t="str">
        <x:v>https://ca.sports.yahoo.com/news/2026-27-fantasy-basketball-rankings-top-200-players-points-leagues-182942270.html</x:v>
      </x:c>
      <x:c r="U141" s="49" t="str">
        <x:v>DEEP</x:v>
      </x:c>
      <x:c r="V141" s="49" t="str">
        <x:v>MEDIUM</x:v>
      </x:c>
      <x:c r="W141" s="49" t="str">
        <x:v>DEEP_ESTIMATE</x:v>
      </x:c>
      <x:c r="X141" s="49" t="str">
        <x:v>TOP-200 RESEARCH</x:v>
      </x:c>
      <x:c r="Y141" s="49" t="str">
        <x:v>2026-09-28</x:v>
      </x:c>
      <x:c r="Z141" s="50" t="str">
        <x:v>https://www.nba.com/players</x:v>
      </x:c>
      <x:c r="AA141" s="50" t="str">
        <x:v>https://basketball.realgm.com/nba/stats/2026/Averages/All/points/All/desc/1/Regular_Season</x:v>
      </x:c>
    </x:row>
    <x:row r="142" ht="30" customHeight="1">
      <x:c r="A142" s="47" t="n">
        <x:v>137</x:v>
      </x:c>
      <x:c r="B142" t="str">
        <x:v>Ace Bailey</x:v>
      </x:c>
      <x:c r="C142" t="str">
        <x:v>UTA</x:v>
      </x:c>
      <x:c r="D142" t="str">
        <x:v>SF</x:v>
      </x:c>
      <x:c r="E142" t="str">
        <x:v>PF/SF</x:v>
      </x:c>
      <x:c r="F142" s="47"/>
      <x:c r="G142" s="22"/>
      <x:c r="H142" s="22" t="n">
        <x:v>21.586612864721488</x:v>
      </x:c>
      <x:c r="I142" s="22" t="n">
        <x:v>28.586612864721488</x:v>
      </x:c>
      <x:c r="J142" s="22" t="n">
        <x:v>75</x:v>
      </x:c>
      <x:c r="K142" s="22" t="str">
        <x:v>DEEP</x:v>
      </x:c>
      <x:c r="L142" s="22" t="n">
        <x:v>25.086612864721488</x:v>
      </x:c>
      <x:c r="M142" s="30" t="n">
        <x:v>1881.4959648541117</x:v>
      </x:c>
      <x:c r="N142" t="str">
        <x:v>Available</x:v>
      </x:c>
      <x:c r="O142" s="16" t="str">
        <x:v>Deep-board candidate for a 10-team league; custom-format estimate emphasizes role, efficiency and rebounding. Recheck camp role and app eligibility before draft day.</x:v>
      </x:c>
      <x:c r="P142" s="22" t="n">
        <x:v>25.086612864721488</x:v>
      </x:c>
      <x:c r="Q142" s="22"/>
      <x:c r="R142" s="22" t="n">
        <x:v>25.086612864721488</x:v>
      </x:c>
      <x:c r="S142" s="22" t="n">
        <x:v>0</x:v>
      </x:c>
      <x:c r="T142" t="str">
        <x:v>https://www.fantasypros.com/nba/projections/overall.php</x:v>
      </x:c>
      <x:c r="U142" s="49" t="str">
        <x:v>DEEP</x:v>
      </x:c>
      <x:c r="V142" s="49" t="str">
        <x:v>HIGH</x:v>
      </x:c>
      <x:c r="W142" s="49" t="str">
        <x:v>DRAFT_DAY_FP</x:v>
      </x:c>
      <x:c r="X142" s="49" t="str">
        <x:v>TOP-200 RESEARCH</x:v>
      </x:c>
      <x:c r="Y142" s="49" t="str">
        <x:v>2026-10-10</x:v>
      </x:c>
      <x:c r="Z142" s="50" t="str">
        <x:v>https://www.nba.com/players</x:v>
      </x:c>
      <x:c r="AA142" s="50" t="str">
        <x:v>https://basketball.realgm.com/nba/stats/2026/Averages/All/points/All/desc/1/Regular_Season</x:v>
      </x:c>
    </x:row>
    <x:row r="143" ht="30" customHeight="1">
      <x:c r="A143" s="47" t="n">
        <x:v>138</x:v>
      </x:c>
      <x:c r="B143" t="str">
        <x:v>Tari Eason</x:v>
      </x:c>
      <x:c r="C143" t="str">
        <x:v>HOU</x:v>
      </x:c>
      <x:c r="D143" t="str">
        <x:v>SF</x:v>
      </x:c>
      <x:c r="E143" t="str">
        <x:v>SF/PF</x:v>
      </x:c>
      <x:c r="F143" s="47"/>
      <x:c r="G143" s="22"/>
      <x:c r="H143" s="22" t="n">
        <x:v>22.02</x:v>
      </x:c>
      <x:c r="I143" s="22" t="n">
        <x:v>29.02</x:v>
      </x:c>
      <x:c r="J143" s="22" t="n">
        <x:v>70</x:v>
      </x:c>
      <x:c r="K143" s="22" t="str">
        <x:v>DEEP</x:v>
      </x:c>
      <x:c r="L143" s="22" t="n">
        <x:v>25.52</x:v>
      </x:c>
      <x:c r="M143" s="30" t="n">
        <x:v>1786.3999999999999</x:v>
      </x:c>
      <x:c r="N143" t="str">
        <x:v>Available</x:v>
      </x:c>
      <x:c r="O143" s="16" t="str">
        <x:v>Deep-board candidate for a 10-team league; custom-format estimate emphasizes role, efficiency and rebounding. Recheck camp role and app eligibility before draft day.</x:v>
      </x:c>
      <x:c r="P143" s="22" t="n">
        <x:v>25.52</x:v>
      </x:c>
      <x:c r="Q143" s="22"/>
      <x:c r="R143" s="22" t="n">
        <x:v>25.52</x:v>
      </x:c>
      <x:c r="S143" s="22" t="n">
        <x:v>0</x:v>
      </x:c>
      <x:c r="T143" t="str">
        <x:v>https://ca.sports.yahoo.com/news/2026-27-fantasy-basketball-rankings-top-200-players-points-leagues-182942270.html</x:v>
      </x:c>
      <x:c r="U143" s="49" t="str">
        <x:v>DEEP</x:v>
      </x:c>
      <x:c r="V143" s="49" t="str">
        <x:v>MEDIUM</x:v>
      </x:c>
      <x:c r="W143" s="49" t="str">
        <x:v>DEEP_ESTIMATE</x:v>
      </x:c>
      <x:c r="X143" s="49" t="str">
        <x:v>TOP-200 RESEARCH</x:v>
      </x:c>
      <x:c r="Y143" s="49" t="str">
        <x:v>2026-09-28</x:v>
      </x:c>
      <x:c r="Z143" s="50" t="str">
        <x:v>https://www.nba.com/players</x:v>
      </x:c>
      <x:c r="AA143" s="50" t="str">
        <x:v>https://basketball.realgm.com/nba/stats/2026/Averages/All/points/All/desc/1/Regular_Season</x:v>
      </x:c>
    </x:row>
    <x:row r="144" ht="30" customHeight="1">
      <x:c r="A144" s="47" t="n">
        <x:v>139</x:v>
      </x:c>
      <x:c r="B144" t="str">
        <x:v>Jerami Grant</x:v>
      </x:c>
      <x:c r="C144" t="str">
        <x:v>MEM</x:v>
      </x:c>
      <x:c r="D144" t="str">
        <x:v>PF</x:v>
      </x:c>
      <x:c r="E144" t="str">
        <x:v>SF/PF</x:v>
      </x:c>
      <x:c r="F144" s="47" t="n">
        <x:v>57</x:v>
      </x:c>
      <x:c r="G144" s="22" t="n">
        <x:v>30.149999999999995</x:v>
      </x:c>
      <x:c r="H144" s="22" t="n">
        <x:v>21.190249038591364</x:v>
      </x:c>
      <x:c r="I144" s="22" t="n">
        <x:v>28.190249038591364</x:v>
      </x:c>
      <x:c r="J144" s="22" t="n">
        <x:v>73</x:v>
      </x:c>
      <x:c r="K144" s="22" t="str">
        <x:v>STANDARD</x:v>
      </x:c>
      <x:c r="L144" s="22" t="n">
        <x:v>24.690249038591364</x:v>
      </x:c>
      <x:c r="M144" s="30" t="n">
        <x:v>1802.3881798171697</x:v>
      </x:c>
      <x:c r="N144" t="str">
        <x:v>Available</x:v>
      </x:c>
      <x:c r="O144" s="16" t="str">
        <x:v>Memphis veteran role; useful only when price and minutes align.</x:v>
      </x:c>
      <x:c r="P144" s="22" t="n">
        <x:v>24.690249038591364</x:v>
      </x:c>
      <x:c r="Q144" s="22"/>
      <x:c r="R144" s="22" t="n">
        <x:v>24.690249038591364</x:v>
      </x:c>
      <x:c r="S144" s="22" t="n">
        <x:v>0</x:v>
      </x:c>
      <x:c r="T144" t="str">
        <x:v>https://www.fantasypros.com/nba/projections/overall.php</x:v>
      </x:c>
      <x:c r="U144" s="49" t="str">
        <x:v>CORE</x:v>
      </x:c>
      <x:c r="V144" s="49" t="str">
        <x:v>HIGH</x:v>
      </x:c>
      <x:c r="W144" s="49" t="str">
        <x:v>DRAFT_DAY_FP</x:v>
      </x:c>
      <x:c r="X144" s="49" t="str">
        <x:v>TOP-200 RESEARCH</x:v>
      </x:c>
      <x:c r="Y144" s="49" t="str">
        <x:v>2026-10-10</x:v>
      </x:c>
      <x:c r="Z144" s="50" t="str">
        <x:v>https://www.nba.com/players</x:v>
      </x:c>
      <x:c r="AA144" s="50" t="str">
        <x:v>https://basketball.realgm.com/nba/stats/2026/Averages/All/points/All/desc/1/Regular_Season</x:v>
      </x:c>
    </x:row>
    <x:row r="145" ht="30" customHeight="1">
      <x:c r="A145" s="47" t="n">
        <x:v>140</x:v>
      </x:c>
      <x:c r="B145" t="str">
        <x:v>Jaime Jaquez Jr.</x:v>
      </x:c>
      <x:c r="C145" t="str">
        <x:v>MIL</x:v>
      </x:c>
      <x:c r="D145" t="str">
        <x:v>SF</x:v>
      </x:c>
      <x:c r="E145" t="str">
        <x:v>PF/SF/SG</x:v>
      </x:c>
      <x:c r="F145" s="47"/>
      <x:c r="G145" s="22"/>
      <x:c r="H145" s="22" t="n">
        <x:v>23.118132292205246</x:v>
      </x:c>
      <x:c r="I145" s="22" t="n">
        <x:v>30.118132292205246</x:v>
      </x:c>
      <x:c r="J145" s="22" t="n">
        <x:v>76</x:v>
      </x:c>
      <x:c r="K145" s="22" t="str">
        <x:v>DEEP</x:v>
      </x:c>
      <x:c r="L145" s="22" t="n">
        <x:v>26.618132292205246</x:v>
      </x:c>
      <x:c r="M145" s="30" t="n">
        <x:v>2022.9780542075987</x:v>
      </x:c>
      <x:c r="N145" t="str">
        <x:v>Available</x:v>
      </x:c>
      <x:c r="O145" s="16" t="str">
        <x:v>Deep-board candidate for a 10-team league; custom-format estimate emphasizes role, efficiency and rebounding. Recheck camp role and app eligibility before draft day.</x:v>
      </x:c>
      <x:c r="P145" s="22" t="n">
        <x:v>26.618132292205246</x:v>
      </x:c>
      <x:c r="Q145" s="22"/>
      <x:c r="R145" s="22" t="n">
        <x:v>26.618132292205246</x:v>
      </x:c>
      <x:c r="S145" s="22" t="n">
        <x:v>0</x:v>
      </x:c>
      <x:c r="T145" t="str">
        <x:v>https://www.fantasypros.com/nba/projections/overall.php</x:v>
      </x:c>
      <x:c r="U145" s="49" t="str">
        <x:v>DEEP</x:v>
      </x:c>
      <x:c r="V145" s="49" t="str">
        <x:v>HIGH</x:v>
      </x:c>
      <x:c r="W145" s="49" t="str">
        <x:v>DRAFT_DAY_FP</x:v>
      </x:c>
      <x:c r="X145" s="49" t="str">
        <x:v>TOP-200 RESEARCH</x:v>
      </x:c>
      <x:c r="Y145" s="49" t="str">
        <x:v>2026-10-10</x:v>
      </x:c>
      <x:c r="Z145" s="50" t="str">
        <x:v>https://www.nba.com/players</x:v>
      </x:c>
      <x:c r="AA145" s="50" t="str">
        <x:v>https://basketball.realgm.com/nba/stats/2026/Averages/All/points/All/desc/1/Regular_Season</x:v>
      </x:c>
    </x:row>
    <x:row r="146" ht="30" customHeight="1">
      <x:c r="A146" s="47" t="n">
        <x:v>141</x:v>
      </x:c>
      <x:c r="B146" t="str">
        <x:v>Rui Hachimura</x:v>
      </x:c>
      <x:c r="C146" t="str">
        <x:v>LAC</x:v>
      </x:c>
      <x:c r="D146" t="str">
        <x:v>PF</x:v>
      </x:c>
      <x:c r="E146" t="str">
        <x:v>SF/PF</x:v>
      </x:c>
      <x:c r="F146" s="47"/>
      <x:c r="G146" s="22"/>
      <x:c r="H146" s="22" t="n">
        <x:v>22.361908792663684</x:v>
      </x:c>
      <x:c r="I146" s="22" t="n">
        <x:v>29.361908792663684</x:v>
      </x:c>
      <x:c r="J146" s="22" t="n">
        <x:v>75</x:v>
      </x:c>
      <x:c r="K146" s="22" t="str">
        <x:v>DEEP</x:v>
      </x:c>
      <x:c r="L146" s="22" t="n">
        <x:v>25.861908792663684</x:v>
      </x:c>
      <x:c r="M146" s="30" t="n">
        <x:v>1939.6431594497762</x:v>
      </x:c>
      <x:c r="N146" t="str">
        <x:v>Available</x:v>
      </x:c>
      <x:c r="O146" s="16" t="str">
        <x:v>Deep-board candidate for a 10-team league; custom-format estimate emphasizes role, efficiency and rebounding. Recheck camp role and app eligibility before draft day.</x:v>
      </x:c>
      <x:c r="P146" s="22" t="n">
        <x:v>25.861908792663684</x:v>
      </x:c>
      <x:c r="Q146" s="22"/>
      <x:c r="R146" s="22" t="n">
        <x:v>25.861908792663684</x:v>
      </x:c>
      <x:c r="S146" s="22" t="n">
        <x:v>0</x:v>
      </x:c>
      <x:c r="T146" t="str">
        <x:v>https://www.fantasypros.com/nba/projections/overall.php</x:v>
      </x:c>
      <x:c r="U146" s="49" t="str">
        <x:v>DEEP</x:v>
      </x:c>
      <x:c r="V146" s="49" t="str">
        <x:v>HIGH</x:v>
      </x:c>
      <x:c r="W146" s="49" t="str">
        <x:v>DRAFT_DAY_FP</x:v>
      </x:c>
      <x:c r="X146" s="49" t="str">
        <x:v>TOP-200 RESEARCH</x:v>
      </x:c>
      <x:c r="Y146" s="49" t="str">
        <x:v>2026-10-10</x:v>
      </x:c>
      <x:c r="Z146" s="50" t="str">
        <x:v>https://www.nba.com/players</x:v>
      </x:c>
      <x:c r="AA146" s="50" t="str">
        <x:v>https://basketball.realgm.com/nba/stats/2026/Averages/All/points/All/desc/1/Regular_Season</x:v>
      </x:c>
    </x:row>
    <x:row r="147" ht="30" customHeight="1">
      <x:c r="A147" s="47" t="n">
        <x:v>142</x:v>
      </x:c>
      <x:c r="B147" t="str">
        <x:v>Collin Sexton</x:v>
      </x:c>
      <x:c r="C147" t="str">
        <x:v>LAL</x:v>
      </x:c>
      <x:c r="D147" t="str">
        <x:v>PG</x:v>
      </x:c>
      <x:c r="E147" t="str">
        <x:v>PG/SG</x:v>
      </x:c>
      <x:c r="F147" s="47"/>
      <x:c r="G147" s="22"/>
      <x:c r="H147" s="22" t="n">
        <x:v>22.38232306043991</x:v>
      </x:c>
      <x:c r="I147" s="22" t="n">
        <x:v>29.38232306043991</x:v>
      </x:c>
      <x:c r="J147" s="22" t="n">
        <x:v>75</x:v>
      </x:c>
      <x:c r="K147" s="22" t="str">
        <x:v>DEEP</x:v>
      </x:c>
      <x:c r="L147" s="22" t="n">
        <x:v>25.88232306043991</x:v>
      </x:c>
      <x:c r="M147" s="30" t="n">
        <x:v>1941.1742295329932</x:v>
      </x:c>
      <x:c r="N147" t="str">
        <x:v>Available</x:v>
      </x:c>
      <x:c r="O147" s="16" t="str">
        <x:v>Deep-board candidate for a 10-team league; custom-format estimate emphasizes role, efficiency and rebounding. Recheck camp role and app eligibility before draft day.</x:v>
      </x:c>
      <x:c r="P147" s="22" t="n">
        <x:v>25.88232306043991</x:v>
      </x:c>
      <x:c r="Q147" s="22"/>
      <x:c r="R147" s="22" t="n">
        <x:v>25.88232306043991</x:v>
      </x:c>
      <x:c r="S147" s="22" t="n">
        <x:v>0</x:v>
      </x:c>
      <x:c r="T147" t="str">
        <x:v>https://www.fantasypros.com/nba/projections/overall.php</x:v>
      </x:c>
      <x:c r="U147" s="49" t="str">
        <x:v>DEEP</x:v>
      </x:c>
      <x:c r="V147" s="49" t="str">
        <x:v>HIGH</x:v>
      </x:c>
      <x:c r="W147" s="49" t="str">
        <x:v>DRAFT_DAY_FP</x:v>
      </x:c>
      <x:c r="X147" s="49" t="str">
        <x:v>TOP-200 RESEARCH</x:v>
      </x:c>
      <x:c r="Y147" s="49" t="str">
        <x:v>2026-10-10</x:v>
      </x:c>
      <x:c r="Z147" s="50" t="str">
        <x:v>https://www.nba.com/players</x:v>
      </x:c>
      <x:c r="AA147" s="50" t="str">
        <x:v>https://basketball.realgm.com/nba/stats/2026/Averages/All/points/All/desc/1/Regular_Season</x:v>
      </x:c>
    </x:row>
    <x:row r="148" ht="30" customHeight="1">
      <x:c r="A148" s="47" t="n">
        <x:v>143</x:v>
      </x:c>
      <x:c r="B148" t="str">
        <x:v>Tobias Harris</x:v>
      </x:c>
      <x:c r="C148" t="str">
        <x:v>SAS</x:v>
      </x:c>
      <x:c r="D148" t="str">
        <x:v>PF</x:v>
      </x:c>
      <x:c r="E148" t="str">
        <x:v>PF/SF</x:v>
      </x:c>
      <x:c r="F148" s="47"/>
      <x:c r="G148" s="22"/>
      <x:c r="H148" s="22" t="n">
        <x:v>24.421859844068845</x:v>
      </x:c>
      <x:c r="I148" s="22" t="n">
        <x:v>35.42185984406885</x:v>
      </x:c>
      <x:c r="J148" s="22" t="n">
        <x:v>65</x:v>
      </x:c>
      <x:c r="K148" s="22" t="str">
        <x:v>MEDIUM</x:v>
      </x:c>
      <x:c r="L148" s="22" t="n">
        <x:v>29.921859844068845</x:v>
      </x:c>
      <x:c r="M148" s="30" t="n">
        <x:v>1944.920889864475</x:v>
      </x:c>
      <x:c r="N148" t="str">
        <x:v>Available</x:v>
      </x:c>
      <x:c r="O148" s="16" t="str">
        <x:v>Left calf strain; out for preseason and questionable for opening night.</x:v>
      </x:c>
      <x:c r="P148" s="22" t="n">
        <x:v>29.921859844068845</x:v>
      </x:c>
      <x:c r="Q148" s="22"/>
      <x:c r="R148" s="22" t="n">
        <x:v>29.921859844068845</x:v>
      </x:c>
      <x:c r="S148" s="22" t="n">
        <x:v>0</x:v>
      </x:c>
      <x:c r="T148" t="str">
        <x:v>https://www.nba.com/news/spurs-harris-questionable-for-regular-season-opener-after-straining-left-calf-in-training-camp</x:v>
      </x:c>
      <x:c r="U148" s="49" t="str">
        <x:v>DEEP</x:v>
      </x:c>
      <x:c r="V148" s="49" t="str">
        <x:v>HIGH</x:v>
      </x:c>
      <x:c r="W148" s="49" t="str">
        <x:v>DRAFT_DAY_FP</x:v>
      </x:c>
      <x:c r="X148" s="49" t="str">
        <x:v>TOP-200 RESEARCH</x:v>
      </x:c>
      <x:c r="Y148" s="49" t="str">
        <x:v>2026-10-10</x:v>
      </x:c>
      <x:c r="Z148" s="50" t="str">
        <x:v>https://www.nba.com/players</x:v>
      </x:c>
      <x:c r="AA148" s="50" t="str">
        <x:v>https://basketball.realgm.com/nba/stats/2026/Averages/All/points/All/desc/1/Regular_Season</x:v>
      </x:c>
    </x:row>
    <x:row r="149" ht="30" customHeight="1">
      <x:c r="A149" s="47" t="n">
        <x:v>144</x:v>
      </x:c>
      <x:c r="B149" t="str">
        <x:v>Reed Sheppard</x:v>
      </x:c>
      <x:c r="C149" t="str">
        <x:v>HOU</x:v>
      </x:c>
      <x:c r="D149" t="str">
        <x:v>PG</x:v>
      </x:c>
      <x:c r="E149" t="str">
        <x:v>PG/SG</x:v>
      </x:c>
      <x:c r="F149" s="47"/>
      <x:c r="G149" s="22"/>
      <x:c r="H149" s="22" t="n">
        <x:v>21.76</x:v>
      </x:c>
      <x:c r="I149" s="22" t="n">
        <x:v>28.76</x:v>
      </x:c>
      <x:c r="J149" s="22" t="n">
        <x:v>70</x:v>
      </x:c>
      <x:c r="K149" s="22" t="str">
        <x:v>DEEP</x:v>
      </x:c>
      <x:c r="L149" s="22" t="n">
        <x:v>25.26</x:v>
      </x:c>
      <x:c r="M149" s="30" t="n">
        <x:v>1768.2</x:v>
      </x:c>
      <x:c r="N149" t="str">
        <x:v>Available</x:v>
      </x:c>
      <x:c r="O149" s="16" t="str">
        <x:v>Deep-board candidate for a 10-team league; custom-format estimate emphasizes role, efficiency and rebounding. Recheck camp role and app eligibility before draft day.</x:v>
      </x:c>
      <x:c r="P149" s="22" t="n">
        <x:v>25.26</x:v>
      </x:c>
      <x:c r="Q149" s="22"/>
      <x:c r="R149" s="22" t="n">
        <x:v>25.26</x:v>
      </x:c>
      <x:c r="S149" s="22" t="n">
        <x:v>0</x:v>
      </x:c>
      <x:c r="T149" t="str">
        <x:v>https://ca.sports.yahoo.com/news/2026-27-fantasy-basketball-rankings-top-200-players-points-leagues-182942270.html</x:v>
      </x:c>
      <x:c r="U149" s="49" t="str">
        <x:v>DEEP</x:v>
      </x:c>
      <x:c r="V149" s="49" t="str">
        <x:v>MEDIUM</x:v>
      </x:c>
      <x:c r="W149" s="49" t="str">
        <x:v>DEEP_ESTIMATE</x:v>
      </x:c>
      <x:c r="X149" s="49" t="str">
        <x:v>TOP-200 RESEARCH</x:v>
      </x:c>
      <x:c r="Y149" s="49" t="str">
        <x:v>2026-09-28</x:v>
      </x:c>
      <x:c r="Z149" s="50" t="str">
        <x:v>https://www.nba.com/players</x:v>
      </x:c>
      <x:c r="AA149" s="50" t="str">
        <x:v>https://basketball.realgm.com/nba/stats/2026/Averages/All/points/All/desc/1/Regular_Season</x:v>
      </x:c>
    </x:row>
    <x:row r="150" ht="30" customHeight="1">
      <x:c r="A150" s="47" t="n">
        <x:v>145</x:v>
      </x:c>
      <x:c r="B150" t="str">
        <x:v>Bennedict Mathurin</x:v>
      </x:c>
      <x:c r="C150" t="str">
        <x:v>NOP</x:v>
      </x:c>
      <x:c r="D150" t="str">
        <x:v>SG</x:v>
      </x:c>
      <x:c r="E150" t="str">
        <x:v>SG/SF</x:v>
      </x:c>
      <x:c r="F150" s="47" t="n">
        <x:v>54</x:v>
      </x:c>
      <x:c r="G150" s="22" t="n">
        <x:v>30.4</x:v>
      </x:c>
      <x:c r="H150" s="22" t="n">
        <x:v>20.58895182845626</x:v>
      </x:c>
      <x:c r="I150" s="22" t="n">
        <x:v>27.58895182845626</x:v>
      </x:c>
      <x:c r="J150" s="22" t="n">
        <x:v>73</x:v>
      </x:c>
      <x:c r="K150" s="22" t="str">
        <x:v>STANDARD</x:v>
      </x:c>
      <x:c r="L150" s="22" t="n">
        <x:v>24.08895182845626</x:v>
      </x:c>
      <x:c r="M150" s="30" t="n">
        <x:v>1758.4934834773069</x:v>
      </x:c>
      <x:c r="N150" t="str">
        <x:v>Available</x:v>
      </x:c>
      <x:c r="O150" s="16" t="str">
        <x:v>Late scoring-wing option; efficiency and role will determine relevance.</x:v>
      </x:c>
      <x:c r="P150" s="22" t="n">
        <x:v>24.08895182845626</x:v>
      </x:c>
      <x:c r="Q150" s="22"/>
      <x:c r="R150" s="22" t="n">
        <x:v>24.08895182845626</x:v>
      </x:c>
      <x:c r="S150" s="22" t="n">
        <x:v>0</x:v>
      </x:c>
      <x:c r="T150" t="str">
        <x:v>https://www.fantasypros.com/nba/projections/overall.php</x:v>
      </x:c>
      <x:c r="U150" s="49" t="str">
        <x:v>CORE</x:v>
      </x:c>
      <x:c r="V150" s="49" t="str">
        <x:v>HIGH</x:v>
      </x:c>
      <x:c r="W150" s="49" t="str">
        <x:v>DRAFT_DAY_FP</x:v>
      </x:c>
      <x:c r="X150" s="49" t="str">
        <x:v>TOP-200 RESEARCH</x:v>
      </x:c>
      <x:c r="Y150" s="49" t="str">
        <x:v>2026-10-10</x:v>
      </x:c>
      <x:c r="Z150" s="50" t="str">
        <x:v>https://www.nba.com/players</x:v>
      </x:c>
      <x:c r="AA150" s="50" t="str">
        <x:v>https://basketball.realgm.com/nba/stats/2026/Averages/All/points/All/desc/1/Regular_Season</x:v>
      </x:c>
    </x:row>
    <x:row r="151" ht="30" customHeight="1">
      <x:c r="A151" s="47" t="n">
        <x:v>146</x:v>
      </x:c>
      <x:c r="B151" t="str">
        <x:v>Toumani Camara</x:v>
      </x:c>
      <x:c r="C151" t="str">
        <x:v>POR</x:v>
      </x:c>
      <x:c r="D151" t="str">
        <x:v>SF</x:v>
      </x:c>
      <x:c r="E151" t="str">
        <x:v>SF/PF</x:v>
      </x:c>
      <x:c r="F151" s="47"/>
      <x:c r="G151" s="22"/>
      <x:c r="H151" s="22" t="n">
        <x:v>21.45</x:v>
      </x:c>
      <x:c r="I151" s="22" t="n">
        <x:v>28.45</x:v>
      </x:c>
      <x:c r="J151" s="22" t="n">
        <x:v>70</x:v>
      </x:c>
      <x:c r="K151" s="22" t="str">
        <x:v>DEEP</x:v>
      </x:c>
      <x:c r="L151" s="22" t="n">
        <x:v>24.95</x:v>
      </x:c>
      <x:c r="M151" s="30" t="n">
        <x:v>1746.5</x:v>
      </x:c>
      <x:c r="N151" t="str">
        <x:v>Available</x:v>
      </x:c>
      <x:c r="O151" s="16" t="str">
        <x:v>Deep-board candidate for a 10-team league; custom-format estimate emphasizes role, efficiency and rebounding. Recheck camp role and app eligibility before draft day.</x:v>
      </x:c>
      <x:c r="P151" s="22" t="n">
        <x:v>24.95</x:v>
      </x:c>
      <x:c r="Q151" s="22"/>
      <x:c r="R151" s="22" t="n">
        <x:v>24.95</x:v>
      </x:c>
      <x:c r="S151" s="22" t="n">
        <x:v>0</x:v>
      </x:c>
      <x:c r="T151" t="str">
        <x:v>https://ca.sports.yahoo.com/news/2026-27-fantasy-basketball-rankings-top-200-players-points-leagues-182942270.html</x:v>
      </x:c>
      <x:c r="U151" s="49" t="str">
        <x:v>DEEP</x:v>
      </x:c>
      <x:c r="V151" s="49" t="str">
        <x:v>MEDIUM</x:v>
      </x:c>
      <x:c r="W151" s="49" t="str">
        <x:v>DEEP_ESTIMATE</x:v>
      </x:c>
      <x:c r="X151" s="49" t="str">
        <x:v>TOP-200 RESEARCH</x:v>
      </x:c>
      <x:c r="Y151" s="49" t="str">
        <x:v>2026-09-28</x:v>
      </x:c>
      <x:c r="Z151" s="50" t="str">
        <x:v>https://www.nba.com/players</x:v>
      </x:c>
      <x:c r="AA151" s="50" t="str">
        <x:v>https://basketball.realgm.com/nba/stats/2026/Averages/All/points/All/desc/1/Regular_Season</x:v>
      </x:c>
    </x:row>
    <x:row r="152" ht="30" customHeight="1">
      <x:c r="A152" s="47" t="n">
        <x:v>147</x:v>
      </x:c>
      <x:c r="B152" t="str">
        <x:v>Devin Vassell</x:v>
      </x:c>
      <x:c r="C152" t="str">
        <x:v>SAS</x:v>
      </x:c>
      <x:c r="D152" t="str">
        <x:v>SG</x:v>
      </x:c>
      <x:c r="E152" t="str">
        <x:v>SG/SF</x:v>
      </x:c>
      <x:c r="F152" s="47"/>
      <x:c r="G152" s="22"/>
      <x:c r="H152" s="22" t="n">
        <x:v>22.054927101322402</x:v>
      </x:c>
      <x:c r="I152" s="22" t="n">
        <x:v>29.054927101322402</x:v>
      </x:c>
      <x:c r="J152" s="22" t="n">
        <x:v>74</x:v>
      </x:c>
      <x:c r="K152" s="22" t="str">
        <x:v>DEEP</x:v>
      </x:c>
      <x:c r="L152" s="22" t="n">
        <x:v>25.554927101322402</x:v>
      </x:c>
      <x:c r="M152" s="30" t="n">
        <x:v>1891.0646054978577</x:v>
      </x:c>
      <x:c r="N152" t="str">
        <x:v>Available</x:v>
      </x:c>
      <x:c r="O152" s="16" t="str">
        <x:v>Deep-board candidate for a 10-team league; custom-format estimate emphasizes role, efficiency and rebounding. Recheck camp role and app eligibility before draft day.</x:v>
      </x:c>
      <x:c r="P152" s="22" t="n">
        <x:v>25.554927101322402</x:v>
      </x:c>
      <x:c r="Q152" s="22"/>
      <x:c r="R152" s="22" t="n">
        <x:v>25.554927101322402</x:v>
      </x:c>
      <x:c r="S152" s="22" t="n">
        <x:v>0</x:v>
      </x:c>
      <x:c r="T152" t="str">
        <x:v>https://www.fantasypros.com/nba/projections/overall.php</x:v>
      </x:c>
      <x:c r="U152" s="49" t="str">
        <x:v>DEEP</x:v>
      </x:c>
      <x:c r="V152" s="49" t="str">
        <x:v>HIGH</x:v>
      </x:c>
      <x:c r="W152" s="49" t="str">
        <x:v>DRAFT_DAY_FP</x:v>
      </x:c>
      <x:c r="X152" s="49" t="str">
        <x:v>TOP-200 RESEARCH</x:v>
      </x:c>
      <x:c r="Y152" s="49" t="str">
        <x:v>2026-10-10</x:v>
      </x:c>
      <x:c r="Z152" s="50" t="str">
        <x:v>https://www.nba.com/players</x:v>
      </x:c>
      <x:c r="AA152" s="50" t="str">
        <x:v>https://basketball.realgm.com/nba/stats/2026/Averages/All/points/All/desc/1/Regular_Season</x:v>
      </x:c>
    </x:row>
    <x:row r="153" ht="30" customHeight="1">
      <x:c r="A153" s="47" t="n">
        <x:v>148</x:v>
      </x:c>
      <x:c r="B153" t="str">
        <x:v>Chris Boucher</x:v>
      </x:c>
      <x:c r="C153" t="str">
        <x:v>BOS</x:v>
      </x:c>
      <x:c r="D153" t="str">
        <x:v>PF</x:v>
      </x:c>
      <x:c r="E153" t="str">
        <x:v>PF/C</x:v>
      </x:c>
      <x:c r="F153" s="47"/>
      <x:c r="G153" s="22"/>
      <x:c r="H153" s="22" t="n">
        <x:v>21.38</x:v>
      </x:c>
      <x:c r="I153" s="22" t="n">
        <x:v>28.38</x:v>
      </x:c>
      <x:c r="J153" s="22" t="n">
        <x:v>70</x:v>
      </x:c>
      <x:c r="K153" s="22" t="str">
        <x:v>DEEP</x:v>
      </x:c>
      <x:c r="L153" s="22" t="n">
        <x:v>24.88</x:v>
      </x:c>
      <x:c r="M153" s="30" t="n">
        <x:v>1741.6</x:v>
      </x:c>
      <x:c r="N153" t="str">
        <x:v>Available</x:v>
      </x:c>
      <x:c r="O153" s="16" t="str">
        <x:v>Deep-board candidate for a 10-team league; custom-format estimate emphasizes role, efficiency and rebounding. Recheck camp role and app eligibility before draft day.</x:v>
      </x:c>
      <x:c r="P153" s="22" t="n">
        <x:v>24.88</x:v>
      </x:c>
      <x:c r="Q153" s="22"/>
      <x:c r="R153" s="22" t="n">
        <x:v>24.88</x:v>
      </x:c>
      <x:c r="S153" s="22" t="n">
        <x:v>0</x:v>
      </x:c>
      <x:c r="T153" t="str">
        <x:v>https://ca.sports.yahoo.com/news/2026-27-fantasy-basketball-rankings-top-200-players-points-leagues-182942270.html</x:v>
      </x:c>
      <x:c r="U153" s="49" t="str">
        <x:v>DEEP</x:v>
      </x:c>
      <x:c r="V153" s="49" t="str">
        <x:v>MEDIUM</x:v>
      </x:c>
      <x:c r="W153" s="49" t="str">
        <x:v>DEEP_ESTIMATE</x:v>
      </x:c>
      <x:c r="X153" s="49" t="str">
        <x:v>TOP-200 RESEARCH</x:v>
      </x:c>
      <x:c r="Y153" s="49" t="str">
        <x:v>2026-09-28</x:v>
      </x:c>
      <x:c r="Z153" s="50" t="str">
        <x:v>https://www.nba.com/players</x:v>
      </x:c>
      <x:c r="AA153" s="50" t="str">
        <x:v>https://basketball.realgm.com/nba/stats/2026/Averages/All/points/All/desc/1/Regular_Season</x:v>
      </x:c>
    </x:row>
    <x:row r="154" ht="30" customHeight="1">
      <x:c r="A154" s="47" t="n">
        <x:v>149</x:v>
      </x:c>
      <x:c r="B154" t="str">
        <x:v>Herbert Jones</x:v>
      </x:c>
      <x:c r="C154" t="str">
        <x:v>NOP</x:v>
      </x:c>
      <x:c r="D154" t="str">
        <x:v>SF</x:v>
      </x:c>
      <x:c r="E154" t="str">
        <x:v>SF/PF</x:v>
      </x:c>
      <x:c r="F154" s="47"/>
      <x:c r="G154" s="22"/>
      <x:c r="H154" s="22" t="n">
        <x:v>21.34</x:v>
      </x:c>
      <x:c r="I154" s="22" t="n">
        <x:v>28.34</x:v>
      </x:c>
      <x:c r="J154" s="22" t="n">
        <x:v>70</x:v>
      </x:c>
      <x:c r="K154" s="22" t="str">
        <x:v>DEEP</x:v>
      </x:c>
      <x:c r="L154" s="22" t="n">
        <x:v>24.84</x:v>
      </x:c>
      <x:c r="M154" s="30" t="n">
        <x:v>1738.8</x:v>
      </x:c>
      <x:c r="N154" t="str">
        <x:v>Available</x:v>
      </x:c>
      <x:c r="O154" s="16" t="str">
        <x:v>Deep-board candidate for a 10-team league; custom-format estimate emphasizes role, efficiency and rebounding. Recheck camp role and app eligibility before draft day.</x:v>
      </x:c>
      <x:c r="P154" s="22" t="n">
        <x:v>24.84</x:v>
      </x:c>
      <x:c r="Q154" s="22"/>
      <x:c r="R154" s="22" t="n">
        <x:v>24.84</x:v>
      </x:c>
      <x:c r="S154" s="22" t="n">
        <x:v>0</x:v>
      </x:c>
      <x:c r="T154" t="str">
        <x:v>https://ca.sports.yahoo.com/news/2026-27-fantasy-basketball-rankings-top-200-players-points-leagues-182942270.html</x:v>
      </x:c>
      <x:c r="U154" s="49" t="str">
        <x:v>DEEP</x:v>
      </x:c>
      <x:c r="V154" s="49" t="str">
        <x:v>MEDIUM</x:v>
      </x:c>
      <x:c r="W154" s="49" t="str">
        <x:v>DEEP_ESTIMATE</x:v>
      </x:c>
      <x:c r="X154" s="49" t="str">
        <x:v>TOP-200 RESEARCH</x:v>
      </x:c>
      <x:c r="Y154" s="49" t="str">
        <x:v>2026-09-28</x:v>
      </x:c>
      <x:c r="Z154" s="50" t="str">
        <x:v>https://www.nba.com/players</x:v>
      </x:c>
      <x:c r="AA154" s="50" t="str">
        <x:v>https://basketball.realgm.com/nba/stats/2026/Averages/All/points/All/desc/1/Regular_Season</x:v>
      </x:c>
    </x:row>
    <x:row r="155" ht="30" customHeight="1">
      <x:c r="A155" s="47" t="n">
        <x:v>150</x:v>
      </x:c>
      <x:c r="B155" t="str">
        <x:v>Kevin Porter Jr.</x:v>
      </x:c>
      <x:c r="C155" t="str">
        <x:v>MIL</x:v>
      </x:c>
      <x:c r="D155" t="str">
        <x:v>PG</x:v>
      </x:c>
      <x:c r="E155" t="str">
        <x:v>PG/SG</x:v>
      </x:c>
      <x:c r="F155" s="47" t="n">
        <x:v>38</x:v>
      </x:c>
      <x:c r="G155" s="22" t="n">
        <x:v>38.25000000000001</x:v>
      </x:c>
      <x:c r="H155" s="22" t="n">
        <x:v>20.118505507073426</x:v>
      </x:c>
      <x:c r="I155" s="22" t="n">
        <x:v>27.118505507073426</x:v>
      </x:c>
      <x:c r="J155" s="22" t="n">
        <x:v>72</x:v>
      </x:c>
      <x:c r="K155" s="22" t="str">
        <x:v>STANDARD</x:v>
      </x:c>
      <x:c r="L155" s="22" t="n">
        <x:v>23.618505507073426</x:v>
      </x:c>
      <x:c r="M155" s="30" t="n">
        <x:v>1700.5323965092866</x:v>
      </x:c>
      <x:c r="N155" t="str">
        <x:v>Available</x:v>
      </x:c>
      <x:c r="O155" s="16" t="str">
        <x:v>Milwaukee role and touches look less secure; large projected decline warrants caution.</x:v>
      </x:c>
      <x:c r="P155" s="22" t="n">
        <x:v>23.618505507073426</x:v>
      </x:c>
      <x:c r="Q155" s="22"/>
      <x:c r="R155" s="22" t="n">
        <x:v>23.618505507073426</x:v>
      </x:c>
      <x:c r="S155" s="22" t="n">
        <x:v>0</x:v>
      </x:c>
      <x:c r="T155" t="str">
        <x:v>https://www.nba.com/news/2026-27-season-preview-mil</x:v>
      </x:c>
      <x:c r="U155" s="49" t="str">
        <x:v>CORE</x:v>
      </x:c>
      <x:c r="V155" s="49" t="str">
        <x:v>HIGH</x:v>
      </x:c>
      <x:c r="W155" s="49" t="str">
        <x:v>RESEARCH_BLEND</x:v>
      </x:c>
      <x:c r="X155" s="49" t="str">
        <x:v>TOP-200 RESEARCH</x:v>
      </x:c>
      <x:c r="Y155" s="49" t="str">
        <x:v>2026-09-28</x:v>
      </x:c>
      <x:c r="Z155" s="50" t="str">
        <x:v>https://www.nba.com/players</x:v>
      </x:c>
      <x:c r="AA155" s="50" t="str">
        <x:v>https://basketball.realgm.com/nba/stats/2026/Averages/All/points/All/desc/1/Regular_Season</x:v>
      </x:c>
    </x:row>
    <x:row r="156" ht="30" customHeight="1">
      <x:c r="A156" s="47" t="n">
        <x:v>151</x:v>
      </x:c>
      <x:c r="B156" t="str">
        <x:v>Nique Clifford</x:v>
      </x:c>
      <x:c r="C156" t="str">
        <x:v>SAC</x:v>
      </x:c>
      <x:c r="D156" t="str">
        <x:v>SG</x:v>
      </x:c>
      <x:c r="E156" t="str">
        <x:v>SG/SF</x:v>
      </x:c>
      <x:c r="F156" s="47"/>
      <x:c r="G156" s="22"/>
      <x:c r="H156" s="22" t="n">
        <x:v>21.22</x:v>
      </x:c>
      <x:c r="I156" s="22" t="n">
        <x:v>28.22</x:v>
      </x:c>
      <x:c r="J156" s="22" t="n">
        <x:v>70</x:v>
      </x:c>
      <x:c r="K156" s="22" t="str">
        <x:v>DEEP</x:v>
      </x:c>
      <x:c r="L156" s="22" t="n">
        <x:v>24.72</x:v>
      </x:c>
      <x:c r="M156" s="30" t="n">
        <x:v>1730.3999999999999</x:v>
      </x:c>
      <x:c r="N156" t="str">
        <x:v>Available</x:v>
      </x:c>
      <x:c r="O156" s="16" t="str">
        <x:v>Deep-board candidate for a 10-team league; custom-format estimate emphasizes role, efficiency and rebounding. Recheck camp role and app eligibility before draft day.</x:v>
      </x:c>
      <x:c r="P156" s="22" t="n">
        <x:v>24.72</x:v>
      </x:c>
      <x:c r="Q156" s="22"/>
      <x:c r="R156" s="22" t="n">
        <x:v>24.72</x:v>
      </x:c>
      <x:c r="S156" s="22" t="n">
        <x:v>0</x:v>
      </x:c>
      <x:c r="T156" t="str">
        <x:v>https://ca.sports.yahoo.com/news/2026-27-fantasy-basketball-rankings-top-200-players-points-leagues-182942270.html</x:v>
      </x:c>
      <x:c r="U156" s="49" t="str">
        <x:v>DEEP</x:v>
      </x:c>
      <x:c r="V156" s="49" t="str">
        <x:v>MEDIUM</x:v>
      </x:c>
      <x:c r="W156" s="49" t="str">
        <x:v>DEEP_ESTIMATE</x:v>
      </x:c>
      <x:c r="X156" s="49" t="str">
        <x:v>TOP-200 RESEARCH</x:v>
      </x:c>
      <x:c r="Y156" s="49" t="str">
        <x:v>2026-09-28</x:v>
      </x:c>
      <x:c r="Z156" s="50" t="str">
        <x:v>https://www.nba.com/players</x:v>
      </x:c>
      <x:c r="AA156" s="50" t="str">
        <x:v>https://basketball.realgm.com/nba/stats/2026/Averages/All/points/All/desc/1/Regular_Season</x:v>
      </x:c>
    </x:row>
    <x:row r="157" ht="30" customHeight="1">
      <x:c r="A157" s="47" t="n">
        <x:v>152</x:v>
      </x:c>
      <x:c r="B157" t="str">
        <x:v>Isaiah Collier</x:v>
      </x:c>
      <x:c r="C157" t="str">
        <x:v>UTA</x:v>
      </x:c>
      <x:c r="D157" t="str">
        <x:v>PG</x:v>
      </x:c>
      <x:c r="E157" t="str">
        <x:v>PG</x:v>
      </x:c>
      <x:c r="F157" s="47"/>
      <x:c r="G157" s="22"/>
      <x:c r="H157" s="22" t="n">
        <x:v>21.19</x:v>
      </x:c>
      <x:c r="I157" s="22" t="n">
        <x:v>28.19</x:v>
      </x:c>
      <x:c r="J157" s="22" t="n">
        <x:v>70</x:v>
      </x:c>
      <x:c r="K157" s="22" t="str">
        <x:v>DEEP</x:v>
      </x:c>
      <x:c r="L157" s="22" t="n">
        <x:v>24.69</x:v>
      </x:c>
      <x:c r="M157" s="30" t="n">
        <x:v>1728.3000000000002</x:v>
      </x:c>
      <x:c r="N157" t="str">
        <x:v>Available</x:v>
      </x:c>
      <x:c r="O157" s="16" t="str">
        <x:v>Deep-board candidate for a 10-team league; custom-format estimate emphasizes role, efficiency and rebounding. Recheck camp role and app eligibility before draft day.</x:v>
      </x:c>
      <x:c r="P157" s="22" t="n">
        <x:v>24.69</x:v>
      </x:c>
      <x:c r="Q157" s="22"/>
      <x:c r="R157" s="22" t="n">
        <x:v>24.69</x:v>
      </x:c>
      <x:c r="S157" s="22" t="n">
        <x:v>0</x:v>
      </x:c>
      <x:c r="T157" t="str">
        <x:v>https://ca.sports.yahoo.com/news/2026-27-fantasy-basketball-rankings-top-200-players-points-leagues-182942270.html</x:v>
      </x:c>
      <x:c r="U157" s="49" t="str">
        <x:v>DEEP</x:v>
      </x:c>
      <x:c r="V157" s="49" t="str">
        <x:v>MEDIUM</x:v>
      </x:c>
      <x:c r="W157" s="49" t="str">
        <x:v>DEEP_ESTIMATE</x:v>
      </x:c>
      <x:c r="X157" s="49" t="str">
        <x:v>TOP-200 RESEARCH</x:v>
      </x:c>
      <x:c r="Y157" s="49" t="str">
        <x:v>2026-09-28</x:v>
      </x:c>
      <x:c r="Z157" s="50" t="str">
        <x:v>https://www.nba.com/players</x:v>
      </x:c>
      <x:c r="AA157" s="50" t="str">
        <x:v>https://basketball.realgm.com/nba/stats/2026/Averages/All/points/All/desc/1/Regular_Season</x:v>
      </x:c>
    </x:row>
    <x:row r="158" ht="30" customHeight="1">
      <x:c r="A158" s="47" t="n">
        <x:v>153</x:v>
      </x:c>
      <x:c r="B158" t="str">
        <x:v>Kyshawn George</x:v>
      </x:c>
      <x:c r="C158" t="str">
        <x:v>WAS</x:v>
      </x:c>
      <x:c r="D158" t="str">
        <x:v>SG</x:v>
      </x:c>
      <x:c r="E158" t="str">
        <x:v>PF/SF/SG</x:v>
      </x:c>
      <x:c r="F158" s="47" t="n">
        <x:v>48</x:v>
      </x:c>
      <x:c r="G158" s="22" t="n">
        <x:v>29</x:v>
      </x:c>
      <x:c r="H158" s="22" t="n">
        <x:v>21.377228028267147</x:v>
      </x:c>
      <x:c r="I158" s="22" t="n">
        <x:v>30.22722802826715</x:v>
      </x:c>
      <x:c r="J158" s="22" t="n">
        <x:v>72</x:v>
      </x:c>
      <x:c r="K158" s="22" t="str">
        <x:v>DEEP</x:v>
      </x:c>
      <x:c r="L158" s="22" t="n">
        <x:v>25.802228028267148</x:v>
      </x:c>
      <x:c r="M158" s="30" t="n">
        <x:v>1857.7604180352346</x:v>
      </x:c>
      <x:c r="N158" t="str">
        <x:v>Available</x:v>
      </x:c>
      <x:c r="O158" s="16" t="str">
        <x:v>Deep-pool model: 2025-26 custom-score production shrunk toward a conservative 2026-27 role estimate; not a published projection.</x:v>
      </x:c>
      <x:c r="P158" s="22" t="n">
        <x:v>25.802228028267148</x:v>
      </x:c>
      <x:c r="Q158" s="22"/>
      <x:c r="R158" s="22" t="n">
        <x:v>25.802228028267148</x:v>
      </x:c>
      <x:c r="S158" s="22" t="n">
        <x:v>0</x:v>
      </x:c>
      <x:c r="T158" t="str">
        <x:v>https://www.fantasypros.com/nba/projections/overall.php</x:v>
      </x:c>
      <x:c r="U158" s="49" t="str">
        <x:v>DEEP</x:v>
      </x:c>
      <x:c r="V158" s="49" t="str">
        <x:v>HIGH</x:v>
      </x:c>
      <x:c r="W158" s="49" t="str">
        <x:v>DRAFT_DAY_FP</x:v>
      </x:c>
      <x:c r="X158" s="49" t="str">
        <x:v>STANDARD</x:v>
      </x:c>
      <x:c r="Y158" s="49" t="str">
        <x:v>2026-10-10</x:v>
      </x:c>
      <x:c r="Z158" s="50" t="str">
        <x:v>https://github.com/plourr03/wolves-front-office/blob/5d152a169188fb9b210186a7a0d3403d4081ed38/kuminga/data/roster_snapshot_2026_27_v3.csv</x:v>
      </x:c>
      <x:c r="AA158" s="50" t="str">
        <x:v>https://github.com/ballacademy/NBA-head-to-head-/blob/5b1decfc31ffb645469c7ffbd01aaca4b18181bd/data/nba-stats/nba-player-stats-202526-regular-season-per-game.csv</x:v>
      </x:c>
    </x:row>
    <x:row r="159" ht="30" customHeight="1">
      <x:c r="A159" s="47" t="n">
        <x:v>154</x:v>
      </x:c>
      <x:c r="B159" t="str">
        <x:v>Corey Kispert</x:v>
      </x:c>
      <x:c r="C159" t="str">
        <x:v>ATL</x:v>
      </x:c>
      <x:c r="D159" t="str">
        <x:v>SF</x:v>
      </x:c>
      <x:c r="E159" t="str">
        <x:v>SG/SF</x:v>
      </x:c>
      <x:c r="F159" s="47"/>
      <x:c r="G159" s="22"/>
      <x:c r="H159" s="22" t="n">
        <x:v>20.77</x:v>
      </x:c>
      <x:c r="I159" s="22" t="n">
        <x:v>27.77</x:v>
      </x:c>
      <x:c r="J159" s="22" t="n">
        <x:v>70</x:v>
      </x:c>
      <x:c r="K159" s="22" t="str">
        <x:v>DEEP</x:v>
      </x:c>
      <x:c r="L159" s="22" t="n">
        <x:v>24.27</x:v>
      </x:c>
      <x:c r="M159" s="30" t="n">
        <x:v>1698.8999999999999</x:v>
      </x:c>
      <x:c r="N159" t="str">
        <x:v>Available</x:v>
      </x:c>
      <x:c r="O159" s="16" t="str">
        <x:v>Deep-board candidate for a 10-team league; custom-format estimate emphasizes role, efficiency and rebounding. Recheck camp role and app eligibility before draft day.</x:v>
      </x:c>
      <x:c r="P159" s="22" t="n">
        <x:v>24.27</x:v>
      </x:c>
      <x:c r="Q159" s="22"/>
      <x:c r="R159" s="22" t="n">
        <x:v>24.27</x:v>
      </x:c>
      <x:c r="S159" s="22" t="n">
        <x:v>0</x:v>
      </x:c>
      <x:c r="T159" t="str">
        <x:v>https://ca.sports.yahoo.com/news/2026-27-fantasy-basketball-rankings-top-200-players-points-leagues-182942270.html</x:v>
      </x:c>
      <x:c r="U159" s="49" t="str">
        <x:v>DEEP</x:v>
      </x:c>
      <x:c r="V159" s="49" t="str">
        <x:v>MEDIUM</x:v>
      </x:c>
      <x:c r="W159" s="49" t="str">
        <x:v>DEEP_ESTIMATE</x:v>
      </x:c>
      <x:c r="X159" s="49" t="str">
        <x:v>TOP-200 RESEARCH</x:v>
      </x:c>
      <x:c r="Y159" s="49" t="str">
        <x:v>2026-09-28</x:v>
      </x:c>
      <x:c r="Z159" s="50" t="str">
        <x:v>https://www.nba.com/players</x:v>
      </x:c>
      <x:c r="AA159" s="50" t="str">
        <x:v>https://basketball.realgm.com/nba/stats/2026/Averages/All/points/All/desc/1/Regular_Season</x:v>
      </x:c>
    </x:row>
    <x:row r="160" ht="30" customHeight="1">
      <x:c r="A160" s="47" t="n">
        <x:v>155</x:v>
      </x:c>
      <x:c r="B160" t="str">
        <x:v>Davion Mitchell</x:v>
      </x:c>
      <x:c r="C160" t="str">
        <x:v>MIA</x:v>
      </x:c>
      <x:c r="D160" t="str">
        <x:v>PG</x:v>
      </x:c>
      <x:c r="E160" t="str">
        <x:v>PG</x:v>
      </x:c>
      <x:c r="F160" s="47"/>
      <x:c r="G160" s="22"/>
      <x:c r="H160" s="22" t="n">
        <x:v>20.28</x:v>
      </x:c>
      <x:c r="I160" s="22" t="n">
        <x:v>27.28</x:v>
      </x:c>
      <x:c r="J160" s="22" t="n">
        <x:v>70</x:v>
      </x:c>
      <x:c r="K160" s="22" t="str">
        <x:v>DEEP</x:v>
      </x:c>
      <x:c r="L160" s="22" t="n">
        <x:v>23.78</x:v>
      </x:c>
      <x:c r="M160" s="30" t="n">
        <x:v>1664.6000000000001</x:v>
      </x:c>
      <x:c r="N160" t="str">
        <x:v>Available</x:v>
      </x:c>
      <x:c r="O160" s="16" t="str">
        <x:v>Deep-board candidate for a 10-team league; custom-format estimate emphasizes role, efficiency and rebounding. Recheck camp role and app eligibility before draft day.</x:v>
      </x:c>
      <x:c r="P160" s="22" t="n">
        <x:v>23.78</x:v>
      </x:c>
      <x:c r="Q160" s="22"/>
      <x:c r="R160" s="22" t="n">
        <x:v>23.78</x:v>
      </x:c>
      <x:c r="S160" s="22" t="n">
        <x:v>0</x:v>
      </x:c>
      <x:c r="T160" t="str">
        <x:v>https://ca.sports.yahoo.com/news/2026-27-fantasy-basketball-rankings-top-200-players-points-leagues-182942270.html</x:v>
      </x:c>
      <x:c r="U160" s="49" t="str">
        <x:v>DEEP</x:v>
      </x:c>
      <x:c r="V160" s="49" t="str">
        <x:v>MEDIUM</x:v>
      </x:c>
      <x:c r="W160" s="49" t="str">
        <x:v>DEEP_ESTIMATE</x:v>
      </x:c>
      <x:c r="X160" s="49" t="str">
        <x:v>TOP-200 RESEARCH</x:v>
      </x:c>
      <x:c r="Y160" s="49" t="str">
        <x:v>2026-09-28</x:v>
      </x:c>
      <x:c r="Z160" s="50" t="str">
        <x:v>https://www.nba.com/players</x:v>
      </x:c>
      <x:c r="AA160" s="50" t="str">
        <x:v>https://basketball.realgm.com/nba/stats/2026/Averages/All/points/All/desc/1/Regular_Season</x:v>
      </x:c>
    </x:row>
    <x:row r="161" ht="30" customHeight="1">
      <x:c r="A161" s="47" t="n">
        <x:v>156</x:v>
      </x:c>
      <x:c r="B161" t="str">
        <x:v>Egor Demin</x:v>
      </x:c>
      <x:c r="C161" t="str">
        <x:v>BKN</x:v>
      </x:c>
      <x:c r="D161" t="str">
        <x:v>PG</x:v>
      </x:c>
      <x:c r="E161" t="str">
        <x:v>PG/SG</x:v>
      </x:c>
      <x:c r="F161" s="47"/>
      <x:c r="G161" s="22"/>
      <x:c r="H161" s="22" t="n">
        <x:v>20.12084910747226</x:v>
      </x:c>
      <x:c r="I161" s="22" t="n">
        <x:v>27.12084910747226</x:v>
      </x:c>
      <x:c r="J161" s="22" t="n">
        <x:v>75</x:v>
      </x:c>
      <x:c r="K161" s="22" t="str">
        <x:v>DEEP</x:v>
      </x:c>
      <x:c r="L161" s="22" t="n">
        <x:v>23.62084910747226</x:v>
      </x:c>
      <x:c r="M161" s="30" t="n">
        <x:v>1771.5636830604194</x:v>
      </x:c>
      <x:c r="N161" t="str">
        <x:v>Available</x:v>
      </x:c>
      <x:c r="O161" s="16" t="str">
        <x:v>Deep-board candidate for a 10-team league; custom-format estimate emphasizes role, efficiency and rebounding. Recheck camp role and app eligibility before draft day.</x:v>
      </x:c>
      <x:c r="P161" s="22" t="n">
        <x:v>23.62084910747226</x:v>
      </x:c>
      <x:c r="Q161" s="22"/>
      <x:c r="R161" s="22" t="n">
        <x:v>23.62084910747226</x:v>
      </x:c>
      <x:c r="S161" s="22" t="n">
        <x:v>0</x:v>
      </x:c>
      <x:c r="T161" t="str">
        <x:v>https://www.fantasypros.com/nba/projections/overall.php</x:v>
      </x:c>
      <x:c r="U161" s="49" t="str">
        <x:v>DEEP</x:v>
      </x:c>
      <x:c r="V161" s="49" t="str">
        <x:v>HIGH</x:v>
      </x:c>
      <x:c r="W161" s="49" t="str">
        <x:v>DRAFT_DAY_FP</x:v>
      </x:c>
      <x:c r="X161" s="49" t="str">
        <x:v>TOP-200 RESEARCH</x:v>
      </x:c>
      <x:c r="Y161" s="49" t="str">
        <x:v>2026-10-10</x:v>
      </x:c>
      <x:c r="Z161" s="50" t="str">
        <x:v>https://www.nba.com/players</x:v>
      </x:c>
      <x:c r="AA161" s="50" t="str">
        <x:v>https://basketball.realgm.com/nba/stats/2026/Averages/All/points/All/desc/1/Regular_Season</x:v>
      </x:c>
    </x:row>
    <x:row r="162" ht="30" customHeight="1">
      <x:c r="A162" s="47" t="n">
        <x:v>157</x:v>
      </x:c>
      <x:c r="B162" t="str">
        <x:v>Ajay Mitchell</x:v>
      </x:c>
      <x:c r="C162" t="str">
        <x:v>OKC</x:v>
      </x:c>
      <x:c r="D162" t="str">
        <x:v>PG</x:v>
      </x:c>
      <x:c r="E162" t="str">
        <x:v>PG/SG</x:v>
      </x:c>
      <x:c r="F162" s="47"/>
      <x:c r="G162" s="22"/>
      <x:c r="H162" s="22" t="n">
        <x:v>20.17</x:v>
      </x:c>
      <x:c r="I162" s="22" t="n">
        <x:v>27.17</x:v>
      </x:c>
      <x:c r="J162" s="22" t="n">
        <x:v>70</x:v>
      </x:c>
      <x:c r="K162" s="22" t="str">
        <x:v>DEEP</x:v>
      </x:c>
      <x:c r="L162" s="22" t="n">
        <x:v>23.67</x:v>
      </x:c>
      <x:c r="M162" s="30" t="n">
        <x:v>1656.9</x:v>
      </x:c>
      <x:c r="N162" t="str">
        <x:v>Available</x:v>
      </x:c>
      <x:c r="O162" s="16" t="str">
        <x:v>Deep-board candidate for a 10-team league; custom-format estimate emphasizes role, efficiency and rebounding. Recheck camp role and app eligibility before draft day.</x:v>
      </x:c>
      <x:c r="P162" s="22" t="n">
        <x:v>23.67</x:v>
      </x:c>
      <x:c r="Q162" s="22"/>
      <x:c r="R162" s="22" t="n">
        <x:v>23.67</x:v>
      </x:c>
      <x:c r="S162" s="22" t="n">
        <x:v>0</x:v>
      </x:c>
      <x:c r="T162" t="str">
        <x:v>https://ca.sports.yahoo.com/news/2026-27-fantasy-basketball-rankings-top-200-players-points-leagues-182942270.html</x:v>
      </x:c>
      <x:c r="U162" s="49" t="str">
        <x:v>DEEP</x:v>
      </x:c>
      <x:c r="V162" s="49" t="str">
        <x:v>MEDIUM</x:v>
      </x:c>
      <x:c r="W162" s="49" t="str">
        <x:v>DEEP_ESTIMATE</x:v>
      </x:c>
      <x:c r="X162" s="49" t="str">
        <x:v>TOP-200 RESEARCH</x:v>
      </x:c>
      <x:c r="Y162" s="49" t="str">
        <x:v>2026-09-28</x:v>
      </x:c>
      <x:c r="Z162" s="50" t="str">
        <x:v>https://www.nba.com/players</x:v>
      </x:c>
      <x:c r="AA162" s="50" t="str">
        <x:v>https://basketball.realgm.com/nba/stats/2026/Averages/All/points/All/desc/1/Regular_Season</x:v>
      </x:c>
    </x:row>
    <x:row r="163" ht="30" customHeight="1">
      <x:c r="A163" s="47" t="n">
        <x:v>158</x:v>
      </x:c>
      <x:c r="B163" t="str">
        <x:v>Tre Jones</x:v>
      </x:c>
      <x:c r="C163" t="str">
        <x:v>CHI</x:v>
      </x:c>
      <x:c r="D163" t="str">
        <x:v>PG</x:v>
      </x:c>
      <x:c r="E163" t="str">
        <x:v>PG</x:v>
      </x:c>
      <x:c r="F163" s="47" t="n">
        <x:v>65</x:v>
      </x:c>
      <x:c r="G163" s="22" t="n">
        <x:v>30.2</x:v>
      </x:c>
      <x:c r="H163" s="22" t="n">
        <x:v>21.235</x:v>
      </x:c>
      <x:c r="I163" s="22" t="n">
        <x:v>30.564999999999998</x:v>
      </x:c>
      <x:c r="J163" s="22" t="n">
        <x:v>60</x:v>
      </x:c>
      <x:c r="K163" s="22" t="str">
        <x:v>DEEP</x:v>
      </x:c>
      <x:c r="L163" s="22" t="n">
        <x:v>25.9</x:v>
      </x:c>
      <x:c r="M163" s="30" t="n">
        <x:v>1554</x:v>
      </x:c>
      <x:c r="N163" t="str">
        <x:v>Available</x:v>
      </x:c>
      <x:c r="O163" s="16" t="str">
        <x:v>Deep-pool model: 2025-26 custom-score production shrunk toward a conservative 2026-27 role estimate; not a published projection.</x:v>
      </x:c>
      <x:c r="P163" s="22"/>
      <x:c r="Q163" s="22"/>
      <x:c r="R163" s="22" t="n">
        <x:v>25.9</x:v>
      </x:c>
      <x:c r="S163" s="22" t="n">
        <x:v>0</x:v>
      </x:c>
      <x:c r="T163" t="str">
        <x:v>https://github.com/plourr03/wolves-front-office/blob/5d152a169188fb9b210186a7a0d3403d4081ed38/kuminga/data/roster_snapshot_2026_27_v3.csv</x:v>
      </x:c>
      <x:c r="U163" s="49" t="str">
        <x:v>DEEP</x:v>
      </x:c>
      <x:c r="V163" s="49" t="str">
        <x:v>HIGH</x:v>
      </x:c>
      <x:c r="W163" s="49" t="str">
        <x:v>MODEL</x:v>
      </x:c>
      <x:c r="X163" s="49" t="str">
        <x:v>STANDARD</x:v>
      </x:c>
      <x:c r="Y163" s="49" t="str">
        <x:v>2026-09-28 master / roster context 2026-09-03+</x:v>
      </x:c>
      <x:c r="Z163" s="50" t="str">
        <x:v>https://github.com/plourr03/wolves-front-office/blob/5d152a169188fb9b210186a7a0d3403d4081ed38/kuminga/data/roster_snapshot_2026_27_v3.csv</x:v>
      </x:c>
      <x:c r="AA163" s="50" t="str">
        <x:v>https://github.com/ballacademy/NBA-head-to-head-/blob/5b1decfc31ffb645469c7ffbd01aaca4b18181bd/data/nba-stats/nba-player-stats-202526-regular-season-per-game.csv</x:v>
      </x:c>
    </x:row>
    <x:row r="164" ht="30" customHeight="1">
      <x:c r="A164" s="47" t="n">
        <x:v>159</x:v>
      </x:c>
      <x:c r="B164" t="str">
        <x:v>Jaylen Wells</x:v>
      </x:c>
      <x:c r="C164" t="str">
        <x:v>MEM</x:v>
      </x:c>
      <x:c r="D164" t="str">
        <x:v>SF</x:v>
      </x:c>
      <x:c r="E164" t="str">
        <x:v>SG/SF</x:v>
      </x:c>
      <x:c r="F164" s="47"/>
      <x:c r="G164" s="22"/>
      <x:c r="H164" s="22" t="n">
        <x:v>19.74</x:v>
      </x:c>
      <x:c r="I164" s="22" t="n">
        <x:v>26.74</x:v>
      </x:c>
      <x:c r="J164" s="22" t="n">
        <x:v>70</x:v>
      </x:c>
      <x:c r="K164" s="22" t="str">
        <x:v>DEEP</x:v>
      </x:c>
      <x:c r="L164" s="22" t="n">
        <x:v>23.24</x:v>
      </x:c>
      <x:c r="M164" s="30" t="n">
        <x:v>1626.8</x:v>
      </x:c>
      <x:c r="N164" t="str">
        <x:v>Available</x:v>
      </x:c>
      <x:c r="O164" s="16" t="str">
        <x:v>Deep-board candidate for a 10-team league; custom-format estimate emphasizes role, efficiency and rebounding. Recheck camp role and app eligibility before draft day.</x:v>
      </x:c>
      <x:c r="P164" s="22" t="n">
        <x:v>23.24</x:v>
      </x:c>
      <x:c r="Q164" s="22"/>
      <x:c r="R164" s="22" t="n">
        <x:v>23.24</x:v>
      </x:c>
      <x:c r="S164" s="22" t="n">
        <x:v>0</x:v>
      </x:c>
      <x:c r="T164" t="str">
        <x:v>https://ca.sports.yahoo.com/news/2026-27-fantasy-basketball-rankings-top-200-players-points-leagues-182942270.html</x:v>
      </x:c>
      <x:c r="U164" s="49" t="str">
        <x:v>DEEP</x:v>
      </x:c>
      <x:c r="V164" s="49" t="str">
        <x:v>MEDIUM</x:v>
      </x:c>
      <x:c r="W164" s="49" t="str">
        <x:v>DEEP_ESTIMATE</x:v>
      </x:c>
      <x:c r="X164" s="49" t="str">
        <x:v>TOP-200 RESEARCH</x:v>
      </x:c>
      <x:c r="Y164" s="49" t="str">
        <x:v>2026-09-28</x:v>
      </x:c>
      <x:c r="Z164" s="50" t="str">
        <x:v>https://www.nba.com/players</x:v>
      </x:c>
      <x:c r="AA164" s="50" t="str">
        <x:v>https://basketball.realgm.com/nba/stats/2026/Averages/All/points/All/desc/1/Regular_Season</x:v>
      </x:c>
    </x:row>
    <x:row r="165" ht="30" customHeight="1">
      <x:c r="A165" s="47" t="n">
        <x:v>160</x:v>
      </x:c>
      <x:c r="B165" t="str">
        <x:v>Wendell Carter Jr.</x:v>
      </x:c>
      <x:c r="C165" t="str">
        <x:v>ORL</x:v>
      </x:c>
      <x:c r="D165" t="str">
        <x:v>C</x:v>
      </x:c>
      <x:c r="E165" t="str">
        <x:v>C</x:v>
      </x:c>
      <x:c r="F165" s="47" t="n">
        <x:v>78</x:v>
      </x:c>
      <x:c r="G165" s="22" t="n">
        <x:v>29.2</x:v>
      </x:c>
      <x:c r="H165" s="22" t="n">
        <x:v>20.950000000000003</x:v>
      </x:c>
      <x:c r="I165" s="22" t="n">
        <x:v>30.15</x:v>
      </x:c>
      <x:c r="J165" s="22" t="n">
        <x:v>60</x:v>
      </x:c>
      <x:c r="K165" s="22" t="str">
        <x:v>DEEP</x:v>
      </x:c>
      <x:c r="L165" s="22" t="n">
        <x:v>25.55</x:v>
      </x:c>
      <x:c r="M165" s="30" t="n">
        <x:v>1533</x:v>
      </x:c>
      <x:c r="N165" t="str">
        <x:v>Available</x:v>
      </x:c>
      <x:c r="O165" s="16" t="str">
        <x:v>Deep-pool model: 2025-26 custom-score production shrunk toward a conservative 2026-27 role estimate; not a published projection.</x:v>
      </x:c>
      <x:c r="P165" s="22"/>
      <x:c r="Q165" s="22"/>
      <x:c r="R165" s="22" t="n">
        <x:v>25.55</x:v>
      </x:c>
      <x:c r="S165" s="22" t="n">
        <x:v>0</x:v>
      </x:c>
      <x:c r="T165" t="str">
        <x:v>https://github.com/plourr03/wolves-front-office/blob/5d152a169188fb9b210186a7a0d3403d4081ed38/kuminga/data/roster_snapshot_2026_27_v3.csv</x:v>
      </x:c>
      <x:c r="U165" s="49" t="str">
        <x:v>DEEP</x:v>
      </x:c>
      <x:c r="V165" s="49" t="str">
        <x:v>HIGH</x:v>
      </x:c>
      <x:c r="W165" s="49" t="str">
        <x:v>MODEL</x:v>
      </x:c>
      <x:c r="X165" s="49" t="str">
        <x:v>STANDARD</x:v>
      </x:c>
      <x:c r="Y165" s="49" t="str">
        <x:v>2026-09-28 master / roster context 2026-09-03+</x:v>
      </x:c>
      <x:c r="Z165" s="50" t="str">
        <x:v>https://github.com/plourr03/wolves-front-office/blob/5d152a169188fb9b210186a7a0d3403d4081ed38/kuminga/data/roster_snapshot_2026_27_v3.csv</x:v>
      </x:c>
      <x:c r="AA165" s="50" t="str">
        <x:v>https://github.com/ballacademy/NBA-head-to-head-/blob/5b1decfc31ffb645469c7ffbd01aaca4b18181bd/data/nba-stats/nba-player-stats-202526-regular-season-per-game.csv</x:v>
      </x:c>
    </x:row>
    <x:row r="166" ht="30" customHeight="1">
      <x:c r="A166" s="47" t="n">
        <x:v>161</x:v>
      </x:c>
      <x:c r="B166" t="str">
        <x:v>Keaton Wagler</x:v>
      </x:c>
      <x:c r="C166" t="str">
        <x:v>LAC</x:v>
      </x:c>
      <x:c r="D166" t="str">
        <x:v>SG</x:v>
      </x:c>
      <x:c r="E166" t="str">
        <x:v>PG/SG</x:v>
      </x:c>
      <x:c r="F166" s="47"/>
      <x:c r="G166" s="22"/>
      <x:c r="H166" s="22" t="n">
        <x:v>21.033044170874966</x:v>
      </x:c>
      <x:c r="I166" s="22" t="n">
        <x:v>30.703044170874968</x:v>
      </x:c>
      <x:c r="J166" s="22" t="n">
        <x:v>74</x:v>
      </x:c>
      <x:c r="K166" s="22" t="str">
        <x:v>VERY_DEEP</x:v>
      </x:c>
      <x:c r="L166" s="22" t="n">
        <x:v>25.868044170874967</x:v>
      </x:c>
      <x:c r="M166" s="30" t="n">
        <x:v>1914.2352686447475</x:v>
      </x:c>
      <x:c r="N166" t="str">
        <x:v>Available</x:v>
      </x:c>
      <x:c r="O166" s="16" t="str">
        <x:v>Rookie/depth role estimate with a wide band and limited NBA evidence. Treat as a watch-list projection, not a published forecast.</x:v>
      </x:c>
      <x:c r="P166" s="22" t="n">
        <x:v>25.868044170874967</x:v>
      </x:c>
      <x:c r="Q166" s="22"/>
      <x:c r="R166" s="22" t="n">
        <x:v>25.868044170874967</x:v>
      </x:c>
      <x:c r="S166" s="22" t="n">
        <x:v>0</x:v>
      </x:c>
      <x:c r="T166" t="str">
        <x:v>https://www.fantasypros.com/nba/projections/overall.php</x:v>
      </x:c>
      <x:c r="U166" s="49" t="str">
        <x:v>DEEP</x:v>
      </x:c>
      <x:c r="V166" s="49" t="str">
        <x:v>HIGH</x:v>
      </x:c>
      <x:c r="W166" s="49" t="str">
        <x:v>DRAFT_DAY_FP</x:v>
      </x:c>
      <x:c r="X166" s="49" t="str">
        <x:v>CAMP/SUMMER</x:v>
      </x:c>
      <x:c r="Y166" s="49" t="str">
        <x:v>2026-10-10</x:v>
      </x:c>
      <x:c r="Z166" s="50" t="str">
        <x:v>https://github.com/A-V29/NBA.Rosters/blob/main/2026.Summer.League.json</x:v>
      </x:c>
      <x:c r="AA166" s="50" t="str">
        <x:v>https://github.com/ballacademy/NBA-head-to-head-/blob/5b1decfc31ffb645469c7ffbd01aaca4b18181bd/data/nba-stats/nba-player-stats-202526-regular-season-per-game.csv</x:v>
      </x:c>
    </x:row>
    <x:row r="167" ht="30" customHeight="1">
      <x:c r="A167" s="47" t="n">
        <x:v>162</x:v>
      </x:c>
      <x:c r="B167" t="str">
        <x:v>Sam Hauser</x:v>
      </x:c>
      <x:c r="C167" t="str">
        <x:v>BOS</x:v>
      </x:c>
      <x:c r="D167" t="str">
        <x:v>SF</x:v>
      </x:c>
      <x:c r="E167" t="str">
        <x:v>SF/PF</x:v>
      </x:c>
      <x:c r="F167" s="47"/>
      <x:c r="G167" s="22"/>
      <x:c r="H167" s="22" t="n">
        <x:v>19.63</x:v>
      </x:c>
      <x:c r="I167" s="22" t="n">
        <x:v>26.63</x:v>
      </x:c>
      <x:c r="J167" s="22" t="n">
        <x:v>70</x:v>
      </x:c>
      <x:c r="K167" s="22" t="str">
        <x:v>DEEP</x:v>
      </x:c>
      <x:c r="L167" s="22" t="n">
        <x:v>23.13</x:v>
      </x:c>
      <x:c r="M167" s="30" t="n">
        <x:v>1619.1</x:v>
      </x:c>
      <x:c r="N167" t="str">
        <x:v>Available</x:v>
      </x:c>
      <x:c r="O167" s="16" t="str">
        <x:v>Deep-board candidate for a 10-team league; custom-format estimate emphasizes role, efficiency and rebounding. Recheck camp role and app eligibility before draft day.</x:v>
      </x:c>
      <x:c r="P167" s="22" t="n">
        <x:v>23.13</x:v>
      </x:c>
      <x:c r="Q167" s="22"/>
      <x:c r="R167" s="22" t="n">
        <x:v>23.13</x:v>
      </x:c>
      <x:c r="S167" s="22" t="n">
        <x:v>0</x:v>
      </x:c>
      <x:c r="T167" t="str">
        <x:v>https://ca.sports.yahoo.com/news/2026-27-fantasy-basketball-rankings-top-200-players-points-leagues-182942270.html</x:v>
      </x:c>
      <x:c r="U167" s="49" t="str">
        <x:v>DEEP</x:v>
      </x:c>
      <x:c r="V167" s="49" t="str">
        <x:v>MEDIUM</x:v>
      </x:c>
      <x:c r="W167" s="49" t="str">
        <x:v>DEEP_ESTIMATE</x:v>
      </x:c>
      <x:c r="X167" s="49" t="str">
        <x:v>TOP-200 RESEARCH</x:v>
      </x:c>
      <x:c r="Y167" s="49" t="str">
        <x:v>2026-09-28</x:v>
      </x:c>
      <x:c r="Z167" s="50" t="str">
        <x:v>https://www.nba.com/players</x:v>
      </x:c>
      <x:c r="AA167" s="50" t="str">
        <x:v>https://basketball.realgm.com/nba/stats/2026/Averages/All/points/All/desc/1/Regular_Season</x:v>
      </x:c>
    </x:row>
    <x:row r="168" ht="30" customHeight="1">
      <x:c r="A168" s="47" t="n">
        <x:v>163</x:v>
      </x:c>
      <x:c r="B168" t="str">
        <x:v>Jeremiah Fears</x:v>
      </x:c>
      <x:c r="C168" t="str">
        <x:v>NOP</x:v>
      </x:c>
      <x:c r="D168" t="str">
        <x:v>PG</x:v>
      </x:c>
      <x:c r="E168" t="str">
        <x:v>PG/SG</x:v>
      </x:c>
      <x:c r="F168" s="47"/>
      <x:c r="G168" s="22"/>
      <x:c r="H168" s="22" t="n">
        <x:v>19.01723329501375</x:v>
      </x:c>
      <x:c r="I168" s="22" t="n">
        <x:v>26.01723329501375</x:v>
      </x:c>
      <x:c r="J168" s="22" t="n">
        <x:v>78</x:v>
      </x:c>
      <x:c r="K168" s="22" t="str">
        <x:v>DEEP</x:v>
      </x:c>
      <x:c r="L168" s="22" t="n">
        <x:v>22.51723329501375</x:v>
      </x:c>
      <x:c r="M168" s="30" t="n">
        <x:v>1756.3441970110725</x:v>
      </x:c>
      <x:c r="N168" t="str">
        <x:v>Available</x:v>
      </x:c>
      <x:c r="O168" s="16" t="str">
        <x:v>Deep-board candidate for a 10-team league; custom-format estimate emphasizes role, efficiency and rebounding. Recheck camp role and app eligibility before draft day.</x:v>
      </x:c>
      <x:c r="P168" s="22" t="n">
        <x:v>22.51723329501375</x:v>
      </x:c>
      <x:c r="Q168" s="22"/>
      <x:c r="R168" s="22" t="n">
        <x:v>22.51723329501375</x:v>
      </x:c>
      <x:c r="S168" s="22" t="n">
        <x:v>0</x:v>
      </x:c>
      <x:c r="T168" t="str">
        <x:v>https://www.fantasypros.com/nba/projections/overall.php</x:v>
      </x:c>
      <x:c r="U168" s="49" t="str">
        <x:v>DEEP</x:v>
      </x:c>
      <x:c r="V168" s="49" t="str">
        <x:v>HIGH</x:v>
      </x:c>
      <x:c r="W168" s="49" t="str">
        <x:v>DRAFT_DAY_FP</x:v>
      </x:c>
      <x:c r="X168" s="49" t="str">
        <x:v>TOP-200 RESEARCH</x:v>
      </x:c>
      <x:c r="Y168" s="49" t="str">
        <x:v>2026-10-10</x:v>
      </x:c>
      <x:c r="Z168" s="50" t="str">
        <x:v>https://www.nba.com/players</x:v>
      </x:c>
      <x:c r="AA168" s="50" t="str">
        <x:v>https://basketball.realgm.com/nba/stats/2026/Averages/All/points/All/desc/1/Regular_Season</x:v>
      </x:c>
    </x:row>
    <x:row r="169" ht="30" customHeight="1">
      <x:c r="A169" s="47" t="n">
        <x:v>164</x:v>
      </x:c>
      <x:c r="B169" t="str">
        <x:v>Kevin Huerter</x:v>
      </x:c>
      <x:c r="C169" t="str">
        <x:v>CHI</x:v>
      </x:c>
      <x:c r="D169" t="str">
        <x:v>SG</x:v>
      </x:c>
      <x:c r="E169" t="str">
        <x:v>SG/SF</x:v>
      </x:c>
      <x:c r="F169" s="47"/>
      <x:c r="G169" s="22"/>
      <x:c r="H169" s="22" t="n">
        <x:v>19.51</x:v>
      </x:c>
      <x:c r="I169" s="22" t="n">
        <x:v>26.51</x:v>
      </x:c>
      <x:c r="J169" s="22" t="n">
        <x:v>70</x:v>
      </x:c>
      <x:c r="K169" s="22" t="str">
        <x:v>DEEP</x:v>
      </x:c>
      <x:c r="L169" s="22" t="n">
        <x:v>23.01</x:v>
      </x:c>
      <x:c r="M169" s="30" t="n">
        <x:v>1610.7</x:v>
      </x:c>
      <x:c r="N169" t="str">
        <x:v>Available</x:v>
      </x:c>
      <x:c r="O169" s="16" t="str">
        <x:v>Deep-board candidate for a 10-team league; custom-format estimate emphasizes role, efficiency and rebounding. Recheck camp role and app eligibility before draft day.</x:v>
      </x:c>
      <x:c r="P169" s="22" t="n">
        <x:v>23.01</x:v>
      </x:c>
      <x:c r="Q169" s="22"/>
      <x:c r="R169" s="22" t="n">
        <x:v>23.01</x:v>
      </x:c>
      <x:c r="S169" s="22" t="n">
        <x:v>0</x:v>
      </x:c>
      <x:c r="T169" t="str">
        <x:v>https://ca.sports.yahoo.com/news/2026-27-fantasy-basketball-rankings-top-200-players-points-leagues-182942270.html</x:v>
      </x:c>
      <x:c r="U169" s="49" t="str">
        <x:v>DEEP</x:v>
      </x:c>
      <x:c r="V169" s="49" t="str">
        <x:v>MEDIUM</x:v>
      </x:c>
      <x:c r="W169" s="49" t="str">
        <x:v>DEEP_ESTIMATE</x:v>
      </x:c>
      <x:c r="X169" s="49" t="str">
        <x:v>TOP-200 RESEARCH</x:v>
      </x:c>
      <x:c r="Y169" s="49" t="str">
        <x:v>2026-09-28</x:v>
      </x:c>
      <x:c r="Z169" s="50" t="str">
        <x:v>https://www.nba.com/players</x:v>
      </x:c>
      <x:c r="AA169" s="50" t="str">
        <x:v>https://basketball.realgm.com/nba/stats/2026/Averages/All/points/All/desc/1/Regular_Season</x:v>
      </x:c>
    </x:row>
    <x:row r="170" ht="30" customHeight="1">
      <x:c r="A170" s="47" t="n">
        <x:v>165</x:v>
      </x:c>
      <x:c r="B170" t="str">
        <x:v>De'Andre Hunter</x:v>
      </x:c>
      <x:c r="C170" t="str">
        <x:v>SAC</x:v>
      </x:c>
      <x:c r="D170" t="str">
        <x:v>SF</x:v>
      </x:c>
      <x:c r="E170" t="str">
        <x:v>SF/PF</x:v>
      </x:c>
      <x:c r="F170" s="47"/>
      <x:c r="G170" s="22"/>
      <x:c r="H170" s="22" t="n">
        <x:v>19.63474139710055</x:v>
      </x:c>
      <x:c r="I170" s="22" t="n">
        <x:v>30.63474139710055</x:v>
      </x:c>
      <x:c r="J170" s="22" t="n">
        <x:v>68</x:v>
      </x:c>
      <x:c r="K170" s="22" t="str">
        <x:v>MEDIUM</x:v>
      </x:c>
      <x:c r="L170" s="22" t="n">
        <x:v>25.13474139710055</x:v>
      </x:c>
      <x:c r="M170" s="30" t="n">
        <x:v>1709.1624150028374</x:v>
      </x:c>
      <x:c r="N170" t="str">
        <x:v>Available</x:v>
      </x:c>
      <x:c r="O170" s="16" t="str">
        <x:v>Current public projection feed flags him OUT. Apply a modest short-term availability discount until status clears.</x:v>
      </x:c>
      <x:c r="P170" s="22" t="n">
        <x:v>25.13474139710055</x:v>
      </x:c>
      <x:c r="Q170" s="22"/>
      <x:c r="R170" s="22" t="n">
        <x:v>25.13474139710055</x:v>
      </x:c>
      <x:c r="S170" s="22" t="n">
        <x:v>0</x:v>
      </x:c>
      <x:c r="T170" t="str">
        <x:v>https://www.fantasypros.com/nba/projections/overall.php</x:v>
      </x:c>
      <x:c r="U170" s="49" t="str">
        <x:v>DEEP</x:v>
      </x:c>
      <x:c r="V170" s="49" t="str">
        <x:v>HIGH</x:v>
      </x:c>
      <x:c r="W170" s="49" t="str">
        <x:v>DRAFT_DAY_FP</x:v>
      </x:c>
      <x:c r="X170" s="49" t="str">
        <x:v>TOP-200 RESEARCH</x:v>
      </x:c>
      <x:c r="Y170" s="49" t="str">
        <x:v>2026-10-10</x:v>
      </x:c>
      <x:c r="Z170" s="50" t="str">
        <x:v>https://www.nba.com/players</x:v>
      </x:c>
      <x:c r="AA170" s="50" t="str">
        <x:v>https://basketball.realgm.com/nba/stats/2026/Averages/All/points/All/desc/1/Regular_Season</x:v>
      </x:c>
    </x:row>
    <x:row r="171" ht="30" customHeight="1">
      <x:c r="A171" s="47" t="n">
        <x:v>166</x:v>
      </x:c>
      <x:c r="B171" t="str">
        <x:v>Jimmy Butler</x:v>
      </x:c>
      <x:c r="C171" t="str">
        <x:v>GSW</x:v>
      </x:c>
      <x:c r="D171" t="str">
        <x:v>SF</x:v>
      </x:c>
      <x:c r="E171" t="str">
        <x:v>PF/SF/SG</x:v>
      </x:c>
      <x:c r="F171" s="47" t="n">
        <x:v>38</x:v>
      </x:c>
      <x:c r="G171" s="22" t="n">
        <x:v>44.05</x:v>
      </x:c>
      <x:c r="H171" s="22" t="n">
        <x:v>33.66696742146069</x:v>
      </x:c>
      <x:c r="I171" s="22" t="n">
        <x:v>49.66696742146069</x:v>
      </x:c>
      <x:c r="J171" s="22" t="n">
        <x:v>28</x:v>
      </x:c>
      <x:c r="K171" s="22" t="str">
        <x:v>HIGH</x:v>
      </x:c>
      <x:c r="L171" s="22" t="n">
        <x:v>41.66696742146069</x:v>
      </x:c>
      <x:c r="M171" s="30" t="n">
        <x:v>1166.6750878008993</x:v>
      </x:c>
      <x:c r="N171" t="str">
        <x:v>Available</x:v>
      </x:c>
      <x:c r="O171" s="16" t="str">
        <x:v>ACL rehab; current reporting points to a January-February return window. IR stash only at a deep discount.</x:v>
      </x:c>
      <x:c r="P171" s="22" t="n">
        <x:v>41.66696742146069</x:v>
      </x:c>
      <x:c r="Q171" s="22"/>
      <x:c r="R171" s="22" t="n">
        <x:v>41.66696742146069</x:v>
      </x:c>
      <x:c r="S171" s="22" t="n">
        <x:v>0</x:v>
      </x:c>
      <x:c r="T171" t="str">
        <x:v>https://www.nba.com/news/2026-27-season-preview-gsw</x:v>
      </x:c>
      <x:c r="U171" s="49" t="str">
        <x:v>CORE</x:v>
      </x:c>
      <x:c r="V171" s="49" t="str">
        <x:v>HIGH</x:v>
      </x:c>
      <x:c r="W171" s="49" t="str">
        <x:v>DRAFT_DAY_FP</x:v>
      </x:c>
      <x:c r="X171" s="49" t="str">
        <x:v>TOP-200 RESEARCH</x:v>
      </x:c>
      <x:c r="Y171" s="49" t="str">
        <x:v>2026-10-10</x:v>
      </x:c>
      <x:c r="Z171" s="50" t="str">
        <x:v>https://www.nba.com/players</x:v>
      </x:c>
      <x:c r="AA171" s="50" t="str">
        <x:v>https://basketball.realgm.com/nba/stats/2026/Averages/All/points/All/desc/1/Regular_Season</x:v>
      </x:c>
    </x:row>
    <x:row r="172" ht="30" customHeight="1">
      <x:c r="A172" s="47" t="n">
        <x:v>167</x:v>
      </x:c>
      <x:c r="B172" t="str">
        <x:v>Moussa Diabate</x:v>
      </x:c>
      <x:c r="C172" t="str">
        <x:v>CHA</x:v>
      </x:c>
      <x:c r="D172" t="str">
        <x:v>PF</x:v>
      </x:c>
      <x:c r="E172" t="str">
        <x:v>PF</x:v>
      </x:c>
      <x:c r="F172" s="47" t="n">
        <x:v>73</x:v>
      </x:c>
      <x:c r="G172" s="22" t="n">
        <x:v>29.95</x:v>
      </x:c>
      <x:c r="H172" s="22" t="n">
        <x:v>20.525</x:v>
      </x:c>
      <x:c r="I172" s="22" t="n">
        <x:v>29.535000000000004</x:v>
      </x:c>
      <x:c r="J172" s="22" t="n">
        <x:v>60</x:v>
      </x:c>
      <x:c r="K172" s="22" t="str">
        <x:v>DEEP</x:v>
      </x:c>
      <x:c r="L172" s="22" t="n">
        <x:v>25.03</x:v>
      </x:c>
      <x:c r="M172" s="30" t="n">
        <x:v>1501.8000000000002</x:v>
      </x:c>
      <x:c r="N172" t="str">
        <x:v>Available</x:v>
      </x:c>
      <x:c r="O172" s="16" t="str">
        <x:v>Deep-pool model: 2025-26 custom-score production shrunk toward a conservative 2026-27 role estimate; not a published projection.</x:v>
      </x:c>
      <x:c r="P172" s="22"/>
      <x:c r="Q172" s="22"/>
      <x:c r="R172" s="22" t="n">
        <x:v>25.03</x:v>
      </x:c>
      <x:c r="S172" s="22" t="n">
        <x:v>0</x:v>
      </x:c>
      <x:c r="T172" t="str">
        <x:v>https://github.com/plourr03/wolves-front-office/blob/5d152a169188fb9b210186a7a0d3403d4081ed38/kuminga/data/roster_snapshot_2026_27_v3.csv</x:v>
      </x:c>
      <x:c r="U172" s="49" t="str">
        <x:v>DEEP</x:v>
      </x:c>
      <x:c r="V172" s="49" t="str">
        <x:v>HIGH</x:v>
      </x:c>
      <x:c r="W172" s="49" t="str">
        <x:v>MODEL</x:v>
      </x:c>
      <x:c r="X172" s="49" t="str">
        <x:v>STANDARD</x:v>
      </x:c>
      <x:c r="Y172" s="49" t="str">
        <x:v>2026-09-28 master / roster context 2026-09-03+</x:v>
      </x:c>
      <x:c r="Z172" s="50" t="str">
        <x:v>https://github.com/plourr03/wolves-front-office/blob/5d152a169188fb9b210186a7a0d3403d4081ed38/kuminga/data/roster_snapshot_2026_27_v3.csv</x:v>
      </x:c>
      <x:c r="AA172" s="50" t="str">
        <x:v>https://github.com/ballacademy/NBA-head-to-head-/blob/5b1decfc31ffb645469c7ffbd01aaca4b18181bd/data/nba-stats/nba-player-stats-202526-regular-season-per-game.csv</x:v>
      </x:c>
    </x:row>
    <x:row r="173" ht="30" customHeight="1">
      <x:c r="A173" s="47" t="n">
        <x:v>168</x:v>
      </x:c>
      <x:c r="B173" t="str">
        <x:v>Buddy Hield</x:v>
      </x:c>
      <x:c r="C173" t="str">
        <x:v>GSW</x:v>
      </x:c>
      <x:c r="D173" t="str">
        <x:v>SG</x:v>
      </x:c>
      <x:c r="E173" t="str">
        <x:v>SG/SF</x:v>
      </x:c>
      <x:c r="F173" s="47"/>
      <x:c r="G173" s="22"/>
      <x:c r="H173" s="22" t="n">
        <x:v>19.4</x:v>
      </x:c>
      <x:c r="I173" s="22" t="n">
        <x:v>26.4</x:v>
      </x:c>
      <x:c r="J173" s="22" t="n">
        <x:v>70</x:v>
      </x:c>
      <x:c r="K173" s="22" t="str">
        <x:v>DEEP</x:v>
      </x:c>
      <x:c r="L173" s="22" t="n">
        <x:v>22.9</x:v>
      </x:c>
      <x:c r="M173" s="30" t="n">
        <x:v>1603</x:v>
      </x:c>
      <x:c r="N173" t="str">
        <x:v>Available</x:v>
      </x:c>
      <x:c r="O173" s="16" t="str">
        <x:v>Deep-board candidate for a 10-team league; custom-format estimate emphasizes role, efficiency and rebounding. Recheck camp role and app eligibility before draft day.</x:v>
      </x:c>
      <x:c r="P173" s="22" t="n">
        <x:v>22.9</x:v>
      </x:c>
      <x:c r="Q173" s="22"/>
      <x:c r="R173" s="22" t="n">
        <x:v>22.9</x:v>
      </x:c>
      <x:c r="S173" s="22" t="n">
        <x:v>0</x:v>
      </x:c>
      <x:c r="T173" t="str">
        <x:v>https://ca.sports.yahoo.com/news/2026-27-fantasy-basketball-rankings-top-200-players-points-leagues-182942270.html</x:v>
      </x:c>
      <x:c r="U173" s="49" t="str">
        <x:v>DEEP</x:v>
      </x:c>
      <x:c r="V173" s="49" t="str">
        <x:v>MEDIUM</x:v>
      </x:c>
      <x:c r="W173" s="49" t="str">
        <x:v>DEEP_ESTIMATE</x:v>
      </x:c>
      <x:c r="X173" s="49" t="str">
        <x:v>TOP-200 RESEARCH</x:v>
      </x:c>
      <x:c r="Y173" s="49" t="str">
        <x:v>2026-09-28</x:v>
      </x:c>
      <x:c r="Z173" s="50" t="str">
        <x:v>https://www.nba.com/players</x:v>
      </x:c>
      <x:c r="AA173" s="50" t="str">
        <x:v>https://basketball.realgm.com/nba/stats/2026/Averages/All/points/All/desc/1/Regular_Season</x:v>
      </x:c>
    </x:row>
    <x:row r="174" ht="30" customHeight="1">
      <x:c r="A174" s="47" t="n">
        <x:v>169</x:v>
      </x:c>
      <x:c r="B174" t="str">
        <x:v>Kelly Oubre Jr.</x:v>
      </x:c>
      <x:c r="C174" t="str">
        <x:v>IND</x:v>
      </x:c>
      <x:c r="D174" t="str">
        <x:v>SF</x:v>
      </x:c>
      <x:c r="E174" t="str">
        <x:v>PF/SF/SG</x:v>
      </x:c>
      <x:c r="F174" s="47"/>
      <x:c r="G174" s="22"/>
      <x:c r="H174" s="22" t="n">
        <x:v>19.46902301784475</x:v>
      </x:c>
      <x:c r="I174" s="22" t="n">
        <x:v>26.46902301784475</x:v>
      </x:c>
      <x:c r="J174" s="22" t="n">
        <x:v>73</x:v>
      </x:c>
      <x:c r="K174" s="22" t="str">
        <x:v>DEEP</x:v>
      </x:c>
      <x:c r="L174" s="22" t="n">
        <x:v>22.96902301784475</x:v>
      </x:c>
      <x:c r="M174" s="30" t="n">
        <x:v>1676.7386803026668</x:v>
      </x:c>
      <x:c r="N174" t="str">
        <x:v>Available</x:v>
      </x:c>
      <x:c r="O174" s="16" t="str">
        <x:v>Deep-board candidate for a 10-team league; custom-format estimate emphasizes role, efficiency and rebounding. Recheck camp role and app eligibility before draft day.</x:v>
      </x:c>
      <x:c r="P174" s="22" t="n">
        <x:v>22.96902301784475</x:v>
      </x:c>
      <x:c r="Q174" s="22"/>
      <x:c r="R174" s="22" t="n">
        <x:v>22.96902301784475</x:v>
      </x:c>
      <x:c r="S174" s="22" t="n">
        <x:v>0</x:v>
      </x:c>
      <x:c r="T174" t="str">
        <x:v>https://www.fantasypros.com/nba/projections/overall.php</x:v>
      </x:c>
      <x:c r="U174" s="49" t="str">
        <x:v>DEEP</x:v>
      </x:c>
      <x:c r="V174" s="49" t="str">
        <x:v>HIGH</x:v>
      </x:c>
      <x:c r="W174" s="49" t="str">
        <x:v>DRAFT_DAY_FP</x:v>
      </x:c>
      <x:c r="X174" s="49" t="str">
        <x:v>TOP-200 RESEARCH</x:v>
      </x:c>
      <x:c r="Y174" s="49" t="str">
        <x:v>2026-10-10</x:v>
      </x:c>
      <x:c r="Z174" s="50" t="str">
        <x:v>https://www.nba.com/players</x:v>
      </x:c>
      <x:c r="AA174" s="50" t="str">
        <x:v>https://basketball.realgm.com/nba/stats/2026/Averages/All/points/All/desc/1/Regular_Season</x:v>
      </x:c>
    </x:row>
    <x:row r="175" ht="30" customHeight="1">
      <x:c r="A175" s="47" t="n">
        <x:v>170</x:v>
      </x:c>
      <x:c r="B175" t="str">
        <x:v>Naji Marshall</x:v>
      </x:c>
      <x:c r="C175" t="str">
        <x:v>DAL</x:v>
      </x:c>
      <x:c r="D175" t="str">
        <x:v>SF</x:v>
      </x:c>
      <x:c r="E175" t="str">
        <x:v>SF</x:v>
      </x:c>
      <x:c r="F175" s="47" t="n">
        <x:v>74</x:v>
      </x:c>
      <x:c r="G175" s="22" t="n">
        <x:v>29</x:v>
      </x:c>
      <x:c r="H175" s="22" t="n">
        <x:v>20.515</x:v>
      </x:c>
      <x:c r="I175" s="22" t="n">
        <x:v>29.525</x:v>
      </x:c>
      <x:c r="J175" s="22" t="n">
        <x:v>60</x:v>
      </x:c>
      <x:c r="K175" s="22" t="str">
        <x:v>DEEP</x:v>
      </x:c>
      <x:c r="L175" s="22" t="n">
        <x:v>25.02</x:v>
      </x:c>
      <x:c r="M175" s="30" t="n">
        <x:v>1501.2</x:v>
      </x:c>
      <x:c r="N175" t="str">
        <x:v>Available</x:v>
      </x:c>
      <x:c r="O175" s="16" t="str">
        <x:v>Deep-pool model: 2025-26 custom-score production shrunk toward a conservative 2026-27 role estimate; not a published projection.</x:v>
      </x:c>
      <x:c r="P175" s="22"/>
      <x:c r="Q175" s="22"/>
      <x:c r="R175" s="22" t="n">
        <x:v>25.02</x:v>
      </x:c>
      <x:c r="S175" s="22" t="n">
        <x:v>0</x:v>
      </x:c>
      <x:c r="T175" t="str">
        <x:v>https://github.com/plourr03/wolves-front-office/blob/5d152a169188fb9b210186a7a0d3403d4081ed38/kuminga/data/roster_snapshot_2026_27_v3.csv</x:v>
      </x:c>
      <x:c r="U175" s="49" t="str">
        <x:v>DEEP</x:v>
      </x:c>
      <x:c r="V175" s="49" t="str">
        <x:v>HIGH</x:v>
      </x:c>
      <x:c r="W175" s="49" t="str">
        <x:v>MODEL</x:v>
      </x:c>
      <x:c r="X175" s="49" t="str">
        <x:v>STANDARD</x:v>
      </x:c>
      <x:c r="Y175" s="49" t="str">
        <x:v>2026-09-28 master / roster context 2026-09-03+</x:v>
      </x:c>
      <x:c r="Z175" s="50" t="str">
        <x:v>https://github.com/plourr03/wolves-front-office/blob/5d152a169188fb9b210186a7a0d3403d4081ed38/kuminga/data/roster_snapshot_2026_27_v3.csv</x:v>
      </x:c>
      <x:c r="AA175" s="50" t="str">
        <x:v>https://github.com/ballacademy/NBA-head-to-head-/blob/5b1decfc31ffb645469c7ffbd01aaca4b18181bd/data/nba-stats/nba-player-stats-202526-regular-season-per-game.csv</x:v>
      </x:c>
    </x:row>
    <x:row r="176" ht="30" customHeight="1">
      <x:c r="A176" s="47" t="n">
        <x:v>171</x:v>
      </x:c>
      <x:c r="B176" t="str">
        <x:v>Malik Monk</x:v>
      </x:c>
      <x:c r="C176" t="str">
        <x:v>SAC</x:v>
      </x:c>
      <x:c r="D176" t="str">
        <x:v>SG</x:v>
      </x:c>
      <x:c r="E176" t="str">
        <x:v>PG/SG</x:v>
      </x:c>
      <x:c r="F176" s="47"/>
      <x:c r="G176" s="22"/>
      <x:c r="H176" s="22" t="n">
        <x:v>19.297999649004595</x:v>
      </x:c>
      <x:c r="I176" s="22" t="n">
        <x:v>26.297999649004595</x:v>
      </x:c>
      <x:c r="J176" s="22" t="n">
        <x:v>73</x:v>
      </x:c>
      <x:c r="K176" s="22" t="str">
        <x:v>DEEP</x:v>
      </x:c>
      <x:c r="L176" s="22" t="n">
        <x:v>22.797999649004595</x:v>
      </x:c>
      <x:c r="M176" s="30" t="n">
        <x:v>1664.2539743773355</x:v>
      </x:c>
      <x:c r="N176" t="str">
        <x:v>Available</x:v>
      </x:c>
      <x:c r="O176" s="16" t="str">
        <x:v>Deep-board candidate for a 10-team league; custom-format estimate emphasizes role, efficiency and rebounding. Recheck camp role and app eligibility before draft day.</x:v>
      </x:c>
      <x:c r="P176" s="22" t="n">
        <x:v>22.797999649004595</x:v>
      </x:c>
      <x:c r="Q176" s="22"/>
      <x:c r="R176" s="22" t="n">
        <x:v>22.797999649004595</x:v>
      </x:c>
      <x:c r="S176" s="22" t="n">
        <x:v>0</x:v>
      </x:c>
      <x:c r="T176" t="str">
        <x:v>https://www.fantasypros.com/nba/projections/overall.php</x:v>
      </x:c>
      <x:c r="U176" s="49" t="str">
        <x:v>DEEP</x:v>
      </x:c>
      <x:c r="V176" s="49" t="str">
        <x:v>HIGH</x:v>
      </x:c>
      <x:c r="W176" s="49" t="str">
        <x:v>DRAFT_DAY_FP</x:v>
      </x:c>
      <x:c r="X176" s="49" t="str">
        <x:v>TOP-200 RESEARCH</x:v>
      </x:c>
      <x:c r="Y176" s="49" t="str">
        <x:v>2026-10-10</x:v>
      </x:c>
      <x:c r="Z176" s="50" t="str">
        <x:v>https://www.nba.com/players</x:v>
      </x:c>
      <x:c r="AA176" s="50" t="str">
        <x:v>https://basketball.realgm.com/nba/stats/2026/Averages/All/points/All/desc/1/Regular_Season</x:v>
      </x:c>
    </x:row>
    <x:row r="177" ht="30" customHeight="1">
      <x:c r="A177" s="47" t="n">
        <x:v>172</x:v>
      </x:c>
      <x:c r="B177" t="str">
        <x:v>Harrison Barnes</x:v>
      </x:c>
      <x:c r="C177" t="str">
        <x:v>SAS</x:v>
      </x:c>
      <x:c r="D177" t="str">
        <x:v>SF</x:v>
      </x:c>
      <x:c r="E177" t="str">
        <x:v>SF/PF</x:v>
      </x:c>
      <x:c r="F177" s="47"/>
      <x:c r="G177" s="22"/>
      <x:c r="H177" s="22" t="n">
        <x:v>19.28</x:v>
      </x:c>
      <x:c r="I177" s="22" t="n">
        <x:v>26.28</x:v>
      </x:c>
      <x:c r="J177" s="22" t="n">
        <x:v>70</x:v>
      </x:c>
      <x:c r="K177" s="22" t="str">
        <x:v>DEEP</x:v>
      </x:c>
      <x:c r="L177" s="22" t="n">
        <x:v>22.78</x:v>
      </x:c>
      <x:c r="M177" s="30" t="n">
        <x:v>1594.6000000000001</x:v>
      </x:c>
      <x:c r="N177" t="str">
        <x:v>Available</x:v>
      </x:c>
      <x:c r="O177" s="16" t="str">
        <x:v>Deep-board candidate for a 10-team league; custom-format estimate emphasizes role, efficiency and rebounding. Recheck camp role and app eligibility before draft day.</x:v>
      </x:c>
      <x:c r="P177" s="22" t="n">
        <x:v>22.78</x:v>
      </x:c>
      <x:c r="Q177" s="22"/>
      <x:c r="R177" s="22" t="n">
        <x:v>22.78</x:v>
      </x:c>
      <x:c r="S177" s="22" t="n">
        <x:v>0</x:v>
      </x:c>
      <x:c r="T177" t="str">
        <x:v>https://ca.sports.yahoo.com/news/2026-27-fantasy-basketball-rankings-top-200-players-points-leagues-182942270.html</x:v>
      </x:c>
      <x:c r="U177" s="49" t="str">
        <x:v>DEEP</x:v>
      </x:c>
      <x:c r="V177" s="49" t="str">
        <x:v>MEDIUM</x:v>
      </x:c>
      <x:c r="W177" s="49" t="str">
        <x:v>DEEP_ESTIMATE</x:v>
      </x:c>
      <x:c r="X177" s="49" t="str">
        <x:v>TOP-200 RESEARCH</x:v>
      </x:c>
      <x:c r="Y177" s="49" t="str">
        <x:v>2026-09-28</x:v>
      </x:c>
      <x:c r="Z177" s="50" t="str">
        <x:v>https://www.nba.com/players</x:v>
      </x:c>
      <x:c r="AA177" s="50" t="str">
        <x:v>https://basketball.realgm.com/nba/stats/2026/Averages/All/points/All/desc/1/Regular_Season</x:v>
      </x:c>
    </x:row>
    <x:row r="178" ht="30" customHeight="1">
      <x:c r="A178" s="47" t="n">
        <x:v>173</x:v>
      </x:c>
      <x:c r="B178" t="str">
        <x:v>Duncan Robinson</x:v>
      </x:c>
      <x:c r="C178" t="str">
        <x:v>DET</x:v>
      </x:c>
      <x:c r="D178" t="str">
        <x:v>SG</x:v>
      </x:c>
      <x:c r="E178" t="str">
        <x:v>SG/SF</x:v>
      </x:c>
      <x:c r="F178" s="47"/>
      <x:c r="G178" s="22"/>
      <x:c r="H178" s="22" t="n">
        <x:v>18.520846104903214</x:v>
      </x:c>
      <x:c r="I178" s="22" t="n">
        <x:v>25.520846104903214</x:v>
      </x:c>
      <x:c r="J178" s="22" t="n">
        <x:v>77</x:v>
      </x:c>
      <x:c r="K178" s="22" t="str">
        <x:v>DEEP</x:v>
      </x:c>
      <x:c r="L178" s="22" t="n">
        <x:v>22.020846104903214</x:v>
      </x:c>
      <x:c r="M178" s="30" t="n">
        <x:v>1695.6051500775475</x:v>
      </x:c>
      <x:c r="N178" t="str">
        <x:v>Available</x:v>
      </x:c>
      <x:c r="O178" s="16" t="str">
        <x:v>Deep-board candidate for a 10-team league; custom-format estimate emphasizes role, efficiency and rebounding. Recheck camp role and app eligibility before draft day.</x:v>
      </x:c>
      <x:c r="P178" s="22" t="n">
        <x:v>22.020846104903214</x:v>
      </x:c>
      <x:c r="Q178" s="22"/>
      <x:c r="R178" s="22" t="n">
        <x:v>22.020846104903214</x:v>
      </x:c>
      <x:c r="S178" s="22" t="n">
        <x:v>0</x:v>
      </x:c>
      <x:c r="T178" t="str">
        <x:v>https://www.fantasypros.com/nba/projections/overall.php</x:v>
      </x:c>
      <x:c r="U178" s="49" t="str">
        <x:v>DEEP</x:v>
      </x:c>
      <x:c r="V178" s="49" t="str">
        <x:v>HIGH</x:v>
      </x:c>
      <x:c r="W178" s="49" t="str">
        <x:v>DRAFT_DAY_FP</x:v>
      </x:c>
      <x:c r="X178" s="49" t="str">
        <x:v>TOP-200 RESEARCH</x:v>
      </x:c>
      <x:c r="Y178" s="49" t="str">
        <x:v>2026-10-10</x:v>
      </x:c>
      <x:c r="Z178" s="50" t="str">
        <x:v>https://www.nba.com/players</x:v>
      </x:c>
      <x:c r="AA178" s="50" t="str">
        <x:v>https://basketball.realgm.com/nba/stats/2026/Averages/All/points/All/desc/1/Regular_Season</x:v>
      </x:c>
    </x:row>
    <x:row r="179" ht="30" customHeight="1">
      <x:c r="A179" s="47" t="n">
        <x:v>174</x:v>
      </x:c>
      <x:c r="B179" t="str">
        <x:v>Maxime Raynaud</x:v>
      </x:c>
      <x:c r="C179" t="str">
        <x:v>SAC</x:v>
      </x:c>
      <x:c r="D179" t="str">
        <x:v>C</x:v>
      </x:c>
      <x:c r="E179" t="str">
        <x:v>C</x:v>
      </x:c>
      <x:c r="F179" s="47" t="n">
        <x:v>74</x:v>
      </x:c>
      <x:c r="G179" s="22" t="n">
        <x:v>27.95</x:v>
      </x:c>
      <x:c r="H179" s="22" t="n">
        <x:v>19.784999999999997</x:v>
      </x:c>
      <x:c r="I179" s="22" t="n">
        <x:v>28.475</x:v>
      </x:c>
      <x:c r="J179" s="22" t="n">
        <x:v>64</x:v>
      </x:c>
      <x:c r="K179" s="22" t="str">
        <x:v>DEEP</x:v>
      </x:c>
      <x:c r="L179" s="22" t="n">
        <x:v>24.13</x:v>
      </x:c>
      <x:c r="M179" s="30" t="n">
        <x:v>1544.32</x:v>
      </x:c>
      <x:c r="N179" t="str">
        <x:v>Available</x:v>
      </x:c>
      <x:c r="O179" s="16" t="str">
        <x:v>Deep-pool model: 2025-26 custom-score production shrunk toward a conservative 2026-27 role estimate; not a published projection.</x:v>
      </x:c>
      <x:c r="P179" s="22"/>
      <x:c r="Q179" s="22"/>
      <x:c r="R179" s="22" t="n">
        <x:v>24.13</x:v>
      </x:c>
      <x:c r="S179" s="22" t="n">
        <x:v>0</x:v>
      </x:c>
      <x:c r="T179" t="str">
        <x:v>https://github.com/A-V29/NBA.Rosters/blob/main/2026.Summer.League.json</x:v>
      </x:c>
      <x:c r="U179" s="49" t="str">
        <x:v>DEEP</x:v>
      </x:c>
      <x:c r="V179" s="49" t="str">
        <x:v>HIGH</x:v>
      </x:c>
      <x:c r="W179" s="49" t="str">
        <x:v>MODEL</x:v>
      </x:c>
      <x:c r="X179" s="49" t="str">
        <x:v>CAMP/SUMMER</x:v>
      </x:c>
      <x:c r="Y179" s="49" t="str">
        <x:v>2026-09-28 master / roster context 2026-09-03+</x:v>
      </x:c>
      <x:c r="Z179" s="50" t="str">
        <x:v>https://github.com/A-V29/NBA.Rosters/blob/main/2026.Summer.League.json</x:v>
      </x:c>
      <x:c r="AA179" s="50" t="str">
        <x:v>https://github.com/ballacademy/NBA-head-to-head-/blob/5b1decfc31ffb645469c7ffbd01aaca4b18181bd/data/nba-stats/nba-player-stats-202526-regular-season-per-game.csv</x:v>
      </x:c>
    </x:row>
    <x:row r="180" ht="30" customHeight="1">
      <x:c r="A180" s="47" t="n">
        <x:v>175</x:v>
      </x:c>
      <x:c r="B180" t="str">
        <x:v>Bilal Coulibaly</x:v>
      </x:c>
      <x:c r="C180" t="str">
        <x:v>WAS</x:v>
      </x:c>
      <x:c r="D180" t="str">
        <x:v>SF</x:v>
      </x:c>
      <x:c r="E180" t="str">
        <x:v>SG/SF</x:v>
      </x:c>
      <x:c r="F180" s="47"/>
      <x:c r="G180" s="22"/>
      <x:c r="H180" s="22" t="n">
        <x:v>18.94</x:v>
      </x:c>
      <x:c r="I180" s="22" t="n">
        <x:v>25.94</x:v>
      </x:c>
      <x:c r="J180" s="22" t="n">
        <x:v>70</x:v>
      </x:c>
      <x:c r="K180" s="22" t="str">
        <x:v>DEEP</x:v>
      </x:c>
      <x:c r="L180" s="22" t="n">
        <x:v>22.44</x:v>
      </x:c>
      <x:c r="M180" s="30" t="n">
        <x:v>1570.8000000000002</x:v>
      </x:c>
      <x:c r="N180" t="str">
        <x:v>Available</x:v>
      </x:c>
      <x:c r="O180" s="16" t="str">
        <x:v>Deep-board candidate for a 10-team league; custom-format estimate emphasizes role, efficiency and rebounding. Recheck camp role and app eligibility before draft day.</x:v>
      </x:c>
      <x:c r="P180" s="22" t="n">
        <x:v>22.44</x:v>
      </x:c>
      <x:c r="Q180" s="22"/>
      <x:c r="R180" s="22" t="n">
        <x:v>22.44</x:v>
      </x:c>
      <x:c r="S180" s="22" t="n">
        <x:v>0</x:v>
      </x:c>
      <x:c r="T180" t="str">
        <x:v>https://ca.sports.yahoo.com/news/2026-27-fantasy-basketball-rankings-top-200-players-points-leagues-182942270.html</x:v>
      </x:c>
      <x:c r="U180" s="49" t="str">
        <x:v>DEEP</x:v>
      </x:c>
      <x:c r="V180" s="49" t="str">
        <x:v>MEDIUM</x:v>
      </x:c>
      <x:c r="W180" s="49" t="str">
        <x:v>DEEP_ESTIMATE</x:v>
      </x:c>
      <x:c r="X180" s="49" t="str">
        <x:v>TOP-200 RESEARCH</x:v>
      </x:c>
      <x:c r="Y180" s="49" t="str">
        <x:v>2026-09-28</x:v>
      </x:c>
      <x:c r="Z180" s="50" t="str">
        <x:v>https://www.nba.com/players</x:v>
      </x:c>
      <x:c r="AA180" s="50" t="str">
        <x:v>https://basketball.realgm.com/nba/stats/2026/Averages/All/points/All/desc/1/Regular_Season</x:v>
      </x:c>
    </x:row>
    <x:row r="181" ht="30" customHeight="1">
      <x:c r="A181" s="47" t="n">
        <x:v>176</x:v>
      </x:c>
      <x:c r="B181" t="str">
        <x:v>Klay Thompson</x:v>
      </x:c>
      <x:c r="C181" t="str">
        <x:v>MIA</x:v>
      </x:c>
      <x:c r="D181" t="str">
        <x:v>SG</x:v>
      </x:c>
      <x:c r="E181" t="str">
        <x:v>SG/SF</x:v>
      </x:c>
      <x:c r="F181" s="47"/>
      <x:c r="G181" s="22"/>
      <x:c r="H181" s="22" t="n">
        <x:v>18.75918228031033</x:v>
      </x:c>
      <x:c r="I181" s="22" t="n">
        <x:v>25.75918228031033</x:v>
      </x:c>
      <x:c r="J181" s="22" t="n">
        <x:v>74</x:v>
      </x:c>
      <x:c r="K181" s="22" t="str">
        <x:v>DEEP</x:v>
      </x:c>
      <x:c r="L181" s="22" t="n">
        <x:v>22.25918228031033</x:v>
      </x:c>
      <x:c r="M181" s="30" t="n">
        <x:v>1647.1794887429644</x:v>
      </x:c>
      <x:c r="N181" t="str">
        <x:v>Available</x:v>
      </x:c>
      <x:c r="O181" s="16" t="str">
        <x:v>Deep-board candidate for a 10-team league; custom-format estimate emphasizes role, efficiency and rebounding. Recheck camp role and app eligibility before draft day.</x:v>
      </x:c>
      <x:c r="P181" s="22" t="n">
        <x:v>22.25918228031033</x:v>
      </x:c>
      <x:c r="Q181" s="22"/>
      <x:c r="R181" s="22" t="n">
        <x:v>22.25918228031033</x:v>
      </x:c>
      <x:c r="S181" s="22" t="n">
        <x:v>0</x:v>
      </x:c>
      <x:c r="T181" t="str">
        <x:v>https://www.fantasypros.com/nba/projections/overall.php</x:v>
      </x:c>
      <x:c r="U181" s="49" t="str">
        <x:v>DEEP</x:v>
      </x:c>
      <x:c r="V181" s="49" t="str">
        <x:v>HIGH</x:v>
      </x:c>
      <x:c r="W181" s="49" t="str">
        <x:v>DRAFT_DAY_FP</x:v>
      </x:c>
      <x:c r="X181" s="49" t="str">
        <x:v>TOP-200 RESEARCH</x:v>
      </x:c>
      <x:c r="Y181" s="49" t="str">
        <x:v>2026-10-10</x:v>
      </x:c>
      <x:c r="Z181" s="50" t="str">
        <x:v>https://www.nba.com/players</x:v>
      </x:c>
      <x:c r="AA181" s="50" t="str">
        <x:v>https://basketball.realgm.com/nba/stats/2026/Averages/All/points/All/desc/1/Regular_Season</x:v>
      </x:c>
    </x:row>
    <x:row r="182" ht="30" customHeight="1">
      <x:c r="A182" s="47" t="n">
        <x:v>177</x:v>
      </x:c>
      <x:c r="B182" t="str">
        <x:v>Keldon Johnson</x:v>
      </x:c>
      <x:c r="C182" t="str">
        <x:v>SAS</x:v>
      </x:c>
      <x:c r="D182" t="str">
        <x:v>SF</x:v>
      </x:c>
      <x:c r="E182" t="str">
        <x:v>SF/PF</x:v>
      </x:c>
      <x:c r="F182" s="47"/>
      <x:c r="G182" s="22"/>
      <x:c r="H182" s="22" t="n">
        <x:v>18.83</x:v>
      </x:c>
      <x:c r="I182" s="22" t="n">
        <x:v>25.83</x:v>
      </x:c>
      <x:c r="J182" s="22" t="n">
        <x:v>70</x:v>
      </x:c>
      <x:c r="K182" s="22" t="str">
        <x:v>DEEP</x:v>
      </x:c>
      <x:c r="L182" s="22" t="n">
        <x:v>22.33</x:v>
      </x:c>
      <x:c r="M182" s="30" t="n">
        <x:v>1563.1</x:v>
      </x:c>
      <x:c r="N182" t="str">
        <x:v>Available</x:v>
      </x:c>
      <x:c r="O182" s="16" t="str">
        <x:v>Deep-board candidate for a 10-team league; custom-format estimate emphasizes role, efficiency and rebounding. Recheck camp role and app eligibility before draft day.</x:v>
      </x:c>
      <x:c r="P182" s="22" t="n">
        <x:v>22.33</x:v>
      </x:c>
      <x:c r="Q182" s="22"/>
      <x:c r="R182" s="22" t="n">
        <x:v>22.33</x:v>
      </x:c>
      <x:c r="S182" s="22" t="n">
        <x:v>0</x:v>
      </x:c>
      <x:c r="T182" t="str">
        <x:v>https://ca.sports.yahoo.com/news/2026-27-fantasy-basketball-rankings-top-200-players-points-leagues-182942270.html</x:v>
      </x:c>
      <x:c r="U182" s="49" t="str">
        <x:v>DEEP</x:v>
      </x:c>
      <x:c r="V182" s="49" t="str">
        <x:v>MEDIUM</x:v>
      </x:c>
      <x:c r="W182" s="49" t="str">
        <x:v>DEEP_ESTIMATE</x:v>
      </x:c>
      <x:c r="X182" s="49" t="str">
        <x:v>TOP-200 RESEARCH</x:v>
      </x:c>
      <x:c r="Y182" s="49" t="str">
        <x:v>2026-09-28</x:v>
      </x:c>
      <x:c r="Z182" s="50" t="str">
        <x:v>https://www.nba.com/players</x:v>
      </x:c>
      <x:c r="AA182" s="50" t="str">
        <x:v>https://basketball.realgm.com/nba/stats/2026/Averages/All/points/All/desc/1/Regular_Season</x:v>
      </x:c>
    </x:row>
    <x:row r="183" ht="30" customHeight="1">
      <x:c r="A183" s="47" t="n">
        <x:v>178</x:v>
      </x:c>
      <x:c r="B183" t="str">
        <x:v>Grayson Allen</x:v>
      </x:c>
      <x:c r="C183" t="str">
        <x:v>CHA</x:v>
      </x:c>
      <x:c r="D183" t="str">
        <x:v>SG</x:v>
      </x:c>
      <x:c r="E183" t="str">
        <x:v>PG/SF/SG</x:v>
      </x:c>
      <x:c r="F183" s="47"/>
      <x:c r="G183" s="22"/>
      <x:c r="H183" s="22" t="n">
        <x:v>18.731100051764297</x:v>
      </x:c>
      <x:c r="I183" s="22" t="n">
        <x:v>25.731100051764297</x:v>
      </x:c>
      <x:c r="J183" s="22" t="n">
        <x:v>71</x:v>
      </x:c>
      <x:c r="K183" s="22" t="str">
        <x:v>DEEP</x:v>
      </x:c>
      <x:c r="L183" s="22" t="n">
        <x:v>22.231100051764297</x:v>
      </x:c>
      <x:c r="M183" s="30" t="n">
        <x:v>1578.408103675265</x:v>
      </x:c>
      <x:c r="N183" t="str">
        <x:v>Available</x:v>
      </x:c>
      <x:c r="O183" s="16" t="str">
        <x:v>Deep-board candidate for a 10-team league; custom-format estimate emphasizes role, efficiency and rebounding. Recheck camp role and app eligibility before draft day.</x:v>
      </x:c>
      <x:c r="P183" s="22" t="n">
        <x:v>22.231100051764297</x:v>
      </x:c>
      <x:c r="Q183" s="22"/>
      <x:c r="R183" s="22" t="n">
        <x:v>22.231100051764297</x:v>
      </x:c>
      <x:c r="S183" s="22" t="n">
        <x:v>0</x:v>
      </x:c>
      <x:c r="T183" t="str">
        <x:v>https://www.fantasypros.com/nba/projections/overall.php</x:v>
      </x:c>
      <x:c r="U183" s="49" t="str">
        <x:v>DEEP</x:v>
      </x:c>
      <x:c r="V183" s="49" t="str">
        <x:v>HIGH</x:v>
      </x:c>
      <x:c r="W183" s="49" t="str">
        <x:v>DRAFT_DAY_FP</x:v>
      </x:c>
      <x:c r="X183" s="49" t="str">
        <x:v>TOP-200 RESEARCH</x:v>
      </x:c>
      <x:c r="Y183" s="49" t="str">
        <x:v>2026-10-10</x:v>
      </x:c>
      <x:c r="Z183" s="50" t="str">
        <x:v>https://www.nba.com/players</x:v>
      </x:c>
      <x:c r="AA183" s="50" t="str">
        <x:v>https://basketball.realgm.com/nba/stats/2026/Averages/All/points/All/desc/1/Regular_Season</x:v>
      </x:c>
    </x:row>
    <x:row r="184" ht="30" customHeight="1">
      <x:c r="A184" s="47" t="n">
        <x:v>179</x:v>
      </x:c>
      <x:c r="B184" t="str">
        <x:v>Daniel Gafford</x:v>
      </x:c>
      <x:c r="C184" t="str">
        <x:v>DAL</x:v>
      </x:c>
      <x:c r="D184" t="str">
        <x:v>C</x:v>
      </x:c>
      <x:c r="E184" t="str">
        <x:v>C</x:v>
      </x:c>
      <x:c r="F184" s="47" t="n">
        <x:v>55</x:v>
      </x:c>
      <x:c r="G184" s="22" t="n">
        <x:v>27.4</x:v>
      </x:c>
      <x:c r="H184" s="22" t="n">
        <x:v>19.729999999999997</x:v>
      </x:c>
      <x:c r="I184" s="22" t="n">
        <x:v>28.39</x:v>
      </x:c>
      <x:c r="J184" s="22" t="n">
        <x:v>60</x:v>
      </x:c>
      <x:c r="K184" s="22" t="str">
        <x:v>DEEP</x:v>
      </x:c>
      <x:c r="L184" s="22" t="n">
        <x:v>24.06</x:v>
      </x:c>
      <x:c r="M184" s="30" t="n">
        <x:v>1443.6</x:v>
      </x:c>
      <x:c r="N184" t="str">
        <x:v>Available</x:v>
      </x:c>
      <x:c r="O184" s="16" t="str">
        <x:v>Deep-pool model: 2025-26 custom-score production shrunk toward a conservative 2026-27 role estimate; not a published projection.</x:v>
      </x:c>
      <x:c r="P184" s="22"/>
      <x:c r="Q184" s="22"/>
      <x:c r="R184" s="22" t="n">
        <x:v>24.06</x:v>
      </x:c>
      <x:c r="S184" s="22" t="n">
        <x:v>0</x:v>
      </x:c>
      <x:c r="T184" t="str">
        <x:v>https://github.com/plourr03/wolves-front-office/blob/5d152a169188fb9b210186a7a0d3403d4081ed38/kuminga/data/roster_snapshot_2026_27_v3.csv</x:v>
      </x:c>
      <x:c r="U184" s="49" t="str">
        <x:v>DEEP</x:v>
      </x:c>
      <x:c r="V184" s="49" t="str">
        <x:v>HIGH</x:v>
      </x:c>
      <x:c r="W184" s="49" t="str">
        <x:v>MODEL</x:v>
      </x:c>
      <x:c r="X184" s="49" t="str">
        <x:v>STANDARD</x:v>
      </x:c>
      <x:c r="Y184" s="49" t="str">
        <x:v>2026-09-28 master / roster context 2026-09-03+</x:v>
      </x:c>
      <x:c r="Z184" s="50" t="str">
        <x:v>https://github.com/plourr03/wolves-front-office/blob/5d152a169188fb9b210186a7a0d3403d4081ed38/kuminga/data/roster_snapshot_2026_27_v3.csv</x:v>
      </x:c>
      <x:c r="AA184" s="50" t="str">
        <x:v>https://github.com/ballacademy/NBA-head-to-head-/blob/5b1decfc31ffb645469c7ffbd01aaca4b18181bd/data/nba-stats/nba-player-stats-202526-regular-season-per-game.csv</x:v>
      </x:c>
    </x:row>
    <x:row r="185" ht="30" customHeight="1">
      <x:c r="A185" s="47" t="n">
        <x:v>180</x:v>
      </x:c>
      <x:c r="B185" t="str">
        <x:v>Bradley Beal</x:v>
      </x:c>
      <x:c r="C185" t="str">
        <x:v>LAC</x:v>
      </x:c>
      <x:c r="D185" t="str">
        <x:v>SG</x:v>
      </x:c>
      <x:c r="E185" t="str">
        <x:v>SF/SG</x:v>
      </x:c>
      <x:c r="F185" s="47"/>
      <x:c r="G185" s="22"/>
      <x:c r="H185" s="22" t="n">
        <x:v>19.447276754147683</x:v>
      </x:c>
      <x:c r="I185" s="22" t="n">
        <x:v>26.447276754147683</x:v>
      </x:c>
      <x:c r="J185" s="22" t="n">
        <x:v>66</x:v>
      </x:c>
      <x:c r="K185" s="22" t="str">
        <x:v>DEEP</x:v>
      </x:c>
      <x:c r="L185" s="22" t="n">
        <x:v>22.947276754147683</x:v>
      </x:c>
      <x:c r="M185" s="30" t="n">
        <x:v>1514.520265773747</x:v>
      </x:c>
      <x:c r="N185" t="str">
        <x:v>Available</x:v>
      </x:c>
      <x:c r="O185" s="16" t="str">
        <x:v>Deep-board candidate for a 10-team league; custom-format estimate emphasizes role, efficiency and rebounding. Recheck camp role and app eligibility before draft day.</x:v>
      </x:c>
      <x:c r="P185" s="22" t="n">
        <x:v>22.947276754147683</x:v>
      </x:c>
      <x:c r="Q185" s="22"/>
      <x:c r="R185" s="22" t="n">
        <x:v>22.947276754147683</x:v>
      </x:c>
      <x:c r="S185" s="22" t="n">
        <x:v>0</x:v>
      </x:c>
      <x:c r="T185" t="str">
        <x:v>https://www.fantasypros.com/nba/projections/overall.php</x:v>
      </x:c>
      <x:c r="U185" s="49" t="str">
        <x:v>DEEP</x:v>
      </x:c>
      <x:c r="V185" s="49" t="str">
        <x:v>HIGH</x:v>
      </x:c>
      <x:c r="W185" s="49" t="str">
        <x:v>DRAFT_DAY_FP</x:v>
      </x:c>
      <x:c r="X185" s="49" t="str">
        <x:v>TOP-200 RESEARCH</x:v>
      </x:c>
      <x:c r="Y185" s="49" t="str">
        <x:v>2026-10-10</x:v>
      </x:c>
      <x:c r="Z185" s="50" t="str">
        <x:v>https://www.nba.com/players</x:v>
      </x:c>
      <x:c r="AA185" s="50" t="str">
        <x:v>https://basketball.realgm.com/nba/stats/2026/Averages/All/points/All/desc/1/Regular_Season</x:v>
      </x:c>
    </x:row>
    <x:row r="186" ht="30" customHeight="1">
      <x:c r="A186" s="47" t="n">
        <x:v>181</x:v>
      </x:c>
      <x:c r="B186" t="str">
        <x:v>Collin Gillespie</x:v>
      </x:c>
      <x:c r="C186" t="str">
        <x:v>PHX</x:v>
      </x:c>
      <x:c r="D186" t="str">
        <x:v>PG</x:v>
      </x:c>
      <x:c r="E186" t="str">
        <x:v>PG</x:v>
      </x:c>
      <x:c r="F186" s="47" t="n">
        <x:v>80</x:v>
      </x:c>
      <x:c r="G186" s="22" t="n">
        <x:v>27.5</x:v>
      </x:c>
      <x:c r="H186" s="22" t="n">
        <x:v>19.575</x:v>
      </x:c>
      <x:c r="I186" s="22" t="n">
        <x:v>28.165000000000003</x:v>
      </x:c>
      <x:c r="J186" s="22" t="n">
        <x:v>60</x:v>
      </x:c>
      <x:c r="K186" s="22" t="str">
        <x:v>DEEP</x:v>
      </x:c>
      <x:c r="L186" s="22" t="n">
        <x:v>23.87</x:v>
      </x:c>
      <x:c r="M186" s="30" t="n">
        <x:v>1432.2</x:v>
      </x:c>
      <x:c r="N186" t="str">
        <x:v>Available</x:v>
      </x:c>
      <x:c r="O186" s="16" t="str">
        <x:v>Deep-pool model: 2025-26 custom-score production shrunk toward a conservative 2026-27 role estimate; not a published projection.</x:v>
      </x:c>
      <x:c r="P186" s="22"/>
      <x:c r="Q186" s="22"/>
      <x:c r="R186" s="22" t="n">
        <x:v>23.87</x:v>
      </x:c>
      <x:c r="S186" s="22" t="n">
        <x:v>0</x:v>
      </x:c>
      <x:c r="T186" t="str">
        <x:v>https://github.com/plourr03/wolves-front-office/blob/5d152a169188fb9b210186a7a0d3403d4081ed38/kuminga/data/roster_snapshot_2026_27_v3.csv</x:v>
      </x:c>
      <x:c r="U186" s="49" t="str">
        <x:v>DEEP</x:v>
      </x:c>
      <x:c r="V186" s="49" t="str">
        <x:v>HIGH</x:v>
      </x:c>
      <x:c r="W186" s="49" t="str">
        <x:v>MODEL</x:v>
      </x:c>
      <x:c r="X186" s="49" t="str">
        <x:v>STANDARD</x:v>
      </x:c>
      <x:c r="Y186" s="49" t="str">
        <x:v>2026-09-28 master / roster context 2026-09-03+</x:v>
      </x:c>
      <x:c r="Z186" s="50" t="str">
        <x:v>https://github.com/plourr03/wolves-front-office/blob/5d152a169188fb9b210186a7a0d3403d4081ed38/kuminga/data/roster_snapshot_2026_27_v3.csv</x:v>
      </x:c>
      <x:c r="AA186" s="50" t="str">
        <x:v>https://github.com/ballacademy/NBA-head-to-head-/blob/5b1decfc31ffb645469c7ffbd01aaca4b18181bd/data/nba-stats/nba-player-stats-202526-regular-season-per-game.csv</x:v>
      </x:c>
    </x:row>
    <x:row r="187" ht="30" customHeight="1">
      <x:c r="A187" s="47" t="n">
        <x:v>182</x:v>
      </x:c>
      <x:c r="B187" t="str">
        <x:v>Gary Trent Jr.</x:v>
      </x:c>
      <x:c r="C187" t="str">
        <x:v>MIL</x:v>
      </x:c>
      <x:c r="D187" t="str">
        <x:v>SG</x:v>
      </x:c>
      <x:c r="E187" t="str">
        <x:v>SG</x:v>
      </x:c>
      <x:c r="F187" s="47"/>
      <x:c r="G187" s="22"/>
      <x:c r="H187" s="22" t="n">
        <x:v>18.72</x:v>
      </x:c>
      <x:c r="I187" s="22" t="n">
        <x:v>25.72</x:v>
      </x:c>
      <x:c r="J187" s="22" t="n">
        <x:v>70</x:v>
      </x:c>
      <x:c r="K187" s="22" t="str">
        <x:v>DEEP</x:v>
      </x:c>
      <x:c r="L187" s="22" t="n">
        <x:v>22.22</x:v>
      </x:c>
      <x:c r="M187" s="30" t="n">
        <x:v>1555.3999999999999</x:v>
      </x:c>
      <x:c r="N187" t="str">
        <x:v>Available</x:v>
      </x:c>
      <x:c r="O187" s="16" t="str">
        <x:v>Deep-board candidate for a 10-team league; custom-format estimate emphasizes role, efficiency and rebounding. Recheck camp role and app eligibility before draft day.</x:v>
      </x:c>
      <x:c r="P187" s="22" t="n">
        <x:v>22.22</x:v>
      </x:c>
      <x:c r="Q187" s="22"/>
      <x:c r="R187" s="22" t="n">
        <x:v>22.22</x:v>
      </x:c>
      <x:c r="S187" s="22" t="n">
        <x:v>0</x:v>
      </x:c>
      <x:c r="T187" t="str">
        <x:v>https://ca.sports.yahoo.com/news/2026-27-fantasy-basketball-rankings-top-200-players-points-leagues-182942270.html</x:v>
      </x:c>
      <x:c r="U187" s="49" t="str">
        <x:v>DEEP</x:v>
      </x:c>
      <x:c r="V187" s="49" t="str">
        <x:v>MEDIUM</x:v>
      </x:c>
      <x:c r="W187" s="49" t="str">
        <x:v>DEEP_ESTIMATE</x:v>
      </x:c>
      <x:c r="X187" s="49" t="str">
        <x:v>TOP-200 RESEARCH</x:v>
      </x:c>
      <x:c r="Y187" s="49" t="str">
        <x:v>2026-09-28</x:v>
      </x:c>
      <x:c r="Z187" s="50" t="str">
        <x:v>https://www.nba.com/players</x:v>
      </x:c>
      <x:c r="AA187" s="50" t="str">
        <x:v>https://basketball.realgm.com/nba/stats/2026/Averages/All/points/All/desc/1/Regular_Season</x:v>
      </x:c>
    </x:row>
    <x:row r="188" ht="30" customHeight="1">
      <x:c r="A188" s="47" t="n">
        <x:v>183</x:v>
      </x:c>
      <x:c r="B188" t="str">
        <x:v>Caris LeVert</x:v>
      </x:c>
      <x:c r="C188" t="str">
        <x:v>DET</x:v>
      </x:c>
      <x:c r="D188" t="str">
        <x:v>SG</x:v>
      </x:c>
      <x:c r="E188" t="str">
        <x:v>SG/SF</x:v>
      </x:c>
      <x:c r="F188" s="47"/>
      <x:c r="G188" s="22"/>
      <x:c r="H188" s="22" t="n">
        <x:v>18.6</x:v>
      </x:c>
      <x:c r="I188" s="22" t="n">
        <x:v>25.6</x:v>
      </x:c>
      <x:c r="J188" s="22" t="n">
        <x:v>70</x:v>
      </x:c>
      <x:c r="K188" s="22" t="str">
        <x:v>DEEP</x:v>
      </x:c>
      <x:c r="L188" s="22" t="n">
        <x:v>22.1</x:v>
      </x:c>
      <x:c r="M188" s="30" t="n">
        <x:v>1547</x:v>
      </x:c>
      <x:c r="N188" t="str">
        <x:v>Available</x:v>
      </x:c>
      <x:c r="O188" s="16" t="str">
        <x:v>Deep-board candidate for a 10-team league; custom-format estimate emphasizes role, efficiency and rebounding. Recheck camp role and app eligibility before draft day.</x:v>
      </x:c>
      <x:c r="P188" s="22" t="n">
        <x:v>22.1</x:v>
      </x:c>
      <x:c r="Q188" s="22"/>
      <x:c r="R188" s="22" t="n">
        <x:v>22.1</x:v>
      </x:c>
      <x:c r="S188" s="22" t="n">
        <x:v>0</x:v>
      </x:c>
      <x:c r="T188" t="str">
        <x:v>https://ca.sports.yahoo.com/news/2026-27-fantasy-basketball-rankings-top-200-players-points-leagues-182942270.html</x:v>
      </x:c>
      <x:c r="U188" s="49" t="str">
        <x:v>DEEP</x:v>
      </x:c>
      <x:c r="V188" s="49" t="str">
        <x:v>MEDIUM</x:v>
      </x:c>
      <x:c r="W188" s="49" t="str">
        <x:v>DEEP_ESTIMATE</x:v>
      </x:c>
      <x:c r="X188" s="49" t="str">
        <x:v>TOP-200 RESEARCH</x:v>
      </x:c>
      <x:c r="Y188" s="49" t="str">
        <x:v>2026-09-28</x:v>
      </x:c>
      <x:c r="Z188" s="50" t="str">
        <x:v>https://www.nba.com/players</x:v>
      </x:c>
      <x:c r="AA188" s="50" t="str">
        <x:v>https://basketball.realgm.com/nba/stats/2026/Averages/All/points/All/desc/1/Regular_Season</x:v>
      </x:c>
    </x:row>
    <x:row r="189" ht="30" customHeight="1">
      <x:c r="A189" s="47" t="n">
        <x:v>184</x:v>
      </x:c>
      <x:c r="B189" t="str">
        <x:v>Khris Middleton</x:v>
      </x:c>
      <x:c r="C189" t="str">
        <x:v>WAS</x:v>
      </x:c>
      <x:c r="D189" t="str">
        <x:v>SF</x:v>
      </x:c>
      <x:c r="E189" t="str">
        <x:v>SF/PF</x:v>
      </x:c>
      <x:c r="F189" s="47"/>
      <x:c r="G189" s="22"/>
      <x:c r="H189" s="22" t="n">
        <x:v>18.49</x:v>
      </x:c>
      <x:c r="I189" s="22" t="n">
        <x:v>25.49</x:v>
      </x:c>
      <x:c r="J189" s="22" t="n">
        <x:v>70</x:v>
      </x:c>
      <x:c r="K189" s="22" t="str">
        <x:v>DEEP</x:v>
      </x:c>
      <x:c r="L189" s="22" t="n">
        <x:v>21.99</x:v>
      </x:c>
      <x:c r="M189" s="30" t="n">
        <x:v>1539.3</x:v>
      </x:c>
      <x:c r="N189" t="str">
        <x:v>Available</x:v>
      </x:c>
      <x:c r="O189" s="16" t="str">
        <x:v>Deep-board candidate for a 10-team league; custom-format estimate emphasizes role, efficiency and rebounding. Recheck camp role and app eligibility before draft day.</x:v>
      </x:c>
      <x:c r="P189" s="22" t="n">
        <x:v>21.99</x:v>
      </x:c>
      <x:c r="Q189" s="22"/>
      <x:c r="R189" s="22" t="n">
        <x:v>21.99</x:v>
      </x:c>
      <x:c r="S189" s="22" t="n">
        <x:v>0</x:v>
      </x:c>
      <x:c r="T189" t="str">
        <x:v>https://ca.sports.yahoo.com/news/2026-27-fantasy-basketball-rankings-top-200-players-points-leagues-182942270.html</x:v>
      </x:c>
      <x:c r="U189" s="49" t="str">
        <x:v>DEEP</x:v>
      </x:c>
      <x:c r="V189" s="49" t="str">
        <x:v>MEDIUM</x:v>
      </x:c>
      <x:c r="W189" s="49" t="str">
        <x:v>DEEP_ESTIMATE</x:v>
      </x:c>
      <x:c r="X189" s="49" t="str">
        <x:v>TOP-200 RESEARCH</x:v>
      </x:c>
      <x:c r="Y189" s="49" t="str">
        <x:v>2026-09-28</x:v>
      </x:c>
      <x:c r="Z189" s="50" t="str">
        <x:v>https://www.nba.com/players</x:v>
      </x:c>
      <x:c r="AA189" s="50" t="str">
        <x:v>https://basketball.realgm.com/nba/stats/2026/Averages/All/points/All/desc/1/Regular_Season</x:v>
      </x:c>
    </x:row>
    <x:row r="190" ht="30" customHeight="1">
      <x:c r="A190" s="47" t="n">
        <x:v>185</x:v>
      </x:c>
      <x:c r="B190" t="str">
        <x:v>Anthony Black</x:v>
      </x:c>
      <x:c r="C190" t="str">
        <x:v>ORL</x:v>
      </x:c>
      <x:c r="D190" t="str">
        <x:v>SG</x:v>
      </x:c>
      <x:c r="E190" t="str">
        <x:v>PG/SG/SF</x:v>
      </x:c>
      <x:c r="F190" s="47" t="n">
        <x:v>64</x:v>
      </x:c>
      <x:c r="G190" s="22" t="n">
        <x:v>27.3</x:v>
      </x:c>
      <x:c r="H190" s="22" t="n">
        <x:v>18.235058950137965</x:v>
      </x:c>
      <x:c r="I190" s="22" t="n">
        <x:v>27.055058950137965</x:v>
      </x:c>
      <x:c r="J190" s="22" t="n">
        <x:v>74</x:v>
      </x:c>
      <x:c r="K190" s="22" t="str">
        <x:v>DEEP</x:v>
      </x:c>
      <x:c r="L190" s="22" t="n">
        <x:v>22.645058950137965</x:v>
      </x:c>
      <x:c r="M190" s="30" t="n">
        <x:v>1675.7343623102095</x:v>
      </x:c>
      <x:c r="N190" t="str">
        <x:v>Available</x:v>
      </x:c>
      <x:c r="O190" s="16" t="str">
        <x:v>Deep-pool model: 2025-26 custom-score production shrunk toward a conservative 2026-27 role estimate; not a published projection.</x:v>
      </x:c>
      <x:c r="P190" s="22" t="n">
        <x:v>22.645058950137965</x:v>
      </x:c>
      <x:c r="Q190" s="22"/>
      <x:c r="R190" s="22" t="n">
        <x:v>22.645058950137965</x:v>
      </x:c>
      <x:c r="S190" s="22" t="n">
        <x:v>0</x:v>
      </x:c>
      <x:c r="T190" t="str">
        <x:v>https://www.fantasypros.com/nba/projections/overall.php</x:v>
      </x:c>
      <x:c r="U190" s="49" t="str">
        <x:v>DEEP</x:v>
      </x:c>
      <x:c r="V190" s="49" t="str">
        <x:v>HIGH</x:v>
      </x:c>
      <x:c r="W190" s="49" t="str">
        <x:v>DRAFT_DAY_FP</x:v>
      </x:c>
      <x:c r="X190" s="49" t="str">
        <x:v>STANDARD</x:v>
      </x:c>
      <x:c r="Y190" s="49" t="str">
        <x:v>2026-10-10</x:v>
      </x:c>
      <x:c r="Z190" s="50" t="str">
        <x:v>https://github.com/plourr03/wolves-front-office/blob/5d152a169188fb9b210186a7a0d3403d4081ed38/kuminga/data/roster_snapshot_2026_27_v3.csv</x:v>
      </x:c>
      <x:c r="AA190" s="50" t="str">
        <x:v>https://github.com/ballacademy/NBA-head-to-head-/blob/5b1decfc31ffb645469c7ffbd01aaca4b18181bd/data/nba-stats/nba-player-stats-202526-regular-season-per-game.csv</x:v>
      </x:c>
    </x:row>
    <x:row r="191" ht="30" customHeight="1">
      <x:c r="A191" s="47" t="n">
        <x:v>186</x:v>
      </x:c>
      <x:c r="B191" t="str">
        <x:v>Max Christie</x:v>
      </x:c>
      <x:c r="C191" t="str">
        <x:v>DAL</x:v>
      </x:c>
      <x:c r="D191" t="str">
        <x:v>SG</x:v>
      </x:c>
      <x:c r="E191" t="str">
        <x:v>SG/SF</x:v>
      </x:c>
      <x:c r="F191" s="47" t="n">
        <x:v>77</x:v>
      </x:c>
      <x:c r="G191" s="22" t="n">
        <x:v>21</x:v>
      </x:c>
      <x:c r="H191" s="22" t="n">
        <x:v>19.677159535379875</x:v>
      </x:c>
      <x:c r="I191" s="22" t="n">
        <x:v>26.677159535379875</x:v>
      </x:c>
      <x:c r="J191" s="22" t="n">
        <x:v>78</x:v>
      </x:c>
      <x:c r="K191" s="22" t="str">
        <x:v>DEEP</x:v>
      </x:c>
      <x:c r="L191" s="22" t="n">
        <x:v>23.177159535379875</x:v>
      </x:c>
      <x:c r="M191" s="30" t="n">
        <x:v>1807.8184437596303</x:v>
      </x:c>
      <x:c r="N191" t="str">
        <x:v>Available</x:v>
      </x:c>
      <x:c r="O191" s="16" t="str">
        <x:v>Deep-pool model: 2025-26 custom-score production shrunk toward a conservative 2026-27 role estimate; not a published projection.</x:v>
      </x:c>
      <x:c r="P191" s="22" t="n">
        <x:v>23.177159535379875</x:v>
      </x:c>
      <x:c r="Q191" s="22"/>
      <x:c r="R191" s="22" t="n">
        <x:v>23.177159535379875</x:v>
      </x:c>
      <x:c r="S191" s="22" t="n">
        <x:v>0</x:v>
      </x:c>
      <x:c r="T191" t="str">
        <x:v>https://www.fantasypros.com/nba/projections/overall.php</x:v>
      </x:c>
      <x:c r="U191" s="49" t="str">
        <x:v>DEEP</x:v>
      </x:c>
      <x:c r="V191" s="49" t="str">
        <x:v>HIGH</x:v>
      </x:c>
      <x:c r="W191" s="49" t="str">
        <x:v>DRAFT_DAY_FP</x:v>
      </x:c>
      <x:c r="X191" s="49" t="str">
        <x:v>STANDARD</x:v>
      </x:c>
      <x:c r="Y191" s="49" t="str">
        <x:v>2026-10-10</x:v>
      </x:c>
      <x:c r="Z191" s="50" t="str">
        <x:v>https://github.com/plourr03/wolves-front-office/blob/5d152a169188fb9b210186a7a0d3403d4081ed38/kuminga/data/roster_snapshot_2026_27_v3.csv</x:v>
      </x:c>
      <x:c r="AA191" s="50" t="str">
        <x:v>https://github.com/ballacademy/NBA-head-to-head-/blob/5b1decfc31ffb645469c7ffbd01aaca4b18181bd/data/nba-stats/nba-player-stats-202526-regular-season-per-game.csv</x:v>
      </x:c>
    </x:row>
    <x:row r="192" ht="30" customHeight="1">
      <x:c r="A192" s="47" t="n">
        <x:v>187</x:v>
      </x:c>
      <x:c r="B192" t="str">
        <x:v>Kyle Kuzma</x:v>
      </x:c>
      <x:c r="C192" t="str">
        <x:v>MIL</x:v>
      </x:c>
      <x:c r="D192" t="str">
        <x:v>PF</x:v>
      </x:c>
      <x:c r="E192" t="str">
        <x:v>SF/PF</x:v>
      </x:c>
      <x:c r="F192" s="47"/>
      <x:c r="G192" s="22"/>
      <x:c r="H192" s="22" t="n">
        <x:v>18.043657186185854</x:v>
      </x:c>
      <x:c r="I192" s="22" t="n">
        <x:v>25.043657186185854</x:v>
      </x:c>
      <x:c r="J192" s="22" t="n">
        <x:v>73</x:v>
      </x:c>
      <x:c r="K192" s="22" t="str">
        <x:v>DEEP</x:v>
      </x:c>
      <x:c r="L192" s="22" t="n">
        <x:v>21.543657186185854</x:v>
      </x:c>
      <x:c r="M192" s="30" t="n">
        <x:v>1572.6869745915674</x:v>
      </x:c>
      <x:c r="N192" t="str">
        <x:v>Available</x:v>
      </x:c>
      <x:c r="O192" s="16" t="str">
        <x:v>Deep-board candidate for a 10-team league; custom-format estimate emphasizes role, efficiency and rebounding. Recheck camp role and app eligibility before draft day.</x:v>
      </x:c>
      <x:c r="P192" s="22" t="n">
        <x:v>21.543657186185854</x:v>
      </x:c>
      <x:c r="Q192" s="22"/>
      <x:c r="R192" s="22" t="n">
        <x:v>21.543657186185854</x:v>
      </x:c>
      <x:c r="S192" s="22" t="n">
        <x:v>0</x:v>
      </x:c>
      <x:c r="T192" t="str">
        <x:v>https://www.fantasypros.com/nba/projections/overall.php</x:v>
      </x:c>
      <x:c r="U192" s="49" t="str">
        <x:v>DEEP</x:v>
      </x:c>
      <x:c r="V192" s="49" t="str">
        <x:v>HIGH</x:v>
      </x:c>
      <x:c r="W192" s="49" t="str">
        <x:v>DRAFT_DAY_FP</x:v>
      </x:c>
      <x:c r="X192" s="49" t="str">
        <x:v>TOP-200 RESEARCH</x:v>
      </x:c>
      <x:c r="Y192" s="49" t="str">
        <x:v>2026-10-10</x:v>
      </x:c>
      <x:c r="Z192" s="50" t="str">
        <x:v>https://www.nba.com/players</x:v>
      </x:c>
      <x:c r="AA192" s="50" t="str">
        <x:v>https://basketball.realgm.com/nba/stats/2026/Averages/All/points/All/desc/1/Regular_Season</x:v>
      </x:c>
    </x:row>
    <x:row r="193" ht="30" customHeight="1">
      <x:c r="A193" s="47" t="n">
        <x:v>188</x:v>
      </x:c>
      <x:c r="B193" t="str">
        <x:v>Scoot Henderson</x:v>
      </x:c>
      <x:c r="C193" t="str">
        <x:v>POR</x:v>
      </x:c>
      <x:c r="D193" t="str">
        <x:v>PG</x:v>
      </x:c>
      <x:c r="E193" t="str">
        <x:v>PG/SG</x:v>
      </x:c>
      <x:c r="F193" s="47"/>
      <x:c r="G193" s="22"/>
      <x:c r="H193" s="22" t="n">
        <x:v>16.500929340809204</x:v>
      </x:c>
      <x:c r="I193" s="22" t="n">
        <x:v>23.500929340809204</x:v>
      </x:c>
      <x:c r="J193" s="22" t="n">
        <x:v>72</x:v>
      </x:c>
      <x:c r="K193" s="22" t="str">
        <x:v>DEEP</x:v>
      </x:c>
      <x:c r="L193" s="22" t="n">
        <x:v>20.000929340809204</x:v>
      </x:c>
      <x:c r="M193" s="30" t="n">
        <x:v>1440.0669125382626</x:v>
      </x:c>
      <x:c r="N193" t="str">
        <x:v>Available</x:v>
      </x:c>
      <x:c r="O193" s="16" t="str">
        <x:v>Deep-board candidate for a 10-team league; custom-format estimate emphasizes role, efficiency and rebounding. Recheck camp role and app eligibility before draft day.</x:v>
      </x:c>
      <x:c r="P193" s="22" t="n">
        <x:v>20.000929340809204</x:v>
      </x:c>
      <x:c r="Q193" s="22"/>
      <x:c r="R193" s="22" t="n">
        <x:v>20.000929340809204</x:v>
      </x:c>
      <x:c r="S193" s="22" t="n">
        <x:v>0</x:v>
      </x:c>
      <x:c r="T193" t="str">
        <x:v>https://www.fantasypros.com/nba/projections/overall.php</x:v>
      </x:c>
      <x:c r="U193" s="49" t="str">
        <x:v>DEEP</x:v>
      </x:c>
      <x:c r="V193" s="49" t="str">
        <x:v>HIGH</x:v>
      </x:c>
      <x:c r="W193" s="49" t="str">
        <x:v>DRAFT_DAY_FP</x:v>
      </x:c>
      <x:c r="X193" s="49" t="str">
        <x:v>TOP-200 RESEARCH</x:v>
      </x:c>
      <x:c r="Y193" s="49" t="str">
        <x:v>2026-10-10</x:v>
      </x:c>
      <x:c r="Z193" s="50" t="str">
        <x:v>https://www.nba.com/players</x:v>
      </x:c>
      <x:c r="AA193" s="50" t="str">
        <x:v>https://basketball.realgm.com/nba/stats/2026/Averages/All/points/All/desc/1/Regular_Season</x:v>
      </x:c>
    </x:row>
    <x:row r="194" ht="30" customHeight="1">
      <x:c r="A194" s="47" t="n">
        <x:v>189</x:v>
      </x:c>
      <x:c r="B194" t="str">
        <x:v>D'Angelo Russell</x:v>
      </x:c>
      <x:c r="C194" t="str">
        <x:v>DAL</x:v>
      </x:c>
      <x:c r="D194" t="str">
        <x:v>PG</x:v>
      </x:c>
      <x:c r="E194" t="str">
        <x:v>PG/SG</x:v>
      </x:c>
      <x:c r="F194" s="47"/>
      <x:c r="G194" s="22"/>
      <x:c r="H194" s="22" t="n">
        <x:v>17.89</x:v>
      </x:c>
      <x:c r="I194" s="22" t="n">
        <x:v>24.89</x:v>
      </x:c>
      <x:c r="J194" s="22" t="n">
        <x:v>70</x:v>
      </x:c>
      <x:c r="K194" s="22" t="str">
        <x:v>DEEP</x:v>
      </x:c>
      <x:c r="L194" s="22" t="n">
        <x:v>21.39</x:v>
      </x:c>
      <x:c r="M194" s="30" t="n">
        <x:v>1497.3</x:v>
      </x:c>
      <x:c r="N194" t="str">
        <x:v>Available</x:v>
      </x:c>
      <x:c r="O194" s="16" t="str">
        <x:v>Deep-board candidate for a 10-team league; custom-format estimate emphasizes role, efficiency and rebounding. Recheck camp role and app eligibility before draft day.</x:v>
      </x:c>
      <x:c r="P194" s="22" t="n">
        <x:v>21.39</x:v>
      </x:c>
      <x:c r="Q194" s="22"/>
      <x:c r="R194" s="22" t="n">
        <x:v>21.39</x:v>
      </x:c>
      <x:c r="S194" s="22" t="n">
        <x:v>0</x:v>
      </x:c>
      <x:c r="T194" t="str">
        <x:v>https://ca.sports.yahoo.com/news/2026-27-fantasy-basketball-rankings-top-200-players-points-leagues-182942270.html</x:v>
      </x:c>
      <x:c r="U194" s="49" t="str">
        <x:v>DEEP</x:v>
      </x:c>
      <x:c r="V194" s="49" t="str">
        <x:v>MEDIUM</x:v>
      </x:c>
      <x:c r="W194" s="49" t="str">
        <x:v>DEEP_ESTIMATE</x:v>
      </x:c>
      <x:c r="X194" s="49" t="str">
        <x:v>TOP-200 RESEARCH</x:v>
      </x:c>
      <x:c r="Y194" s="49" t="str">
        <x:v>2026-09-28</x:v>
      </x:c>
      <x:c r="Z194" s="50" t="str">
        <x:v>https://www.nba.com/players</x:v>
      </x:c>
      <x:c r="AA194" s="50" t="str">
        <x:v>https://basketball.realgm.com/nba/stats/2026/Averages/All/points/All/desc/1/Regular_Season</x:v>
      </x:c>
    </x:row>
    <x:row r="195" ht="30" customHeight="1">
      <x:c r="A195" s="47" t="n">
        <x:v>190</x:v>
      </x:c>
      <x:c r="B195" t="str">
        <x:v>Deandre Ayton</x:v>
      </x:c>
      <x:c r="C195" t="str">
        <x:v>LAL</x:v>
      </x:c>
      <x:c r="D195" t="str">
        <x:v>C</x:v>
      </x:c>
      <x:c r="E195" t="str">
        <x:v>C</x:v>
      </x:c>
      <x:c r="F195" s="47"/>
      <x:c r="G195" s="22"/>
      <x:c r="H195" s="22" t="n">
        <x:v>17.98</x:v>
      </x:c>
      <x:c r="I195" s="22" t="n">
        <x:v>24.98</x:v>
      </x:c>
      <x:c r="J195" s="22" t="n">
        <x:v>70</x:v>
      </x:c>
      <x:c r="K195" s="22" t="str">
        <x:v>DEEP</x:v>
      </x:c>
      <x:c r="L195" s="22" t="n">
        <x:v>21.48</x:v>
      </x:c>
      <x:c r="M195" s="30" t="n">
        <x:v>1503.6000000000001</x:v>
      </x:c>
      <x:c r="N195" t="str">
        <x:v>Available</x:v>
      </x:c>
      <x:c r="O195" s="16" t="str">
        <x:v>Deep-board candidate for a 10-team league; custom-format estimate emphasizes role, efficiency and rebounding. Recheck camp role and app eligibility before draft day.</x:v>
      </x:c>
      <x:c r="P195" s="22" t="n">
        <x:v>21.48</x:v>
      </x:c>
      <x:c r="Q195" s="22"/>
      <x:c r="R195" s="22" t="n">
        <x:v>21.48</x:v>
      </x:c>
      <x:c r="S195" s="22" t="n">
        <x:v>0</x:v>
      </x:c>
      <x:c r="T195" t="str">
        <x:v>https://ca.sports.yahoo.com/news/2026-27-fantasy-basketball-rankings-top-200-players-points-leagues-182942270.html</x:v>
      </x:c>
      <x:c r="U195" s="49" t="str">
        <x:v>DEEP</x:v>
      </x:c>
      <x:c r="V195" s="49" t="str">
        <x:v>MEDIUM</x:v>
      </x:c>
      <x:c r="W195" s="49" t="str">
        <x:v>DEEP_ESTIMATE</x:v>
      </x:c>
      <x:c r="X195" s="49" t="str">
        <x:v>TOP-200 RESEARCH</x:v>
      </x:c>
      <x:c r="Y195" s="49" t="str">
        <x:v>2026-09-28</x:v>
      </x:c>
      <x:c r="Z195" s="50" t="str">
        <x:v>https://www.nba.com/players</x:v>
      </x:c>
      <x:c r="AA195" s="50" t="str">
        <x:v>https://basketball.realgm.com/nba/stats/2026/Averages/All/points/All/desc/1/Regular_Season</x:v>
      </x:c>
    </x:row>
    <x:row r="196" ht="30" customHeight="1">
      <x:c r="A196" s="47" t="n">
        <x:v>191</x:v>
      </x:c>
      <x:c r="B196" t="str">
        <x:v>Jaylon Tyson</x:v>
      </x:c>
      <x:c r="C196" t="str">
        <x:v>CLE</x:v>
      </x:c>
      <x:c r="D196" t="str">
        <x:v>SG</x:v>
      </x:c>
      <x:c r="E196" t="str">
        <x:v>SG</x:v>
      </x:c>
      <x:c r="F196" s="47" t="n">
        <x:v>66</x:v>
      </x:c>
      <x:c r="G196" s="22" t="n">
        <x:v>27</x:v>
      </x:c>
      <x:c r="H196" s="22" t="n">
        <x:v>18.744999999999997</x:v>
      </x:c>
      <x:c r="I196" s="22" t="n">
        <x:v>26.975</x:v>
      </x:c>
      <x:c r="J196" s="22" t="n">
        <x:v>60</x:v>
      </x:c>
      <x:c r="K196" s="22" t="str">
        <x:v>DEEP</x:v>
      </x:c>
      <x:c r="L196" s="22" t="n">
        <x:v>22.86</x:v>
      </x:c>
      <x:c r="M196" s="30" t="n">
        <x:v>1371.6</x:v>
      </x:c>
      <x:c r="N196" t="str">
        <x:v>Available</x:v>
      </x:c>
      <x:c r="O196" s="16" t="str">
        <x:v>Deep-pool model: 2025-26 custom-score production shrunk toward a conservative 2026-27 role estimate; not a published projection.</x:v>
      </x:c>
      <x:c r="P196" s="22"/>
      <x:c r="Q196" s="22"/>
      <x:c r="R196" s="22" t="n">
        <x:v>22.86</x:v>
      </x:c>
      <x:c r="S196" s="22" t="n">
        <x:v>0</x:v>
      </x:c>
      <x:c r="T196" t="str">
        <x:v>https://github.com/plourr03/wolves-front-office/blob/5d152a169188fb9b210186a7a0d3403d4081ed38/kuminga/data/roster_snapshot_2026_27_v3.csv</x:v>
      </x:c>
      <x:c r="U196" s="49" t="str">
        <x:v>DEEP</x:v>
      </x:c>
      <x:c r="V196" s="49" t="str">
        <x:v>HIGH</x:v>
      </x:c>
      <x:c r="W196" s="49" t="str">
        <x:v>MODEL</x:v>
      </x:c>
      <x:c r="X196" s="49" t="str">
        <x:v>STANDARD</x:v>
      </x:c>
      <x:c r="Y196" s="49" t="str">
        <x:v>2026-09-28 master / roster context 2026-09-03+</x:v>
      </x:c>
      <x:c r="Z196" s="50" t="str">
        <x:v>https://github.com/plourr03/wolves-front-office/blob/5d152a169188fb9b210186a7a0d3403d4081ed38/kuminga/data/roster_snapshot_2026_27_v3.csv</x:v>
      </x:c>
      <x:c r="AA196" s="50" t="str">
        <x:v>https://github.com/ballacademy/NBA-head-to-head-/blob/5b1decfc31ffb645469c7ffbd01aaca4b18181bd/data/nba-stats/nba-player-stats-202526-regular-season-per-game.csv</x:v>
      </x:c>
    </x:row>
    <x:row r="197" ht="30" customHeight="1">
      <x:c r="A197" s="47" t="n">
        <x:v>192</x:v>
      </x:c>
      <x:c r="B197" t="str">
        <x:v>Day'Ron Sharpe</x:v>
      </x:c>
      <x:c r="C197" t="str">
        <x:v>BKN</x:v>
      </x:c>
      <x:c r="D197" t="str">
        <x:v>C</x:v>
      </x:c>
      <x:c r="E197" t="str">
        <x:v>C</x:v>
      </x:c>
      <x:c r="F197" s="47" t="n">
        <x:v>62</x:v>
      </x:c>
      <x:c r="G197" s="22" t="n">
        <x:v>26.15</x:v>
      </x:c>
      <x:c r="H197" s="22" t="n">
        <x:v>18.65</x:v>
      </x:c>
      <x:c r="I197" s="22" t="n">
        <x:v>26.83</x:v>
      </x:c>
      <x:c r="J197" s="22" t="n">
        <x:v>60</x:v>
      </x:c>
      <x:c r="K197" s="22" t="str">
        <x:v>DEEP</x:v>
      </x:c>
      <x:c r="L197" s="22" t="n">
        <x:v>22.74</x:v>
      </x:c>
      <x:c r="M197" s="30" t="n">
        <x:v>1364.3999999999999</x:v>
      </x:c>
      <x:c r="N197" t="str">
        <x:v>Available</x:v>
      </x:c>
      <x:c r="O197" s="16" t="str">
        <x:v>Deep-pool model: 2025-26 custom-score production shrunk toward a conservative 2026-27 role estimate; not a published projection.</x:v>
      </x:c>
      <x:c r="P197" s="22"/>
      <x:c r="Q197" s="22"/>
      <x:c r="R197" s="22" t="n">
        <x:v>22.74</x:v>
      </x:c>
      <x:c r="S197" s="22" t="n">
        <x:v>0</x:v>
      </x:c>
      <x:c r="T197" t="str">
        <x:v>https://github.com/plourr03/wolves-front-office/blob/5d152a169188fb9b210186a7a0d3403d4081ed38/kuminga/data/roster_snapshot_2026_27_v3.csv</x:v>
      </x:c>
      <x:c r="U197" s="49" t="str">
        <x:v>DEEP</x:v>
      </x:c>
      <x:c r="V197" s="49" t="str">
        <x:v>HIGH</x:v>
      </x:c>
      <x:c r="W197" s="49" t="str">
        <x:v>MODEL</x:v>
      </x:c>
      <x:c r="X197" s="49" t="str">
        <x:v>STANDARD</x:v>
      </x:c>
      <x:c r="Y197" s="49" t="str">
        <x:v>2026-09-28 master / roster context 2026-09-03+</x:v>
      </x:c>
      <x:c r="Z197" s="50" t="str">
        <x:v>https://github.com/plourr03/wolves-front-office/blob/5d152a169188fb9b210186a7a0d3403d4081ed38/kuminga/data/roster_snapshot_2026_27_v3.csv</x:v>
      </x:c>
      <x:c r="AA197" s="50" t="str">
        <x:v>https://github.com/ballacademy/NBA-head-to-head-/blob/5b1decfc31ffb645469c7ffbd01aaca4b18181bd/data/nba-stats/nba-player-stats-202526-regular-season-per-game.csv</x:v>
      </x:c>
    </x:row>
    <x:row r="198" ht="30" customHeight="1">
      <x:c r="A198" s="47" t="n">
        <x:v>193</x:v>
      </x:c>
      <x:c r="B198" t="str">
        <x:v>Mitchell Robinson</x:v>
      </x:c>
      <x:c r="C198" t="str">
        <x:v>BOS</x:v>
      </x:c>
      <x:c r="D198" t="str">
        <x:v>C</x:v>
      </x:c>
      <x:c r="E198" t="str">
        <x:v>C</x:v>
      </x:c>
      <x:c r="F198" s="47"/>
      <x:c r="G198" s="22"/>
      <x:c r="H198" s="22" t="n">
        <x:v>17.64</x:v>
      </x:c>
      <x:c r="I198" s="22" t="n">
        <x:v>24.64</x:v>
      </x:c>
      <x:c r="J198" s="22" t="n">
        <x:v>70</x:v>
      </x:c>
      <x:c r="K198" s="22" t="str">
        <x:v>DEEP</x:v>
      </x:c>
      <x:c r="L198" s="22" t="n">
        <x:v>21.14</x:v>
      </x:c>
      <x:c r="M198" s="30" t="n">
        <x:v>1479.8</x:v>
      </x:c>
      <x:c r="N198" t="str">
        <x:v>Available</x:v>
      </x:c>
      <x:c r="O198" s="16" t="str">
        <x:v>Deep-board candidate for a 10-team league; custom-format estimate emphasizes role, efficiency and rebounding. Recheck camp role and app eligibility before draft day.</x:v>
      </x:c>
      <x:c r="P198" s="22" t="n">
        <x:v>21.14</x:v>
      </x:c>
      <x:c r="Q198" s="22"/>
      <x:c r="R198" s="22" t="n">
        <x:v>21.14</x:v>
      </x:c>
      <x:c r="S198" s="22" t="n">
        <x:v>0</x:v>
      </x:c>
      <x:c r="T198" t="str">
        <x:v>https://ca.sports.yahoo.com/news/2026-27-fantasy-basketball-rankings-top-200-players-points-leagues-182942270.html</x:v>
      </x:c>
      <x:c r="U198" s="49" t="str">
        <x:v>DEEP</x:v>
      </x:c>
      <x:c r="V198" s="49" t="str">
        <x:v>MEDIUM</x:v>
      </x:c>
      <x:c r="W198" s="49" t="str">
        <x:v>DEEP_ESTIMATE</x:v>
      </x:c>
      <x:c r="X198" s="49" t="str">
        <x:v>TOP-200 RESEARCH</x:v>
      </x:c>
      <x:c r="Y198" s="49" t="str">
        <x:v>2026-09-28</x:v>
      </x:c>
      <x:c r="Z198" s="50" t="str">
        <x:v>https://www.nba.com/players</x:v>
      </x:c>
      <x:c r="AA198" s="50" t="str">
        <x:v>https://basketball.realgm.com/nba/stats/2026/Averages/All/points/All/desc/1/Regular_Season</x:v>
      </x:c>
    </x:row>
    <x:row r="199" ht="30" customHeight="1">
      <x:c r="A199" s="47" t="n">
        <x:v>194</x:v>
      </x:c>
      <x:c r="B199" t="str">
        <x:v>Jock Landale</x:v>
      </x:c>
      <x:c r="C199" t="str">
        <x:v>ATL</x:v>
      </x:c>
      <x:c r="D199" t="str">
        <x:v>C</x:v>
      </x:c>
      <x:c r="E199" t="str">
        <x:v>C</x:v>
      </x:c>
      <x:c r="F199" s="47" t="n">
        <x:v>68</x:v>
      </x:c>
      <x:c r="G199" s="22" t="n">
        <x:v>25.9</x:v>
      </x:c>
      <x:c r="H199" s="22" t="n">
        <x:v>18.64</x:v>
      </x:c>
      <x:c r="I199" s="22" t="n">
        <x:v>26.82</x:v>
      </x:c>
      <x:c r="J199" s="22" t="n">
        <x:v>60</x:v>
      </x:c>
      <x:c r="K199" s="22" t="str">
        <x:v>DEEP</x:v>
      </x:c>
      <x:c r="L199" s="22" t="n">
        <x:v>22.73</x:v>
      </x:c>
      <x:c r="M199" s="30" t="n">
        <x:v>1363.8</x:v>
      </x:c>
      <x:c r="N199" t="str">
        <x:v>Available</x:v>
      </x:c>
      <x:c r="O199" s="16" t="str">
        <x:v>Deep-pool model: 2025-26 custom-score production shrunk toward a conservative 2026-27 role estimate; not a published projection.</x:v>
      </x:c>
      <x:c r="P199" s="22"/>
      <x:c r="Q199" s="22"/>
      <x:c r="R199" s="22" t="n">
        <x:v>22.73</x:v>
      </x:c>
      <x:c r="S199" s="22" t="n">
        <x:v>0</x:v>
      </x:c>
      <x:c r="T199" t="str">
        <x:v>https://github.com/plourr03/wolves-front-office/blob/5d152a169188fb9b210186a7a0d3403d4081ed38/kuminga/data/roster_snapshot_2026_27_v3.csv</x:v>
      </x:c>
      <x:c r="U199" s="49" t="str">
        <x:v>DEEP</x:v>
      </x:c>
      <x:c r="V199" s="49" t="str">
        <x:v>HIGH</x:v>
      </x:c>
      <x:c r="W199" s="49" t="str">
        <x:v>MODEL</x:v>
      </x:c>
      <x:c r="X199" s="49" t="str">
        <x:v>STANDARD</x:v>
      </x:c>
      <x:c r="Y199" s="49" t="str">
        <x:v>2026-09-28 master / roster context 2026-09-03+</x:v>
      </x:c>
      <x:c r="Z199" s="50" t="str">
        <x:v>https://github.com/plourr03/wolves-front-office/blob/5d152a169188fb9b210186a7a0d3403d4081ed38/kuminga/data/roster_snapshot_2026_27_v3.csv</x:v>
      </x:c>
      <x:c r="AA199" s="50" t="str">
        <x:v>https://github.com/ballacademy/NBA-head-to-head-/blob/5b1decfc31ffb645469c7ffbd01aaca4b18181bd/data/nba-stats/nba-player-stats-202526-regular-season-per-game.csv</x:v>
      </x:c>
    </x:row>
    <x:row r="200" ht="30" customHeight="1">
      <x:c r="A200" s="47" t="n">
        <x:v>195</x:v>
      </x:c>
      <x:c r="B200" t="str">
        <x:v>Anfernee Simons</x:v>
      </x:c>
      <x:c r="C200" t="str">
        <x:v>PHI</x:v>
      </x:c>
      <x:c r="D200" t="str">
        <x:v>SG</x:v>
      </x:c>
      <x:c r="E200" t="str">
        <x:v>PG/SG</x:v>
      </x:c>
      <x:c r="F200" s="47" t="n">
        <x:v>55</x:v>
      </x:c>
      <x:c r="G200" s="22" t="n">
        <x:v>22.85</x:v>
      </x:c>
      <x:c r="H200" s="22" t="n">
        <x:v>18.76513057666221</x:v>
      </x:c>
      <x:c r="I200" s="22" t="n">
        <x:v>25.885130576662206</x:v>
      </x:c>
      <x:c r="J200" s="22" t="n">
        <x:v>72</x:v>
      </x:c>
      <x:c r="K200" s="22" t="str">
        <x:v>DEEP</x:v>
      </x:c>
      <x:c r="L200" s="22" t="n">
        <x:v>22.325130576662207</x:v>
      </x:c>
      <x:c r="M200" s="30" t="n">
        <x:v>1607.409401519679</x:v>
      </x:c>
      <x:c r="N200" t="str">
        <x:v>Available</x:v>
      </x:c>
      <x:c r="O200" s="16" t="str">
        <x:v>Deep-pool model: 2025-26 custom-score production shrunk toward a conservative 2026-27 role estimate; not a published projection.</x:v>
      </x:c>
      <x:c r="P200" s="22" t="n">
        <x:v>22.325130576662207</x:v>
      </x:c>
      <x:c r="Q200" s="22"/>
      <x:c r="R200" s="22" t="n">
        <x:v>22.325130576662207</x:v>
      </x:c>
      <x:c r="S200" s="22" t="n">
        <x:v>0</x:v>
      </x:c>
      <x:c r="T200" t="str">
        <x:v>https://www.fantasypros.com/nba/projections/overall.php</x:v>
      </x:c>
      <x:c r="U200" s="49" t="str">
        <x:v>DEEP</x:v>
      </x:c>
      <x:c r="V200" s="49" t="str">
        <x:v>HIGH</x:v>
      </x:c>
      <x:c r="W200" s="49" t="str">
        <x:v>DRAFT_DAY_FP</x:v>
      </x:c>
      <x:c r="X200" s="49" t="str">
        <x:v>STANDARD</x:v>
      </x:c>
      <x:c r="Y200" s="49" t="str">
        <x:v>2026-10-10</x:v>
      </x:c>
      <x:c r="Z200" s="50" t="str">
        <x:v>https://github.com/plourr03/wolves-front-office/blob/5d152a169188fb9b210186a7a0d3403d4081ed38/kuminga/data/roster_snapshot_2026_27_v3.csv</x:v>
      </x:c>
      <x:c r="AA200" s="50" t="str">
        <x:v>https://github.com/ballacademy/NBA-head-to-head-/blob/5b1decfc31ffb645469c7ffbd01aaca4b18181bd/data/nba-stats/nba-player-stats-202526-regular-season-per-game.csv</x:v>
      </x:c>
    </x:row>
    <x:row r="201" ht="30" customHeight="1">
      <x:c r="A201" s="47" t="n">
        <x:v>196</x:v>
      </x:c>
      <x:c r="B201" t="str">
        <x:v>Neemias Queta</x:v>
      </x:c>
      <x:c r="C201" t="str">
        <x:v>BOS</x:v>
      </x:c>
      <x:c r="D201" t="str">
        <x:v>C</x:v>
      </x:c>
      <x:c r="E201" t="str">
        <x:v>C</x:v>
      </x:c>
      <x:c r="F201" s="47"/>
      <x:c r="G201" s="22"/>
      <x:c r="H201" s="22" t="n">
        <x:v>17.52</x:v>
      </x:c>
      <x:c r="I201" s="22" t="n">
        <x:v>24.52</x:v>
      </x:c>
      <x:c r="J201" s="22" t="n">
        <x:v>70</x:v>
      </x:c>
      <x:c r="K201" s="22" t="str">
        <x:v>DEEP</x:v>
      </x:c>
      <x:c r="L201" s="22" t="n">
        <x:v>21.02</x:v>
      </x:c>
      <x:c r="M201" s="30" t="n">
        <x:v>1471.3999999999999</x:v>
      </x:c>
      <x:c r="N201" t="str">
        <x:v>Available</x:v>
      </x:c>
      <x:c r="O201" s="16" t="str">
        <x:v>Deep-board candidate for a 10-team league; custom-format estimate emphasizes role, efficiency and rebounding. Recheck camp role and app eligibility before draft day.</x:v>
      </x:c>
      <x:c r="P201" s="22" t="n">
        <x:v>21.02</x:v>
      </x:c>
      <x:c r="Q201" s="22"/>
      <x:c r="R201" s="22" t="n">
        <x:v>21.02</x:v>
      </x:c>
      <x:c r="S201" s="22" t="n">
        <x:v>0</x:v>
      </x:c>
      <x:c r="T201" t="str">
        <x:v>https://ca.sports.yahoo.com/news/2026-27-fantasy-basketball-rankings-top-200-players-points-leagues-182942270.html</x:v>
      </x:c>
      <x:c r="U201" s="49" t="str">
        <x:v>DEEP</x:v>
      </x:c>
      <x:c r="V201" s="49" t="str">
        <x:v>MEDIUM</x:v>
      </x:c>
      <x:c r="W201" s="49" t="str">
        <x:v>DEEP_ESTIMATE</x:v>
      </x:c>
      <x:c r="X201" s="49" t="str">
        <x:v>TOP-200 RESEARCH</x:v>
      </x:c>
      <x:c r="Y201" s="49" t="str">
        <x:v>2026-09-28</x:v>
      </x:c>
      <x:c r="Z201" s="50" t="str">
        <x:v>https://www.nba.com/players</x:v>
      </x:c>
      <x:c r="AA201" s="50" t="str">
        <x:v>https://basketball.realgm.com/nba/stats/2026/Averages/All/points/All/desc/1/Regular_Season</x:v>
      </x:c>
    </x:row>
    <x:row r="202" ht="30" customHeight="1">
      <x:c r="A202" s="47" t="n">
        <x:v>197</x:v>
      </x:c>
      <x:c r="B202" t="str">
        <x:v>Kristaps Porzingis</x:v>
      </x:c>
      <x:c r="C202" t="str">
        <x:v>GSW</x:v>
      </x:c>
      <x:c r="D202" t="str">
        <x:v>C</x:v>
      </x:c>
      <x:c r="E202" t="str">
        <x:v>PF/C</x:v>
      </x:c>
      <x:c r="F202" s="47" t="n">
        <x:v>32</x:v>
      </x:c>
      <x:c r="G202" s="22" t="n">
        <x:v>32.550000000000004</x:v>
      </x:c>
      <x:c r="H202" s="22" t="n">
        <x:v>26.46176861721606</x:v>
      </x:c>
      <x:c r="I202" s="22" t="n">
        <x:v>42.46176861721606</x:v>
      </x:c>
      <x:c r="J202" s="22" t="n">
        <x:v>35</x:v>
      </x:c>
      <x:c r="K202" s="22" t="str">
        <x:v>HIGH</x:v>
      </x:c>
      <x:c r="L202" s="22" t="n">
        <x:v>34.46176861721606</x:v>
      </x:c>
      <x:c r="M202" s="30" t="n">
        <x:v>1206.161901602562</x:v>
      </x:c>
      <x:c r="N202" t="str">
        <x:v>Available</x:v>
      </x:c>
      <x:c r="O202" s="16" t="str">
        <x:v>OUT INDEFINITELY with an unresolved health issue and no return timetable. Treat as late stash, not a normal mid-round target.</x:v>
      </x:c>
      <x:c r="P202" s="22" t="n">
        <x:v>34.46176861721606</x:v>
      </x:c>
      <x:c r="Q202" s="22"/>
      <x:c r="R202" s="22" t="n">
        <x:v>34.46176861721606</x:v>
      </x:c>
      <x:c r="S202" s="22" t="n">
        <x:v>0</x:v>
      </x:c>
      <x:c r="T202" t="str">
        <x:v>https://www.nba.com/news/kristaps-porzingis-health-issue-out-indefinitely</x:v>
      </x:c>
      <x:c r="U202" s="49" t="str">
        <x:v>CORE</x:v>
      </x:c>
      <x:c r="V202" s="49" t="str">
        <x:v>HIGH</x:v>
      </x:c>
      <x:c r="W202" s="49" t="str">
        <x:v>DRAFT_DAY_FP</x:v>
      </x:c>
      <x:c r="X202" s="49" t="str">
        <x:v>TOP-200 RESEARCH</x:v>
      </x:c>
      <x:c r="Y202" s="49" t="str">
        <x:v>2026-10-10</x:v>
      </x:c>
      <x:c r="Z202" s="50" t="str">
        <x:v>https://www.nba.com/players</x:v>
      </x:c>
      <x:c r="AA202" s="50" t="str">
        <x:v>https://basketball.realgm.com/nba/stats/2026/Averages/All/points/All/desc/1/Regular_Season</x:v>
      </x:c>
    </x:row>
    <x:row r="203" ht="30" customHeight="1">
      <x:c r="A203" s="47" t="n">
        <x:v>198</x:v>
      </x:c>
      <x:c r="B203" t="str">
        <x:v>Marvin Bagley III</x:v>
      </x:c>
      <x:c r="C203" t="str">
        <x:v>DEN</x:v>
      </x:c>
      <x:c r="D203" t="str">
        <x:v>PF</x:v>
      </x:c>
      <x:c r="E203" t="str">
        <x:v>PF</x:v>
      </x:c>
      <x:c r="F203" s="47" t="n">
        <x:v>60</x:v>
      </x:c>
      <x:c r="G203" s="22" t="n">
        <x:v>26.45</x:v>
      </x:c>
      <x:c r="H203" s="22" t="n">
        <x:v>18.200000000000003</x:v>
      </x:c>
      <x:c r="I203" s="22" t="n">
        <x:v>26.18</x:v>
      </x:c>
      <x:c r="J203" s="22" t="n">
        <x:v>60</x:v>
      </x:c>
      <x:c r="K203" s="22" t="str">
        <x:v>DEEP</x:v>
      </x:c>
      <x:c r="L203" s="22" t="n">
        <x:v>22.19</x:v>
      </x:c>
      <x:c r="M203" s="30" t="n">
        <x:v>1331.4</x:v>
      </x:c>
      <x:c r="N203" t="str">
        <x:v>Available</x:v>
      </x:c>
      <x:c r="O203" s="16" t="str">
        <x:v>Deep-pool model: 2025-26 custom-score production shrunk toward a conservative 2026-27 role estimate; not a published projection.</x:v>
      </x:c>
      <x:c r="P203" s="22"/>
      <x:c r="Q203" s="22"/>
      <x:c r="R203" s="22" t="n">
        <x:v>22.19</x:v>
      </x:c>
      <x:c r="S203" s="22" t="n">
        <x:v>0</x:v>
      </x:c>
      <x:c r="T203" t="str">
        <x:v>https://github.com/plourr03/wolves-front-office/blob/5d152a169188fb9b210186a7a0d3403d4081ed38/kuminga/data/roster_snapshot_2026_27_v3.csv</x:v>
      </x:c>
      <x:c r="U203" s="49" t="str">
        <x:v>DEEP</x:v>
      </x:c>
      <x:c r="V203" s="49" t="str">
        <x:v>HIGH</x:v>
      </x:c>
      <x:c r="W203" s="49" t="str">
        <x:v>MODEL</x:v>
      </x:c>
      <x:c r="X203" s="49" t="str">
        <x:v>STANDARD</x:v>
      </x:c>
      <x:c r="Y203" s="49" t="str">
        <x:v>2026-09-28 master / roster context 2026-09-03+</x:v>
      </x:c>
      <x:c r="Z203" s="50" t="str">
        <x:v>https://github.com/plourr03/wolves-front-office/blob/5d152a169188fb9b210186a7a0d3403d4081ed38/kuminga/data/roster_snapshot_2026_27_v3.csv</x:v>
      </x:c>
      <x:c r="AA203" s="50" t="str">
        <x:v>https://github.com/ballacademy/NBA-head-to-head-/blob/5b1decfc31ffb645469c7ffbd01aaca4b18181bd/data/nba-stats/nba-player-stats-202526-regular-season-per-game.csv</x:v>
      </x:c>
    </x:row>
    <x:row r="204" ht="30" customHeight="1">
      <x:c r="A204" s="47" t="n">
        <x:v>199</x:v>
      </x:c>
      <x:c r="B204" t="str">
        <x:v>Jared McCain</x:v>
      </x:c>
      <x:c r="C204" t="str">
        <x:v>PHI</x:v>
      </x:c>
      <x:c r="D204" t="str">
        <x:v>SG</x:v>
      </x:c>
      <x:c r="E204" t="str">
        <x:v>PG/SG</x:v>
      </x:c>
      <x:c r="F204" s="47"/>
      <x:c r="G204" s="22"/>
      <x:c r="H204" s="22" t="n">
        <x:v>17.12</x:v>
      </x:c>
      <x:c r="I204" s="22" t="n">
        <x:v>24.12</x:v>
      </x:c>
      <x:c r="J204" s="22" t="n">
        <x:v>70</x:v>
      </x:c>
      <x:c r="K204" s="22" t="str">
        <x:v>DEEP</x:v>
      </x:c>
      <x:c r="L204" s="22" t="n">
        <x:v>20.62</x:v>
      </x:c>
      <x:c r="M204" s="30" t="n">
        <x:v>1443.4</x:v>
      </x:c>
      <x:c r="N204" t="str">
        <x:v>Available</x:v>
      </x:c>
      <x:c r="O204" s="16" t="str">
        <x:v>Deep-board candidate for a 10-team league; custom-format estimate emphasizes role, efficiency and rebounding. Recheck camp role and app eligibility before draft day.</x:v>
      </x:c>
      <x:c r="P204" s="22" t="n">
        <x:v>20.62</x:v>
      </x:c>
      <x:c r="Q204" s="22"/>
      <x:c r="R204" s="22" t="n">
        <x:v>20.62</x:v>
      </x:c>
      <x:c r="S204" s="22" t="n">
        <x:v>0</x:v>
      </x:c>
      <x:c r="T204" t="str">
        <x:v>https://ca.sports.yahoo.com/news/2026-27-fantasy-basketball-rankings-top-200-players-points-leagues-182942270.html</x:v>
      </x:c>
      <x:c r="U204" s="49" t="str">
        <x:v>DEEP</x:v>
      </x:c>
      <x:c r="V204" s="49" t="str">
        <x:v>MEDIUM</x:v>
      </x:c>
      <x:c r="W204" s="49" t="str">
        <x:v>DEEP_ESTIMATE</x:v>
      </x:c>
      <x:c r="X204" s="49" t="str">
        <x:v>TOP-200 RESEARCH</x:v>
      </x:c>
      <x:c r="Y204" s="49" t="str">
        <x:v>2026-09-28</x:v>
      </x:c>
      <x:c r="Z204" s="50" t="str">
        <x:v>https://www.nba.com/players</x:v>
      </x:c>
      <x:c r="AA204" s="50" t="str">
        <x:v>https://basketball.realgm.com/nba/stats/2026/Averages/All/points/All/desc/1/Regular_Season</x:v>
      </x:c>
    </x:row>
    <x:row r="205" ht="30" customHeight="1">
      <x:c r="A205" s="47" t="n">
        <x:v>200</x:v>
      </x:c>
      <x:c r="B205" t="str">
        <x:v>Precious Achiuwa</x:v>
      </x:c>
      <x:c r="C205" t="str">
        <x:v>SAC</x:v>
      </x:c>
      <x:c r="D205" t="str">
        <x:v>PF</x:v>
      </x:c>
      <x:c r="E205" t="str">
        <x:v>PF</x:v>
      </x:c>
      <x:c r="F205" s="47" t="n">
        <x:v>73</x:v>
      </x:c>
      <x:c r="G205" s="22" t="n">
        <x:v>25.85</x:v>
      </x:c>
      <x:c r="H205" s="22" t="n">
        <x:v>18.17</x:v>
      </x:c>
      <x:c r="I205" s="22" t="n">
        <x:v>26.15</x:v>
      </x:c>
      <x:c r="J205" s="22" t="n">
        <x:v>60</x:v>
      </x:c>
      <x:c r="K205" s="22" t="str">
        <x:v>DEEP</x:v>
      </x:c>
      <x:c r="L205" s="22" t="n">
        <x:v>22.16</x:v>
      </x:c>
      <x:c r="M205" s="30" t="n">
        <x:v>1329.6</x:v>
      </x:c>
      <x:c r="N205" t="str">
        <x:v>Available</x:v>
      </x:c>
      <x:c r="O205" s="16" t="str">
        <x:v>Deep-pool model: 2025-26 custom-score production shrunk toward a conservative 2026-27 role estimate; not a published projection.</x:v>
      </x:c>
      <x:c r="P205" s="22"/>
      <x:c r="Q205" s="22"/>
      <x:c r="R205" s="22" t="n">
        <x:v>22.16</x:v>
      </x:c>
      <x:c r="S205" s="22" t="n">
        <x:v>0</x:v>
      </x:c>
      <x:c r="T205" t="str">
        <x:v>https://github.com/plourr03/wolves-front-office/blob/5d152a169188fb9b210186a7a0d3403d4081ed38/kuminga/data/roster_snapshot_2026_27_v3.csv</x:v>
      </x:c>
      <x:c r="U205" s="49" t="str">
        <x:v>DEEP</x:v>
      </x:c>
      <x:c r="V205" s="49" t="str">
        <x:v>HIGH</x:v>
      </x:c>
      <x:c r="W205" s="49" t="str">
        <x:v>MODEL</x:v>
      </x:c>
      <x:c r="X205" s="49" t="str">
        <x:v>STANDARD</x:v>
      </x:c>
      <x:c r="Y205" s="49" t="str">
        <x:v>2026-09-28 master / roster context 2026-09-03+</x:v>
      </x:c>
      <x:c r="Z205" s="50" t="str">
        <x:v>https://github.com/plourr03/wolves-front-office/blob/5d152a169188fb9b210186a7a0d3403d4081ed38/kuminga/data/roster_snapshot_2026_27_v3.csv</x:v>
      </x:c>
      <x:c r="AA205" s="50" t="str">
        <x:v>https://github.com/ballacademy/NBA-head-to-head-/blob/5b1decfc31ffb645469c7ffbd01aaca4b18181bd/data/nba-stats/nba-player-stats-202526-regular-season-per-game.csv</x:v>
      </x:c>
    </x:row>
    <x:row r="206" ht="21" customHeight="1">
      <x:c r="A206" s="64" t="n">
        <x:v>201</x:v>
      </x:c>
      <x:c r="B206" s="59" t="str">
        <x:v>Clint Capela</x:v>
      </x:c>
      <x:c r="C206" s="65" t="str">
        <x:v>HOU</x:v>
      </x:c>
      <x:c r="D206" s="65" t="str">
        <x:v>C</x:v>
      </x:c>
      <x:c r="E206" s="65" t="str">
        <x:v>C</x:v>
      </x:c>
      <x:c r="F206" s="66"/>
      <x:c r="G206" s="67"/>
      <x:c r="H206" s="67" t="n">
        <x:v>17.29</x:v>
      </x:c>
      <x:c r="I206" s="67" t="n">
        <x:v>24.29</x:v>
      </x:c>
      <x:c r="J206" s="67" t="n">
        <x:v>70</x:v>
      </x:c>
      <x:c r="K206" s="67" t="str">
        <x:v>DEEP</x:v>
      </x:c>
      <x:c r="L206" s="67" t="n">
        <x:v>20.79</x:v>
      </x:c>
      <x:c r="M206" s="68" t="n">
        <x:v>1455.3</x:v>
      </x:c>
      <x:c r="N206" s="69" t="str">
        <x:v>Available</x:v>
      </x:c>
      <x:c r="O206" s="62" t="str">
        <x:v>Deep-board candidate for a 10-team league; custom-format estimate emphasizes role, efficiency and rebounding. Recheck camp role and app eligibility before draft day.</x:v>
      </x:c>
      <x:c r="P206" s="60" t="n">
        <x:v>20.79</x:v>
      </x:c>
      <x:c r="Q206" s="60"/>
      <x:c r="R206" s="60" t="n">
        <x:v>20.79</x:v>
      </x:c>
      <x:c r="S206" s="60" t="n">
        <x:v>0</x:v>
      </x:c>
      <x:c r="T206" s="72" t="str">
        <x:v>https://ca.sports.yahoo.com/news/2026-27-fantasy-basketball-rankings-top-200-players-points-leagues-182942270.html</x:v>
      </x:c>
      <x:c r="U206" s="87" t="str">
        <x:v>DEEP</x:v>
      </x:c>
      <x:c r="V206" s="87" t="str">
        <x:v>MEDIUM</x:v>
      </x:c>
      <x:c r="W206" s="87" t="str">
        <x:v>DEEP_ESTIMATE</x:v>
      </x:c>
      <x:c r="X206" s="87" t="str">
        <x:v>TOP-200 RESEARCH</x:v>
      </x:c>
      <x:c r="Y206" s="87" t="str">
        <x:v>2026-09-28</x:v>
      </x:c>
      <x:c r="Z206" s="72" t="str">
        <x:v>https://www.nba.com/players</x:v>
      </x:c>
      <x:c r="AA206" s="72" t="str">
        <x:v>https://basketball.realgm.com/nba/stats/2026/Averages/All/points/All/desc/1/Regular_Season</x:v>
      </x:c>
    </x:row>
    <x:row r="207" ht="21" customHeight="1">
      <x:c r="A207" s="64" t="n">
        <x:v>202</x:v>
      </x:c>
      <x:c r="B207" s="59" t="str">
        <x:v>Sandro Mamukelashvili</x:v>
      </x:c>
      <x:c r="C207" s="65" t="str">
        <x:v>LAL</x:v>
      </x:c>
      <x:c r="D207" s="65" t="str">
        <x:v>C</x:v>
      </x:c>
      <x:c r="E207" s="65" t="str">
        <x:v>C</x:v>
      </x:c>
      <x:c r="F207" s="66" t="n">
        <x:v>80</x:v>
      </x:c>
      <x:c r="G207" s="67" t="n">
        <x:v>25.2</x:v>
      </x:c>
      <x:c r="H207" s="67" t="n">
        <x:v>18.14</x:v>
      </x:c>
      <x:c r="I207" s="67" t="n">
        <x:v>26.1</x:v>
      </x:c>
      <x:c r="J207" s="67" t="n">
        <x:v>60</x:v>
      </x:c>
      <x:c r="K207" s="67" t="str">
        <x:v>DEEP</x:v>
      </x:c>
      <x:c r="L207" s="67" t="n">
        <x:v>22.12</x:v>
      </x:c>
      <x:c r="M207" s="68" t="n">
        <x:v>1327.2</x:v>
      </x:c>
      <x:c r="N207" s="69" t="str">
        <x:v>Available</x:v>
      </x:c>
      <x:c r="O207" s="62" t="str">
        <x:v>Deep-pool model: 2025-26 custom-score production shrunk toward a conservative 2026-27 role estimate; not a published projection.</x:v>
      </x:c>
      <x:c r="P207" s="60"/>
      <x:c r="Q207" s="60"/>
      <x:c r="R207" s="60" t="n">
        <x:v>22.12</x:v>
      </x:c>
      <x:c r="S207" s="60" t="n">
        <x:v>0</x:v>
      </x:c>
      <x:c r="T207" s="72" t="str">
        <x:v>https://github.com/plourr03/wolves-front-office/blob/5d152a169188fb9b210186a7a0d3403d4081ed38/kuminga/data/roster_snapshot_2026_27_v3.csv</x:v>
      </x:c>
      <x:c r="U207" s="87" t="str">
        <x:v>DEEP</x:v>
      </x:c>
      <x:c r="V207" s="87" t="str">
        <x:v>HIGH</x:v>
      </x:c>
      <x:c r="W207" s="87" t="str">
        <x:v>MODEL</x:v>
      </x:c>
      <x:c r="X207" s="87" t="str">
        <x:v>STANDARD</x:v>
      </x:c>
      <x:c r="Y207" s="87" t="str">
        <x:v>2026-09-28 master / roster context 2026-09-03+</x:v>
      </x:c>
      <x:c r="Z207" s="72" t="str">
        <x:v>https://github.com/plourr03/wolves-front-office/blob/5d152a169188fb9b210186a7a0d3403d4081ed38/kuminga/data/roster_snapshot_2026_27_v3.csv</x:v>
      </x:c>
      <x:c r="AA207" s="72" t="str">
        <x:v>https://github.com/ballacademy/NBA-head-to-head-/blob/5b1decfc31ffb645469c7ffbd01aaca4b18181bd/data/nba-stats/nba-player-stats-202526-regular-season-per-game.csv</x:v>
      </x:c>
    </x:row>
    <x:row r="208" ht="21" customHeight="1">
      <x:c r="A208" s="64" t="n">
        <x:v>203</x:v>
      </x:c>
      <x:c r="B208" s="59" t="str">
        <x:v>Jusuf Nurkic</x:v>
      </x:c>
      <x:c r="C208" s="65" t="str">
        <x:v>UTA</x:v>
      </x:c>
      <x:c r="D208" s="65" t="str">
        <x:v>C</x:v>
      </x:c>
      <x:c r="E208" s="65" t="str">
        <x:v>C</x:v>
      </x:c>
      <x:c r="F208" s="66" t="n">
        <x:v>41</x:v>
      </x:c>
      <x:c r="G208" s="67" t="n">
        <x:v>32.95</x:v>
      </x:c>
      <x:c r="H208" s="67" t="n">
        <x:v>18.97</x:v>
      </x:c>
      <x:c r="I208" s="67" t="n">
        <x:v>34.97</x:v>
      </x:c>
      <x:c r="J208" s="67" t="n">
        <x:v>50</x:v>
      </x:c>
      <x:c r="K208" s="67" t="str">
        <x:v>HIGH</x:v>
      </x:c>
      <x:c r="L208" s="67" t="n">
        <x:v>26.97</x:v>
      </x:c>
      <x:c r="M208" s="68" t="n">
        <x:v>1348.5</x:v>
      </x:c>
      <x:c r="N208" s="69" t="str">
        <x:v>Available</x:v>
      </x:c>
      <x:c r="O208" s="62" t="str">
        <x:v>Partial plantar plate tear in right foot; scheduled for re-evaluation in four weeks. Significant draft-day downgrade.</x:v>
      </x:c>
      <x:c r="P208" s="60"/>
      <x:c r="Q208" s="60"/>
      <x:c r="R208" s="60" t="n">
        <x:v>26.97</x:v>
      </x:c>
      <x:c r="S208" s="60" t="n">
        <x:v>0</x:v>
      </x:c>
      <x:c r="T208" s="72" t="str">
        <x:v>https://www.nba.com/news/jazz-jusuf-nurkic-foot-injury</x:v>
      </x:c>
      <x:c r="U208" s="87" t="str">
        <x:v>DEEP</x:v>
      </x:c>
      <x:c r="V208" s="87" t="str">
        <x:v>HIGH</x:v>
      </x:c>
      <x:c r="W208" s="87" t="str">
        <x:v>DRAFT_DAY_HEALTH</x:v>
      </x:c>
      <x:c r="X208" s="87" t="str">
        <x:v>DEEP-PROMOTED</x:v>
      </x:c>
      <x:c r="Y208" s="87" t="str">
        <x:v>2026-10-10</x:v>
      </x:c>
      <x:c r="Z208" s="72" t="str">
        <x:v>https://github.com/plourr03/wolves-front-office/blob/5d152a169188fb9b210186a7a0d3403d4081ed38/kuminga/data/roster_snapshot_2026_27_v3.csv</x:v>
      </x:c>
      <x:c r="AA208" s="72" t="str">
        <x:v>https://github.com/ballacademy/NBA-head-to-head-/blob/5b1decfc31ffb645469c7ffbd01aaca4b18181bd/data/nba-stats/nba-player-stats-202526-regular-season-per-game.csv</x:v>
      </x:c>
    </x:row>
    <x:row r="209" ht="21" customHeight="1">
      <x:c r="A209" s="64" t="n">
        <x:v>204</x:v>
      </x:c>
      <x:c r="B209" s="59" t="str">
        <x:v>Tre Johnson</x:v>
      </x:c>
      <x:c r="C209" s="65" t="str">
        <x:v>WAS</x:v>
      </x:c>
      <x:c r="D209" s="65" t="str">
        <x:v>SG</x:v>
      </x:c>
      <x:c r="E209" s="65" t="str">
        <x:v>SG/SF</x:v>
      </x:c>
      <x:c r="F209" s="66"/>
      <x:c r="G209" s="67"/>
      <x:c r="H209" s="67" t="n">
        <x:v>16.89</x:v>
      </x:c>
      <x:c r="I209" s="67" t="n">
        <x:v>23.89</x:v>
      </x:c>
      <x:c r="J209" s="67" t="n">
        <x:v>70</x:v>
      </x:c>
      <x:c r="K209" s="67" t="str">
        <x:v>DEEP</x:v>
      </x:c>
      <x:c r="L209" s="67" t="n">
        <x:v>20.39</x:v>
      </x:c>
      <x:c r="M209" s="68" t="n">
        <x:v>1427.3</x:v>
      </x:c>
      <x:c r="N209" s="69" t="str">
        <x:v>Available</x:v>
      </x:c>
      <x:c r="O209" s="62" t="str">
        <x:v>Deep-board candidate for a 10-team league; custom-format estimate emphasizes role, efficiency and rebounding. Recheck camp role and app eligibility before draft day.</x:v>
      </x:c>
      <x:c r="P209" s="60" t="n">
        <x:v>20.39</x:v>
      </x:c>
      <x:c r="Q209" s="60"/>
      <x:c r="R209" s="60" t="n">
        <x:v>20.39</x:v>
      </x:c>
      <x:c r="S209" s="60" t="n">
        <x:v>0</x:v>
      </x:c>
      <x:c r="T209" s="72" t="str">
        <x:v>https://ca.sports.yahoo.com/news/2026-27-fantasy-basketball-rankings-top-200-players-points-leagues-182942270.html</x:v>
      </x:c>
      <x:c r="U209" s="87" t="str">
        <x:v>DEEP</x:v>
      </x:c>
      <x:c r="V209" s="87" t="str">
        <x:v>MEDIUM</x:v>
      </x:c>
      <x:c r="W209" s="87" t="str">
        <x:v>DEEP_ESTIMATE</x:v>
      </x:c>
      <x:c r="X209" s="87" t="str">
        <x:v>TOP-200 RESEARCH</x:v>
      </x:c>
      <x:c r="Y209" s="87" t="str">
        <x:v>2026-09-28</x:v>
      </x:c>
      <x:c r="Z209" s="72" t="str">
        <x:v>https://www.nba.com/players</x:v>
      </x:c>
      <x:c r="AA209" s="72" t="str">
        <x:v>https://basketball.realgm.com/nba/stats/2026/Averages/All/points/All/desc/1/Regular_Season</x:v>
      </x:c>
    </x:row>
    <x:row r="210" ht="21" customHeight="1">
      <x:c r="A210" s="64" t="n">
        <x:v>205</x:v>
      </x:c>
      <x:c r="B210" s="59" t="str">
        <x:v>Luke Kornet</x:v>
      </x:c>
      <x:c r="C210" s="65" t="str">
        <x:v>SAS</x:v>
      </x:c>
      <x:c r="D210" s="65" t="str">
        <x:v>C</x:v>
      </x:c>
      <x:c r="E210" s="65" t="str">
        <x:v>C</x:v>
      </x:c>
      <x:c r="F210" s="66" t="n">
        <x:v>68</x:v>
      </x:c>
      <x:c r="G210" s="67" t="n">
        <x:v>24.85</x:v>
      </x:c>
      <x:c r="H210" s="67" t="n">
        <x:v>17.8</x:v>
      </x:c>
      <x:c r="I210" s="67" t="n">
        <x:v>25.62</x:v>
      </x:c>
      <x:c r="J210" s="67" t="n">
        <x:v>60</x:v>
      </x:c>
      <x:c r="K210" s="67" t="str">
        <x:v>DEEP</x:v>
      </x:c>
      <x:c r="L210" s="67" t="n">
        <x:v>21.71</x:v>
      </x:c>
      <x:c r="M210" s="68" t="n">
        <x:v>1302.6000000000001</x:v>
      </x:c>
      <x:c r="N210" s="69" t="str">
        <x:v>Available</x:v>
      </x:c>
      <x:c r="O210" s="62" t="str">
        <x:v>Deep-pool model: 2025-26 custom-score production shrunk toward a conservative 2026-27 role estimate; not a published projection.</x:v>
      </x:c>
      <x:c r="P210" s="60"/>
      <x:c r="Q210" s="60"/>
      <x:c r="R210" s="60" t="n">
        <x:v>21.71</x:v>
      </x:c>
      <x:c r="S210" s="60" t="n">
        <x:v>0</x:v>
      </x:c>
      <x:c r="T210" s="72" t="str">
        <x:v>https://github.com/plourr03/wolves-front-office/blob/5d152a169188fb9b210186a7a0d3403d4081ed38/kuminga/data/roster_snapshot_2026_27_v3.csv</x:v>
      </x:c>
      <x:c r="U210" s="87" t="str">
        <x:v>DEEP</x:v>
      </x:c>
      <x:c r="V210" s="87" t="str">
        <x:v>HIGH</x:v>
      </x:c>
      <x:c r="W210" s="87" t="str">
        <x:v>MODEL</x:v>
      </x:c>
      <x:c r="X210" s="87" t="str">
        <x:v>STANDARD</x:v>
      </x:c>
      <x:c r="Y210" s="87" t="str">
        <x:v>2026-09-28 master / roster context 2026-09-03+</x:v>
      </x:c>
      <x:c r="Z210" s="72" t="str">
        <x:v>https://github.com/plourr03/wolves-front-office/blob/5d152a169188fb9b210186a7a0d3403d4081ed38/kuminga/data/roster_snapshot_2026_27_v3.csv</x:v>
      </x:c>
      <x:c r="AA210" s="72" t="str">
        <x:v>https://github.com/ballacademy/NBA-head-to-head-/blob/5b1decfc31ffb645469c7ffbd01aaca4b18181bd/data/nba-stats/nba-player-stats-202526-regular-season-per-game.csv</x:v>
      </x:c>
    </x:row>
    <x:row r="211" ht="21" customHeight="1">
      <x:c r="A211" s="64" t="n">
        <x:v>206</x:v>
      </x:c>
      <x:c r="B211" s="59" t="str">
        <x:v>Cam Whitmore</x:v>
      </x:c>
      <x:c r="C211" s="65" t="str">
        <x:v>WAS</x:v>
      </x:c>
      <x:c r="D211" s="65" t="str">
        <x:v>SF</x:v>
      </x:c>
      <x:c r="E211" s="65" t="str">
        <x:v>SF/PF</x:v>
      </x:c>
      <x:c r="F211" s="66"/>
      <x:c r="G211" s="67"/>
      <x:c r="H211" s="67" t="n">
        <x:v>16.66</x:v>
      </x:c>
      <x:c r="I211" s="67" t="n">
        <x:v>23.66</x:v>
      </x:c>
      <x:c r="J211" s="67" t="n">
        <x:v>70</x:v>
      </x:c>
      <x:c r="K211" s="67" t="str">
        <x:v>DEEP</x:v>
      </x:c>
      <x:c r="L211" s="67" t="n">
        <x:v>20.16</x:v>
      </x:c>
      <x:c r="M211" s="68" t="n">
        <x:v>1411.2</x:v>
      </x:c>
      <x:c r="N211" s="69" t="str">
        <x:v>Available</x:v>
      </x:c>
      <x:c r="O211" s="62" t="str">
        <x:v>Deep-board candidate for a 10-team league; custom-format estimate emphasizes role, efficiency and rebounding. Recheck camp role and app eligibility before draft day.</x:v>
      </x:c>
      <x:c r="P211" s="60" t="n">
        <x:v>20.16</x:v>
      </x:c>
      <x:c r="Q211" s="60"/>
      <x:c r="R211" s="60" t="n">
        <x:v>20.16</x:v>
      </x:c>
      <x:c r="S211" s="60" t="n">
        <x:v>0</x:v>
      </x:c>
      <x:c r="T211" s="72" t="str">
        <x:v>https://ca.sports.yahoo.com/news/2026-27-fantasy-basketball-rankings-top-200-players-points-leagues-182942270.html</x:v>
      </x:c>
      <x:c r="U211" s="87" t="str">
        <x:v>DEEP</x:v>
      </x:c>
      <x:c r="V211" s="87" t="str">
        <x:v>MEDIUM</x:v>
      </x:c>
      <x:c r="W211" s="87" t="str">
        <x:v>DEEP_ESTIMATE</x:v>
      </x:c>
      <x:c r="X211" s="87" t="str">
        <x:v>TOP-200 RESEARCH</x:v>
      </x:c>
      <x:c r="Y211" s="87" t="str">
        <x:v>2026-09-28</x:v>
      </x:c>
      <x:c r="Z211" s="72" t="str">
        <x:v>https://www.nba.com/players</x:v>
      </x:c>
      <x:c r="AA211" s="72" t="str">
        <x:v>https://basketball.realgm.com/nba/stats/2026/Averages/All/points/All/desc/1/Regular_Season</x:v>
      </x:c>
    </x:row>
    <x:row r="212" ht="21" customHeight="1">
      <x:c r="A212" s="64" t="n">
        <x:v>207</x:v>
      </x:c>
      <x:c r="B212" s="59" t="str">
        <x:v>Mikel Brown Jr.</x:v>
      </x:c>
      <x:c r="C212" s="65" t="str">
        <x:v>BKN</x:v>
      </x:c>
      <x:c r="D212" s="65" t="str">
        <x:v>PG</x:v>
      </x:c>
      <x:c r="E212" s="65" t="str">
        <x:v>PG</x:v>
      </x:c>
      <x:c r="F212" s="66"/>
      <x:c r="G212" s="67"/>
      <x:c r="H212" s="67" t="n">
        <x:v>19.86731737418726</x:v>
      </x:c>
      <x:c r="I212" s="67" t="n">
        <x:v>30.86731737418726</x:v>
      </x:c>
      <x:c r="J212" s="67" t="n">
        <x:v>68</x:v>
      </x:c>
      <x:c r="K212" s="67" t="str">
        <x:v>MEDIUM</x:v>
      </x:c>
      <x:c r="L212" s="67" t="n">
        <x:v>25.36731737418726</x:v>
      </x:c>
      <x:c r="M212" s="68" t="n">
        <x:v>1724.9775814447337</x:v>
      </x:c>
      <x:c r="N212" s="69" t="str">
        <x:v>Available</x:v>
      </x:c>
      <x:c r="O212" s="62" t="str">
        <x:v>Current public projection feed flags him OUT. Apply a cautious short-term availability discount until status clears.</x:v>
      </x:c>
      <x:c r="P212" s="60" t="n">
        <x:v>25.36731737418726</x:v>
      </x:c>
      <x:c r="Q212" s="60"/>
      <x:c r="R212" s="60" t="n">
        <x:v>25.36731737418726</x:v>
      </x:c>
      <x:c r="S212" s="60" t="n">
        <x:v>0</x:v>
      </x:c>
      <x:c r="T212" s="72" t="str">
        <x:v>https://www.fantasypros.com/nba/projections/overall.php</x:v>
      </x:c>
      <x:c r="U212" s="87" t="str">
        <x:v>VERY_DEEP</x:v>
      </x:c>
      <x:c r="V212" s="87" t="str">
        <x:v>HIGH</x:v>
      </x:c>
      <x:c r="W212" s="87" t="str">
        <x:v>DRAFT_DAY_FP</x:v>
      </x:c>
      <x:c r="X212" s="87" t="str">
        <x:v>STANDARD</x:v>
      </x:c>
      <x:c r="Y212" s="87" t="str">
        <x:v>2026-10-10</x:v>
      </x:c>
      <x:c r="Z212" s="72" t="str">
        <x:v>https://github.com/plourr03/wolves-front-office/blob/5d152a169188fb9b210186a7a0d3403d4081ed38/kuminga/data/roster_snapshot_2026_27_v3.csv</x:v>
      </x:c>
      <x:c r="AA212" s="72" t="str">
        <x:v>https://github.com/ballacademy/NBA-head-to-head-/blob/5b1decfc31ffb645469c7ffbd01aaca4b18181bd/data/nba-stats/nba-player-stats-202526-regular-season-per-game.csv</x:v>
      </x:c>
    </x:row>
    <x:row r="213" ht="21" customHeight="1">
      <x:c r="A213" s="64" t="n">
        <x:v>208</x:v>
      </x:c>
      <x:c r="B213" s="59" t="str">
        <x:v>Collin Murray-Boyles</x:v>
      </x:c>
      <x:c r="C213" s="65" t="str">
        <x:v>TOR</x:v>
      </x:c>
      <x:c r="D213" s="65" t="str">
        <x:v>PF</x:v>
      </x:c>
      <x:c r="E213" s="65" t="str">
        <x:v>PF</x:v>
      </x:c>
      <x:c r="F213" s="66" t="n">
        <x:v>57</x:v>
      </x:c>
      <x:c r="G213" s="67" t="n">
        <x:v>23.9</x:v>
      </x:c>
      <x:c r="H213" s="67" t="n">
        <x:v>17.619999999999997</x:v>
      </x:c>
      <x:c r="I213" s="67" t="n">
        <x:v>25.36</x:v>
      </x:c>
      <x:c r="J213" s="67" t="n">
        <x:v>64</x:v>
      </x:c>
      <x:c r="K213" s="67" t="str">
        <x:v>DEEP</x:v>
      </x:c>
      <x:c r="L213" s="67" t="n">
        <x:v>21.49</x:v>
      </x:c>
      <x:c r="M213" s="68" t="n">
        <x:v>1375.36</x:v>
      </x:c>
      <x:c r="N213" s="69" t="str">
        <x:v>Available</x:v>
      </x:c>
      <x:c r="O213" s="62" t="str">
        <x:v>Deep-pool model: 2025-26 custom-score production shrunk toward a conservative 2026-27 role estimate; not a published projection.</x:v>
      </x:c>
      <x:c r="P213" s="60"/>
      <x:c r="Q213" s="60"/>
      <x:c r="R213" s="60" t="n">
        <x:v>21.49</x:v>
      </x:c>
      <x:c r="S213" s="60" t="n">
        <x:v>0</x:v>
      </x:c>
      <x:c r="T213" s="72" t="str">
        <x:v>https://github.com/A-V29/NBA.Rosters/blob/main/2026.Summer.League.json</x:v>
      </x:c>
      <x:c r="U213" s="87" t="str">
        <x:v>DEEP</x:v>
      </x:c>
      <x:c r="V213" s="87" t="str">
        <x:v>HIGH</x:v>
      </x:c>
      <x:c r="W213" s="87" t="str">
        <x:v>MODEL</x:v>
      </x:c>
      <x:c r="X213" s="87" t="str">
        <x:v>CAMP/SUMMER</x:v>
      </x:c>
      <x:c r="Y213" s="87" t="str">
        <x:v>2026-09-28 master / roster context 2026-09-03+</x:v>
      </x:c>
      <x:c r="Z213" s="72" t="str">
        <x:v>https://github.com/A-V29/NBA.Rosters/blob/main/2026.Summer.League.json</x:v>
      </x:c>
      <x:c r="AA213" s="72" t="str">
        <x:v>https://github.com/ballacademy/NBA-head-to-head-/blob/5b1decfc31ffb645469c7ffbd01aaca4b18181bd/data/nba-stats/nba-player-stats-202526-regular-season-per-game.csv</x:v>
      </x:c>
    </x:row>
    <x:row r="214" ht="21" customHeight="1">
      <x:c r="A214" s="64" t="n">
        <x:v>209</x:v>
      </x:c>
      <x:c r="B214" s="59" t="str">
        <x:v>Cam Spencer</x:v>
      </x:c>
      <x:c r="C214" s="65" t="str">
        <x:v>MEM</x:v>
      </x:c>
      <x:c r="D214" s="65" t="str">
        <x:v>SG</x:v>
      </x:c>
      <x:c r="E214" s="65" t="str">
        <x:v>SG</x:v>
      </x:c>
      <x:c r="F214" s="66" t="n">
        <x:v>72</x:v>
      </x:c>
      <x:c r="G214" s="67" t="n">
        <x:v>25.7</x:v>
      </x:c>
      <x:c r="H214" s="67" t="n">
        <x:v>17.685000000000002</x:v>
      </x:c>
      <x:c r="I214" s="67" t="n">
        <x:v>25.455</x:v>
      </x:c>
      <x:c r="J214" s="67" t="n">
        <x:v>60</x:v>
      </x:c>
      <x:c r="K214" s="67" t="str">
        <x:v>DEEP</x:v>
      </x:c>
      <x:c r="L214" s="67" t="n">
        <x:v>21.57</x:v>
      </x:c>
      <x:c r="M214" s="68" t="n">
        <x:v>1294.2</x:v>
      </x:c>
      <x:c r="N214" s="69" t="str">
        <x:v>Available</x:v>
      </x:c>
      <x:c r="O214" s="62" t="str">
        <x:v>Deep-pool model: 2025-26 custom-score production shrunk toward a conservative 2026-27 role estimate; not a published projection.</x:v>
      </x:c>
      <x:c r="P214" s="60"/>
      <x:c r="Q214" s="60"/>
      <x:c r="R214" s="60" t="n">
        <x:v>21.57</x:v>
      </x:c>
      <x:c r="S214" s="60" t="n">
        <x:v>0</x:v>
      </x:c>
      <x:c r="T214" s="72" t="str">
        <x:v>https://github.com/plourr03/wolves-front-office/blob/5d152a169188fb9b210186a7a0d3403d4081ed38/kuminga/data/roster_snapshot_2026_27_v3.csv</x:v>
      </x:c>
      <x:c r="U214" s="87" t="str">
        <x:v>DEEP</x:v>
      </x:c>
      <x:c r="V214" s="87" t="str">
        <x:v>HIGH</x:v>
      </x:c>
      <x:c r="W214" s="87" t="str">
        <x:v>MODEL</x:v>
      </x:c>
      <x:c r="X214" s="87" t="str">
        <x:v>STANDARD</x:v>
      </x:c>
      <x:c r="Y214" s="87" t="str">
        <x:v>2026-09-28 master / roster context 2026-09-03+</x:v>
      </x:c>
      <x:c r="Z214" s="72" t="str">
        <x:v>https://github.com/plourr03/wolves-front-office/blob/5d152a169188fb9b210186a7a0d3403d4081ed38/kuminga/data/roster_snapshot_2026_27_v3.csv</x:v>
      </x:c>
      <x:c r="AA214" s="72" t="str">
        <x:v>https://github.com/ballacademy/NBA-head-to-head-/blob/5b1decfc31ffb645469c7ffbd01aaca4b18181bd/data/nba-stats/nba-player-stats-202526-regular-season-per-game.csv</x:v>
      </x:c>
    </x:row>
    <x:row r="215" ht="21" customHeight="1">
      <x:c r="A215" s="64" t="n">
        <x:v>210</x:v>
      </x:c>
      <x:c r="B215" s="59" t="str">
        <x:v>Kingston Flemings</x:v>
      </x:c>
      <x:c r="C215" s="65" t="str">
        <x:v>ATL</x:v>
      </x:c>
      <x:c r="D215" s="65" t="str">
        <x:v>PG</x:v>
      </x:c>
      <x:c r="E215" s="65" t="str">
        <x:v>PG/SG</x:v>
      </x:c>
      <x:c r="F215" s="66"/>
      <x:c r="G215" s="67"/>
      <x:c r="H215" s="67" t="n">
        <x:v>17.444116364799488</x:v>
      </x:c>
      <x:c r="I215" s="67" t="n">
        <x:v>26.90411636479949</x:v>
      </x:c>
      <x:c r="J215" s="67" t="n">
        <x:v>75</x:v>
      </x:c>
      <x:c r="K215" s="67" t="str">
        <x:v>VERY_DEEP</x:v>
      </x:c>
      <x:c r="L215" s="67" t="n">
        <x:v>22.174116364799488</x:v>
      </x:c>
      <x:c r="M215" s="68" t="n">
        <x:v>1663.0587273599617</x:v>
      </x:c>
      <x:c r="N215" s="69" t="str">
        <x:v>Available</x:v>
      </x:c>
      <x:c r="O215" s="62" t="str">
        <x:v>Rookie/depth role estimate with a wide band and limited NBA evidence. Treat as a watch-list projection, not a published forecast.</x:v>
      </x:c>
      <x:c r="P215" s="60" t="n">
        <x:v>22.174116364799488</x:v>
      </x:c>
      <x:c r="Q215" s="60"/>
      <x:c r="R215" s="60" t="n">
        <x:v>22.174116364799488</x:v>
      </x:c>
      <x:c r="S215" s="60" t="n">
        <x:v>0</x:v>
      </x:c>
      <x:c r="T215" s="72" t="str">
        <x:v>https://www.fantasypros.com/nba/projections/overall.php</x:v>
      </x:c>
      <x:c r="U215" s="87" t="str">
        <x:v>DEEP</x:v>
      </x:c>
      <x:c r="V215" s="87" t="str">
        <x:v>HIGH</x:v>
      </x:c>
      <x:c r="W215" s="87" t="str">
        <x:v>DRAFT_DAY_FP</x:v>
      </x:c>
      <x:c r="X215" s="87" t="str">
        <x:v>CAMP/SUMMER</x:v>
      </x:c>
      <x:c r="Y215" s="87" t="str">
        <x:v>2026-10-10</x:v>
      </x:c>
      <x:c r="Z215" s="72" t="str">
        <x:v>https://github.com/A-V29/NBA.Rosters/blob/main/2026.Summer.League.json</x:v>
      </x:c>
      <x:c r="AA215" s="72" t="str">
        <x:v>https://github.com/ballacademy/NBA-head-to-head-/blob/5b1decfc31ffb645469c7ffbd01aaca4b18181bd/data/nba-stats/nba-player-stats-202526-regular-season-per-game.csv</x:v>
      </x:c>
    </x:row>
    <x:row r="216" ht="21" customHeight="1">
      <x:c r="A216" s="64" t="n">
        <x:v>211</x:v>
      </x:c>
      <x:c r="B216" s="59" t="str">
        <x:v>Julian Champagnie</x:v>
      </x:c>
      <x:c r="C216" s="65" t="str">
        <x:v>SAS</x:v>
      </x:c>
      <x:c r="D216" s="65" t="str">
        <x:v>SF</x:v>
      </x:c>
      <x:c r="E216" s="65" t="str">
        <x:v>SF</x:v>
      </x:c>
      <x:c r="F216" s="66" t="n">
        <x:v>82</x:v>
      </x:c>
      <x:c r="G216" s="67" t="n">
        <x:v>24.3</x:v>
      </x:c>
      <x:c r="H216" s="67" t="n">
        <x:v>17.615000000000002</x:v>
      </x:c>
      <x:c r="I216" s="67" t="n">
        <x:v>25.345</x:v>
      </x:c>
      <x:c r="J216" s="67" t="n">
        <x:v>60</x:v>
      </x:c>
      <x:c r="K216" s="67" t="str">
        <x:v>DEEP</x:v>
      </x:c>
      <x:c r="L216" s="67" t="n">
        <x:v>21.48</x:v>
      </x:c>
      <x:c r="M216" s="68" t="n">
        <x:v>1288.8</x:v>
      </x:c>
      <x:c r="N216" s="69" t="str">
        <x:v>Available</x:v>
      </x:c>
      <x:c r="O216" s="62" t="str">
        <x:v>Deep-pool model: 2025-26 custom-score production shrunk toward a conservative 2026-27 role estimate; not a published projection.</x:v>
      </x:c>
      <x:c r="P216" s="60"/>
      <x:c r="Q216" s="60"/>
      <x:c r="R216" s="60" t="n">
        <x:v>21.48</x:v>
      </x:c>
      <x:c r="S216" s="60" t="n">
        <x:v>0</x:v>
      </x:c>
      <x:c r="T216" s="72" t="str">
        <x:v>https://github.com/plourr03/wolves-front-office/blob/5d152a169188fb9b210186a7a0d3403d4081ed38/kuminga/data/roster_snapshot_2026_27_v3.csv</x:v>
      </x:c>
      <x:c r="U216" s="87" t="str">
        <x:v>DEEP</x:v>
      </x:c>
      <x:c r="V216" s="87" t="str">
        <x:v>HIGH</x:v>
      </x:c>
      <x:c r="W216" s="87" t="str">
        <x:v>MODEL</x:v>
      </x:c>
      <x:c r="X216" s="87" t="str">
        <x:v>STANDARD</x:v>
      </x:c>
      <x:c r="Y216" s="87" t="str">
        <x:v>2026-09-28 master / roster context 2026-09-03+</x:v>
      </x:c>
      <x:c r="Z216" s="72" t="str">
        <x:v>https://github.com/plourr03/wolves-front-office/blob/5d152a169188fb9b210186a7a0d3403d4081ed38/kuminga/data/roster_snapshot_2026_27_v3.csv</x:v>
      </x:c>
      <x:c r="AA216" s="72" t="str">
        <x:v>https://github.com/ballacademy/NBA-head-to-head-/blob/5b1decfc31ffb645469c7ffbd01aaca4b18181bd/data/nba-stats/nba-player-stats-202526-regular-season-per-game.csv</x:v>
      </x:c>
    </x:row>
    <x:row r="217" ht="21" customHeight="1">
      <x:c r="A217" s="64" t="n">
        <x:v>212</x:v>
      </x:c>
      <x:c r="B217" s="59" t="str">
        <x:v>Moses Moody</x:v>
      </x:c>
      <x:c r="C217" s="65" t="str">
        <x:v>GSW</x:v>
      </x:c>
      <x:c r="D217" s="65" t="str">
        <x:v>SG</x:v>
      </x:c>
      <x:c r="E217" s="65" t="str">
        <x:v>SG/SF</x:v>
      </x:c>
      <x:c r="F217" s="66"/>
      <x:c r="G217" s="67"/>
      <x:c r="H217" s="67" t="n">
        <x:v>16.21</x:v>
      </x:c>
      <x:c r="I217" s="67" t="n">
        <x:v>23.21</x:v>
      </x:c>
      <x:c r="J217" s="67" t="n">
        <x:v>70</x:v>
      </x:c>
      <x:c r="K217" s="67" t="str">
        <x:v>DEEP</x:v>
      </x:c>
      <x:c r="L217" s="67" t="n">
        <x:v>19.71</x:v>
      </x:c>
      <x:c r="M217" s="68" t="n">
        <x:v>1379.7</x:v>
      </x:c>
      <x:c r="N217" s="69" t="str">
        <x:v>Available</x:v>
      </x:c>
      <x:c r="O217" s="62" t="str">
        <x:v>Deep-board candidate for a 10-team league; custom-format estimate emphasizes role, efficiency and rebounding. Recheck camp role and app eligibility before draft day.</x:v>
      </x:c>
      <x:c r="P217" s="60" t="n">
        <x:v>19.71</x:v>
      </x:c>
      <x:c r="Q217" s="60"/>
      <x:c r="R217" s="60" t="n">
        <x:v>19.71</x:v>
      </x:c>
      <x:c r="S217" s="60" t="n">
        <x:v>0</x:v>
      </x:c>
      <x:c r="T217" s="72" t="str">
        <x:v>https://ca.sports.yahoo.com/news/2026-27-fantasy-basketball-rankings-top-200-players-points-leagues-182942270.html</x:v>
      </x:c>
      <x:c r="U217" s="87" t="str">
        <x:v>DEEP</x:v>
      </x:c>
      <x:c r="V217" s="87" t="str">
        <x:v>MEDIUM</x:v>
      </x:c>
      <x:c r="W217" s="87" t="str">
        <x:v>DEEP_ESTIMATE</x:v>
      </x:c>
      <x:c r="X217" s="87" t="str">
        <x:v>TOP-200 RESEARCH</x:v>
      </x:c>
      <x:c r="Y217" s="87" t="str">
        <x:v>2026-09-28</x:v>
      </x:c>
      <x:c r="Z217" s="72" t="str">
        <x:v>https://www.nba.com/players</x:v>
      </x:c>
      <x:c r="AA217" s="72" t="str">
        <x:v>https://basketball.realgm.com/nba/stats/2026/Averages/All/points/All/desc/1/Regular_Season</x:v>
      </x:c>
    </x:row>
    <x:row r="218" ht="21" customHeight="1">
      <x:c r="A218" s="64" t="n">
        <x:v>213</x:v>
      </x:c>
      <x:c r="B218" s="59" t="str">
        <x:v>Jalen Smith</x:v>
      </x:c>
      <x:c r="C218" s="65" t="str">
        <x:v>CHI</x:v>
      </x:c>
      <x:c r="D218" s="65" t="str">
        <x:v>PF</x:v>
      </x:c>
      <x:c r="E218" s="65" t="str">
        <x:v>PF</x:v>
      </x:c>
      <x:c r="F218" s="66" t="n">
        <x:v>53</x:v>
      </x:c>
      <x:c r="G218" s="67" t="n">
        <x:v>24.6</x:v>
      </x:c>
      <x:c r="H218" s="67" t="n">
        <x:v>17.474999999999998</x:v>
      </x:c>
      <x:c r="I218" s="67" t="n">
        <x:v>25.145</x:v>
      </x:c>
      <x:c r="J218" s="67" t="n">
        <x:v>60</x:v>
      </x:c>
      <x:c r="K218" s="67" t="str">
        <x:v>DEEP</x:v>
      </x:c>
      <x:c r="L218" s="67" t="n">
        <x:v>21.31</x:v>
      </x:c>
      <x:c r="M218" s="68" t="n">
        <x:v>1278.6</x:v>
      </x:c>
      <x:c r="N218" s="69" t="str">
        <x:v>Available</x:v>
      </x:c>
      <x:c r="O218" s="62" t="str">
        <x:v>Deep-pool model: 2025-26 custom-score production shrunk toward a conservative 2026-27 role estimate; not a published projection.</x:v>
      </x:c>
      <x:c r="P218" s="60"/>
      <x:c r="Q218" s="60"/>
      <x:c r="R218" s="60" t="n">
        <x:v>21.31</x:v>
      </x:c>
      <x:c r="S218" s="60" t="n">
        <x:v>0</x:v>
      </x:c>
      <x:c r="T218" s="72" t="str">
        <x:v>https://github.com/plourr03/wolves-front-office/blob/5d152a169188fb9b210186a7a0d3403d4081ed38/kuminga/data/roster_snapshot_2026_27_v3.csv</x:v>
      </x:c>
      <x:c r="U218" s="87" t="str">
        <x:v>DEEP</x:v>
      </x:c>
      <x:c r="V218" s="87" t="str">
        <x:v>HIGH</x:v>
      </x:c>
      <x:c r="W218" s="87" t="str">
        <x:v>MODEL</x:v>
      </x:c>
      <x:c r="X218" s="87" t="str">
        <x:v>STANDARD</x:v>
      </x:c>
      <x:c r="Y218" s="87" t="str">
        <x:v>2026-09-28 master / roster context 2026-09-03+</x:v>
      </x:c>
      <x:c r="Z218" s="72" t="str">
        <x:v>https://github.com/plourr03/wolves-front-office/blob/5d152a169188fb9b210186a7a0d3403d4081ed38/kuminga/data/roster_snapshot_2026_27_v3.csv</x:v>
      </x:c>
      <x:c r="AA218" s="72" t="str">
        <x:v>https://github.com/ballacademy/NBA-head-to-head-/blob/5b1decfc31ffb645469c7ffbd01aaca4b18181bd/data/nba-stats/nba-player-stats-202526-regular-season-per-game.csv</x:v>
      </x:c>
    </x:row>
    <x:row r="219" ht="21" customHeight="1">
      <x:c r="A219" s="64" t="n">
        <x:v>214</x:v>
      </x:c>
      <x:c r="B219" s="59" t="str">
        <x:v>Steven Adams</x:v>
      </x:c>
      <x:c r="C219" s="65" t="str">
        <x:v>HOU</x:v>
      </x:c>
      <x:c r="D219" s="65" t="str">
        <x:v>C</x:v>
      </x:c>
      <x:c r="E219" s="65" t="str">
        <x:v>C</x:v>
      </x:c>
      <x:c r="F219" s="66" t="n">
        <x:v>32</x:v>
      </x:c>
      <x:c r="G219" s="67" t="n">
        <x:v>26.35</x:v>
      </x:c>
      <x:c r="H219" s="67" t="n">
        <x:v>17.445</x:v>
      </x:c>
      <x:c r="I219" s="67" t="n">
        <x:v>25.095</x:v>
      </x:c>
      <x:c r="J219" s="67" t="n">
        <x:v>60</x:v>
      </x:c>
      <x:c r="K219" s="67" t="str">
        <x:v>DEEP</x:v>
      </x:c>
      <x:c r="L219" s="67" t="n">
        <x:v>21.27</x:v>
      </x:c>
      <x:c r="M219" s="68" t="n">
        <x:v>1276.2</x:v>
      </x:c>
      <x:c r="N219" s="69" t="str">
        <x:v>Available</x:v>
      </x:c>
      <x:c r="O219" s="62" t="str">
        <x:v>Deep-pool model: 2025-26 custom-score production shrunk toward a conservative 2026-27 role estimate; not a published projection.</x:v>
      </x:c>
      <x:c r="P219" s="60"/>
      <x:c r="Q219" s="60"/>
      <x:c r="R219" s="60" t="n">
        <x:v>21.27</x:v>
      </x:c>
      <x:c r="S219" s="60" t="n">
        <x:v>0</x:v>
      </x:c>
      <x:c r="T219" s="72" t="str">
        <x:v>https://github.com/plourr03/wolves-front-office/blob/5d152a169188fb9b210186a7a0d3403d4081ed38/kuminga/data/roster_snapshot_2026_27_v3.csv</x:v>
      </x:c>
      <x:c r="U219" s="87" t="str">
        <x:v>DEEP</x:v>
      </x:c>
      <x:c r="V219" s="87" t="str">
        <x:v>HIGH</x:v>
      </x:c>
      <x:c r="W219" s="87" t="str">
        <x:v>MODEL</x:v>
      </x:c>
      <x:c r="X219" s="87" t="str">
        <x:v>STANDARD</x:v>
      </x:c>
      <x:c r="Y219" s="87" t="str">
        <x:v>2026-09-28 master / roster context 2026-09-03+</x:v>
      </x:c>
      <x:c r="Z219" s="72" t="str">
        <x:v>https://github.com/plourr03/wolves-front-office/blob/5d152a169188fb9b210186a7a0d3403d4081ed38/kuminga/data/roster_snapshot_2026_27_v3.csv</x:v>
      </x:c>
      <x:c r="AA219" s="72" t="str">
        <x:v>https://github.com/ballacademy/NBA-head-to-head-/blob/5b1decfc31ffb645469c7ffbd01aaca4b18181bd/data/nba-stats/nba-player-stats-202526-regular-season-per-game.csv</x:v>
      </x:c>
    </x:row>
    <x:row r="220" ht="21" customHeight="1">
      <x:c r="A220" s="64" t="n">
        <x:v>215</x:v>
      </x:c>
      <x:c r="B220" s="59" t="str">
        <x:v>Cam Thomas</x:v>
      </x:c>
      <x:c r="C220" s="65" t="str">
        <x:v>BKN</x:v>
      </x:c>
      <x:c r="D220" s="65" t="str">
        <x:v>SG</x:v>
      </x:c>
      <x:c r="E220" s="65" t="str">
        <x:v>SG</x:v>
      </x:c>
      <x:c r="F220" s="66"/>
      <x:c r="G220" s="67"/>
      <x:c r="H220" s="67" t="n">
        <x:v>15.98</x:v>
      </x:c>
      <x:c r="I220" s="67" t="n">
        <x:v>22.98</x:v>
      </x:c>
      <x:c r="J220" s="67" t="n">
        <x:v>70</x:v>
      </x:c>
      <x:c r="K220" s="67" t="str">
        <x:v>DEEP</x:v>
      </x:c>
      <x:c r="L220" s="67" t="n">
        <x:v>19.48</x:v>
      </x:c>
      <x:c r="M220" s="68" t="n">
        <x:v>1363.6000000000001</x:v>
      </x:c>
      <x:c r="N220" s="69" t="str">
        <x:v>Available</x:v>
      </x:c>
      <x:c r="O220" s="62" t="str">
        <x:v>Deep-board candidate for a 10-team league; custom-format estimate emphasizes role, efficiency and rebounding. Recheck camp role and app eligibility before draft day.</x:v>
      </x:c>
      <x:c r="P220" s="60" t="n">
        <x:v>19.48</x:v>
      </x:c>
      <x:c r="Q220" s="60"/>
      <x:c r="R220" s="60" t="n">
        <x:v>19.48</x:v>
      </x:c>
      <x:c r="S220" s="60" t="n">
        <x:v>0</x:v>
      </x:c>
      <x:c r="T220" s="72" t="str">
        <x:v>https://ca.sports.yahoo.com/news/2026-27-fantasy-basketball-rankings-top-200-players-points-leagues-182942270.html</x:v>
      </x:c>
      <x:c r="U220" s="87" t="str">
        <x:v>DEEP</x:v>
      </x:c>
      <x:c r="V220" s="87" t="str">
        <x:v>MEDIUM</x:v>
      </x:c>
      <x:c r="W220" s="87" t="str">
        <x:v>DEEP_ESTIMATE</x:v>
      </x:c>
      <x:c r="X220" s="87" t="str">
        <x:v>TOP-200 RESEARCH</x:v>
      </x:c>
      <x:c r="Y220" s="87" t="str">
        <x:v>2026-09-28</x:v>
      </x:c>
      <x:c r="Z220" s="72" t="str">
        <x:v>https://www.nba.com/players</x:v>
      </x:c>
      <x:c r="AA220" s="72" t="str">
        <x:v>https://basketball.realgm.com/nba/stats/2026/Averages/All/points/All/desc/1/Regular_Season</x:v>
      </x:c>
    </x:row>
    <x:row r="221" ht="21" customHeight="1">
      <x:c r="A221" s="64" t="n">
        <x:v>216</x:v>
      </x:c>
      <x:c r="B221" s="59" t="str">
        <x:v>Robert Williams III</x:v>
      </x:c>
      <x:c r="C221" s="65" t="str">
        <x:v>POR</x:v>
      </x:c>
      <x:c r="D221" s="65" t="str">
        <x:v>C</x:v>
      </x:c>
      <x:c r="E221" s="65" t="str">
        <x:v>C</x:v>
      </x:c>
      <x:c r="F221" s="66" t="n">
        <x:v>59</x:v>
      </x:c>
      <x:c r="G221" s="67" t="n">
        <x:v>24.05</x:v>
      </x:c>
      <x:c r="H221" s="67" t="n">
        <x:v>17.41</x:v>
      </x:c>
      <x:c r="I221" s="67" t="n">
        <x:v>25.05</x:v>
      </x:c>
      <x:c r="J221" s="67" t="n">
        <x:v>60</x:v>
      </x:c>
      <x:c r="K221" s="67" t="str">
        <x:v>DEEP</x:v>
      </x:c>
      <x:c r="L221" s="67" t="n">
        <x:v>21.23</x:v>
      </x:c>
      <x:c r="M221" s="68" t="n">
        <x:v>1273.8</x:v>
      </x:c>
      <x:c r="N221" s="69" t="str">
        <x:v>Available</x:v>
      </x:c>
      <x:c r="O221" s="62" t="str">
        <x:v>Deep-pool model: 2025-26 custom-score production shrunk toward a conservative 2026-27 role estimate; not a published projection.</x:v>
      </x:c>
      <x:c r="P221" s="60"/>
      <x:c r="Q221" s="60"/>
      <x:c r="R221" s="60" t="n">
        <x:v>21.23</x:v>
      </x:c>
      <x:c r="S221" s="60" t="n">
        <x:v>0</x:v>
      </x:c>
      <x:c r="T221" s="72" t="str">
        <x:v>https://github.com/plourr03/wolves-front-office/blob/5d152a169188fb9b210186a7a0d3403d4081ed38/kuminga/data/roster_snapshot_2026_27_v3.csv</x:v>
      </x:c>
      <x:c r="U221" s="87" t="str">
        <x:v>DEEP</x:v>
      </x:c>
      <x:c r="V221" s="87" t="str">
        <x:v>HIGH</x:v>
      </x:c>
      <x:c r="W221" s="87" t="str">
        <x:v>MODEL</x:v>
      </x:c>
      <x:c r="X221" s="87" t="str">
        <x:v>STANDARD</x:v>
      </x:c>
      <x:c r="Y221" s="87" t="str">
        <x:v>2026-09-28 master / roster context 2026-09-03+</x:v>
      </x:c>
      <x:c r="Z221" s="72" t="str">
        <x:v>https://github.com/plourr03/wolves-front-office/blob/5d152a169188fb9b210186a7a0d3403d4081ed38/kuminga/data/roster_snapshot_2026_27_v3.csv</x:v>
      </x:c>
      <x:c r="AA221" s="72" t="str">
        <x:v>https://github.com/ballacademy/NBA-head-to-head-/blob/5b1decfc31ffb645469c7ffbd01aaca4b18181bd/data/nba-stats/nba-player-stats-202526-regular-season-per-game.csv</x:v>
      </x:c>
    </x:row>
    <x:row r="222" ht="21" customHeight="1">
      <x:c r="A222" s="64" t="n">
        <x:v>217</x:v>
      </x:c>
      <x:c r="B222" s="59" t="str">
        <x:v>Isaiah Stewart</x:v>
      </x:c>
      <x:c r="C222" s="65" t="str">
        <x:v>DET</x:v>
      </x:c>
      <x:c r="D222" s="65" t="str">
        <x:v>C</x:v>
      </x:c>
      <x:c r="E222" s="65" t="str">
        <x:v>PF/C</x:v>
      </x:c>
      <x:c r="F222" s="66"/>
      <x:c r="G222" s="67"/>
      <x:c r="H222" s="67" t="n">
        <x:v>16.16</x:v>
      </x:c>
      <x:c r="I222" s="67" t="n">
        <x:v>23.16</x:v>
      </x:c>
      <x:c r="J222" s="67" t="n">
        <x:v>70</x:v>
      </x:c>
      <x:c r="K222" s="67" t="str">
        <x:v>DEEP</x:v>
      </x:c>
      <x:c r="L222" s="67" t="n">
        <x:v>19.66</x:v>
      </x:c>
      <x:c r="M222" s="68" t="n">
        <x:v>1376.2</x:v>
      </x:c>
      <x:c r="N222" s="69" t="str">
        <x:v>Available</x:v>
      </x:c>
      <x:c r="O222" s="62" t="str">
        <x:v>Deep-board candidate for a 10-team league; custom-format estimate emphasizes role, efficiency and rebounding. Recheck camp role and app eligibility before draft day.</x:v>
      </x:c>
      <x:c r="P222" s="60" t="n">
        <x:v>19.66</x:v>
      </x:c>
      <x:c r="Q222" s="60"/>
      <x:c r="R222" s="60" t="n">
        <x:v>19.66</x:v>
      </x:c>
      <x:c r="S222" s="60" t="n">
        <x:v>0</x:v>
      </x:c>
      <x:c r="T222" s="72" t="str">
        <x:v>https://ca.sports.yahoo.com/news/2026-27-fantasy-basketball-rankings-top-200-players-points-leagues-182942270.html</x:v>
      </x:c>
      <x:c r="U222" s="87" t="str">
        <x:v>DEEP</x:v>
      </x:c>
      <x:c r="V222" s="87" t="str">
        <x:v>MEDIUM</x:v>
      </x:c>
      <x:c r="W222" s="87" t="str">
        <x:v>DEEP_ESTIMATE</x:v>
      </x:c>
      <x:c r="X222" s="87" t="str">
        <x:v>TOP-200 RESEARCH</x:v>
      </x:c>
      <x:c r="Y222" s="87" t="str">
        <x:v>2026-09-28</x:v>
      </x:c>
      <x:c r="Z222" s="72" t="str">
        <x:v>https://www.nba.com/players</x:v>
      </x:c>
      <x:c r="AA222" s="72" t="str">
        <x:v>https://basketball.realgm.com/nba/stats/2026/Averages/All/points/All/desc/1/Regular_Season</x:v>
      </x:c>
    </x:row>
    <x:row r="223" ht="21" customHeight="1">
      <x:c r="A223" s="64" t="n">
        <x:v>218</x:v>
      </x:c>
      <x:c r="B223" s="59" t="str">
        <x:v>Dennis Schroder</x:v>
      </x:c>
      <x:c r="C223" s="65" t="str">
        <x:v>SAC</x:v>
      </x:c>
      <x:c r="D223" s="65" t="str">
        <x:v>PG</x:v>
      </x:c>
      <x:c r="E223" s="65" t="str">
        <x:v>PG</x:v>
      </x:c>
      <x:c r="F223" s="66"/>
      <x:c r="G223" s="67"/>
      <x:c r="H223" s="67" t="n">
        <x:v>15.95</x:v>
      </x:c>
      <x:c r="I223" s="67" t="n">
        <x:v>22.95</x:v>
      </x:c>
      <x:c r="J223" s="67" t="n">
        <x:v>70</x:v>
      </x:c>
      <x:c r="K223" s="67" t="str">
        <x:v>DEEP</x:v>
      </x:c>
      <x:c r="L223" s="67" t="n">
        <x:v>19.45</x:v>
      </x:c>
      <x:c r="M223" s="68" t="n">
        <x:v>1361.5</x:v>
      </x:c>
      <x:c r="N223" s="69" t="str">
        <x:v>Available</x:v>
      </x:c>
      <x:c r="O223" s="62" t="str">
        <x:v>Deep-board candidate for a 10-team league; custom-format estimate emphasizes role, efficiency and rebounding. Recheck camp role and app eligibility before draft day.</x:v>
      </x:c>
      <x:c r="P223" s="60" t="n">
        <x:v>19.45</x:v>
      </x:c>
      <x:c r="Q223" s="60"/>
      <x:c r="R223" s="60" t="n">
        <x:v>19.45</x:v>
      </x:c>
      <x:c r="S223" s="60" t="n">
        <x:v>0</x:v>
      </x:c>
      <x:c r="T223" s="72" t="str">
        <x:v>https://ca.sports.yahoo.com/news/2026-27-fantasy-basketball-rankings-top-200-players-points-leagues-182942270.html</x:v>
      </x:c>
      <x:c r="U223" s="87" t="str">
        <x:v>DEEP</x:v>
      </x:c>
      <x:c r="V223" s="87" t="str">
        <x:v>MEDIUM</x:v>
      </x:c>
      <x:c r="W223" s="87" t="str">
        <x:v>DEEP_ESTIMATE</x:v>
      </x:c>
      <x:c r="X223" s="87" t="str">
        <x:v>TOP-200 RESEARCH</x:v>
      </x:c>
      <x:c r="Y223" s="87" t="str">
        <x:v>2026-09-28</x:v>
      </x:c>
      <x:c r="Z223" s="72" t="str">
        <x:v>https://www.nba.com/players</x:v>
      </x:c>
      <x:c r="AA223" s="72" t="str">
        <x:v>https://basketball.realgm.com/nba/stats/2026/Averages/All/points/All/desc/1/Regular_Season</x:v>
      </x:c>
    </x:row>
    <x:row r="224" ht="21" customHeight="1">
      <x:c r="A224" s="64" t="n">
        <x:v>219</x:v>
      </x:c>
      <x:c r="B224" s="59" t="str">
        <x:v>Al Horford</x:v>
      </x:c>
      <x:c r="C224" s="65" t="str">
        <x:v>GSW</x:v>
      </x:c>
      <x:c r="D224" s="65" t="str">
        <x:v>C</x:v>
      </x:c>
      <x:c r="E224" s="65" t="str">
        <x:v>PF/C</x:v>
      </x:c>
      <x:c r="F224" s="66"/>
      <x:c r="G224" s="67"/>
      <x:c r="H224" s="67" t="n">
        <x:v>16.04</x:v>
      </x:c>
      <x:c r="I224" s="67" t="n">
        <x:v>23.04</x:v>
      </x:c>
      <x:c r="J224" s="67" t="n">
        <x:v>70</x:v>
      </x:c>
      <x:c r="K224" s="67" t="str">
        <x:v>DEEP</x:v>
      </x:c>
      <x:c r="L224" s="67" t="n">
        <x:v>19.54</x:v>
      </x:c>
      <x:c r="M224" s="68" t="n">
        <x:v>1367.8</x:v>
      </x:c>
      <x:c r="N224" s="69" t="str">
        <x:v>Available</x:v>
      </x:c>
      <x:c r="O224" s="62" t="str">
        <x:v>Deep-board candidate for a 10-team league; custom-format estimate emphasizes role, efficiency and rebounding. Recheck camp role and app eligibility before draft day.</x:v>
      </x:c>
      <x:c r="P224" s="60" t="n">
        <x:v>19.54</x:v>
      </x:c>
      <x:c r="Q224" s="60"/>
      <x:c r="R224" s="60" t="n">
        <x:v>19.54</x:v>
      </x:c>
      <x:c r="S224" s="60" t="n">
        <x:v>0</x:v>
      </x:c>
      <x:c r="T224" s="72" t="str">
        <x:v>https://ca.sports.yahoo.com/news/2026-27-fantasy-basketball-rankings-top-200-players-points-leagues-182942270.html</x:v>
      </x:c>
      <x:c r="U224" s="87" t="str">
        <x:v>DEEP</x:v>
      </x:c>
      <x:c r="V224" s="87" t="str">
        <x:v>MEDIUM</x:v>
      </x:c>
      <x:c r="W224" s="87" t="str">
        <x:v>DEEP_ESTIMATE</x:v>
      </x:c>
      <x:c r="X224" s="87" t="str">
        <x:v>TOP-200 RESEARCH</x:v>
      </x:c>
      <x:c r="Y224" s="87" t="str">
        <x:v>2026-09-28</x:v>
      </x:c>
      <x:c r="Z224" s="72" t="str">
        <x:v>https://www.nba.com/players</x:v>
      </x:c>
      <x:c r="AA224" s="72" t="str">
        <x:v>https://basketball.realgm.com/nba/stats/2026/Averages/All/points/All/desc/1/Regular_Season</x:v>
      </x:c>
    </x:row>
    <x:row r="225" ht="21" customHeight="1">
      <x:c r="A225" s="64" t="n">
        <x:v>220</x:v>
      </x:c>
      <x:c r="B225" s="59" t="str">
        <x:v>Brice Sensabaugh</x:v>
      </x:c>
      <x:c r="C225" s="65" t="str">
        <x:v>UTA</x:v>
      </x:c>
      <x:c r="D225" s="65" t="str">
        <x:v>SF</x:v>
      </x:c>
      <x:c r="E225" s="65" t="str">
        <x:v>SF</x:v>
      </x:c>
      <x:c r="F225" s="66" t="n">
        <x:v>75</x:v>
      </x:c>
      <x:c r="G225" s="67" t="n">
        <x:v>23.65</x:v>
      </x:c>
      <x:c r="H225" s="67" t="n">
        <x:v>17.31</x:v>
      </x:c>
      <x:c r="I225" s="67" t="n">
        <x:v>24.91</x:v>
      </x:c>
      <x:c r="J225" s="67" t="n">
        <x:v>60</x:v>
      </x:c>
      <x:c r="K225" s="67" t="str">
        <x:v>DEEP</x:v>
      </x:c>
      <x:c r="L225" s="67" t="n">
        <x:v>21.11</x:v>
      </x:c>
      <x:c r="M225" s="68" t="n">
        <x:v>1266.6</x:v>
      </x:c>
      <x:c r="N225" s="69" t="str">
        <x:v>Available</x:v>
      </x:c>
      <x:c r="O225" s="62" t="str">
        <x:v>Deep-pool model: 2025-26 custom-score production shrunk toward a conservative 2026-27 role estimate; not a published projection.</x:v>
      </x:c>
      <x:c r="P225" s="60"/>
      <x:c r="Q225" s="60"/>
      <x:c r="R225" s="60" t="n">
        <x:v>21.11</x:v>
      </x:c>
      <x:c r="S225" s="60" t="n">
        <x:v>0</x:v>
      </x:c>
      <x:c r="T225" s="72" t="str">
        <x:v>https://github.com/plourr03/wolves-front-office/blob/5d152a169188fb9b210186a7a0d3403d4081ed38/kuminga/data/roster_snapshot_2026_27_v3.csv</x:v>
      </x:c>
      <x:c r="U225" s="87" t="str">
        <x:v>DEEP</x:v>
      </x:c>
      <x:c r="V225" s="87" t="str">
        <x:v>HIGH</x:v>
      </x:c>
      <x:c r="W225" s="87" t="str">
        <x:v>MODEL</x:v>
      </x:c>
      <x:c r="X225" s="87" t="str">
        <x:v>STANDARD</x:v>
      </x:c>
      <x:c r="Y225" s="87" t="str">
        <x:v>2026-09-28 master / roster context 2026-09-03+</x:v>
      </x:c>
      <x:c r="Z225" s="72" t="str">
        <x:v>https://github.com/plourr03/wolves-front-office/blob/5d152a169188fb9b210186a7a0d3403d4081ed38/kuminga/data/roster_snapshot_2026_27_v3.csv</x:v>
      </x:c>
      <x:c r="AA225" s="72" t="str">
        <x:v>https://github.com/ballacademy/NBA-head-to-head-/blob/5b1decfc31ffb645469c7ffbd01aaca4b18181bd/data/nba-stats/nba-player-stats-202526-regular-season-per-game.csv</x:v>
      </x:c>
    </x:row>
    <x:row r="226" ht="21" customHeight="1">
      <x:c r="A226" s="64" t="n">
        <x:v>221</x:v>
      </x:c>
      <x:c r="B226" s="59" t="str">
        <x:v>Brook Lopez</x:v>
      </x:c>
      <x:c r="C226" s="65" t="str">
        <x:v>LAC</x:v>
      </x:c>
      <x:c r="D226" s="65" t="str">
        <x:v>C</x:v>
      </x:c>
      <x:c r="E226" s="65" t="str">
        <x:v>C</x:v>
      </x:c>
      <x:c r="F226" s="66"/>
      <x:c r="G226" s="67"/>
      <x:c r="H226" s="67" t="n">
        <x:v>15.93</x:v>
      </x:c>
      <x:c r="I226" s="67" t="n">
        <x:v>22.93</x:v>
      </x:c>
      <x:c r="J226" s="67" t="n">
        <x:v>70</x:v>
      </x:c>
      <x:c r="K226" s="67" t="str">
        <x:v>DEEP</x:v>
      </x:c>
      <x:c r="L226" s="67" t="n">
        <x:v>19.43</x:v>
      </x:c>
      <x:c r="M226" s="68" t="n">
        <x:v>1360.1</x:v>
      </x:c>
      <x:c r="N226" s="69" t="str">
        <x:v>Available</x:v>
      </x:c>
      <x:c r="O226" s="62" t="str">
        <x:v>Deep-board candidate for a 10-team league; custom-format estimate emphasizes role, efficiency and rebounding. Recheck camp role and app eligibility before draft day.</x:v>
      </x:c>
      <x:c r="P226" s="60" t="n">
        <x:v>19.43</x:v>
      </x:c>
      <x:c r="Q226" s="60"/>
      <x:c r="R226" s="60" t="n">
        <x:v>19.43</x:v>
      </x:c>
      <x:c r="S226" s="60" t="n">
        <x:v>0</x:v>
      </x:c>
      <x:c r="T226" s="72" t="str">
        <x:v>https://ca.sports.yahoo.com/news/2026-27-fantasy-basketball-rankings-top-200-players-points-leagues-182942270.html</x:v>
      </x:c>
      <x:c r="U226" s="87" t="str">
        <x:v>DEEP</x:v>
      </x:c>
      <x:c r="V226" s="87" t="str">
        <x:v>MEDIUM</x:v>
      </x:c>
      <x:c r="W226" s="87" t="str">
        <x:v>DEEP_ESTIMATE</x:v>
      </x:c>
      <x:c r="X226" s="87" t="str">
        <x:v>TOP-200 RESEARCH</x:v>
      </x:c>
      <x:c r="Y226" s="87" t="str">
        <x:v>2026-09-28</x:v>
      </x:c>
      <x:c r="Z226" s="72" t="str">
        <x:v>https://www.nba.com/players</x:v>
      </x:c>
      <x:c r="AA226" s="72" t="str">
        <x:v>https://basketball.realgm.com/nba/stats/2026/Averages/All/points/All/desc/1/Regular_Season</x:v>
      </x:c>
    </x:row>
    <x:row r="227" ht="21" customHeight="1">
      <x:c r="A227" s="64" t="n">
        <x:v>222</x:v>
      </x:c>
      <x:c r="B227" s="59" t="str">
        <x:v>Jordan Clarkson</x:v>
      </x:c>
      <x:c r="C227" s="65" t="str">
        <x:v>NYK</x:v>
      </x:c>
      <x:c r="D227" s="65" t="str">
        <x:v>SG</x:v>
      </x:c>
      <x:c r="E227" s="65" t="str">
        <x:v>PG/SG</x:v>
      </x:c>
      <x:c r="F227" s="66"/>
      <x:c r="G227" s="67"/>
      <x:c r="H227" s="67" t="n">
        <x:v>15.870000000000001</x:v>
      </x:c>
      <x:c r="I227" s="67" t="n">
        <x:v>22.87</x:v>
      </x:c>
      <x:c r="J227" s="67" t="n">
        <x:v>70</x:v>
      </x:c>
      <x:c r="K227" s="67" t="str">
        <x:v>DEEP</x:v>
      </x:c>
      <x:c r="L227" s="67" t="n">
        <x:v>19.37</x:v>
      </x:c>
      <x:c r="M227" s="68" t="n">
        <x:v>1355.9</x:v>
      </x:c>
      <x:c r="N227" s="69" t="str">
        <x:v>Available</x:v>
      </x:c>
      <x:c r="O227" s="62" t="str">
        <x:v>Deep-board candidate for a 10-team league; custom-format estimate emphasizes role, efficiency and rebounding. Recheck camp role and app eligibility before draft day.</x:v>
      </x:c>
      <x:c r="P227" s="60" t="n">
        <x:v>19.37</x:v>
      </x:c>
      <x:c r="Q227" s="60"/>
      <x:c r="R227" s="60" t="n">
        <x:v>19.37</x:v>
      </x:c>
      <x:c r="S227" s="60" t="n">
        <x:v>0</x:v>
      </x:c>
      <x:c r="T227" s="72" t="str">
        <x:v>https://ca.sports.yahoo.com/news/2026-27-fantasy-basketball-rankings-top-200-players-points-leagues-182942270.html</x:v>
      </x:c>
      <x:c r="U227" s="87" t="str">
        <x:v>DEEP</x:v>
      </x:c>
      <x:c r="V227" s="87" t="str">
        <x:v>MEDIUM</x:v>
      </x:c>
      <x:c r="W227" s="87" t="str">
        <x:v>DEEP_ESTIMATE</x:v>
      </x:c>
      <x:c r="X227" s="87" t="str">
        <x:v>TOP-200 RESEARCH</x:v>
      </x:c>
      <x:c r="Y227" s="87" t="str">
        <x:v>2026-09-28</x:v>
      </x:c>
      <x:c r="Z227" s="72" t="str">
        <x:v>https://www.nba.com/players</x:v>
      </x:c>
      <x:c r="AA227" s="72" t="str">
        <x:v>https://basketball.realgm.com/nba/stats/2026/Averages/All/points/All/desc/1/Regular_Season</x:v>
      </x:c>
    </x:row>
    <x:row r="228" ht="21" customHeight="1">
      <x:c r="A228" s="64" t="n">
        <x:v>223</x:v>
      </x:c>
      <x:c r="B228" s="59" t="str">
        <x:v>Kennedy Chandler</x:v>
      </x:c>
      <x:c r="C228" s="65" t="str">
        <x:v>CHI</x:v>
      </x:c>
      <x:c r="D228" s="65" t="str">
        <x:v>PG</x:v>
      </x:c>
      <x:c r="E228" s="65" t="str">
        <x:v>PG</x:v>
      </x:c>
      <x:c r="F228" s="66" t="n">
        <x:v>11</x:v>
      </x:c>
      <x:c r="G228" s="67" t="n">
        <x:v>28.55</x:v>
      </x:c>
      <x:c r="H228" s="67" t="n">
        <x:v>14.565000000000001</x:v>
      </x:c>
      <x:c r="I228" s="67" t="n">
        <x:v>25.895</x:v>
      </x:c>
      <x:c r="J228" s="67" t="n">
        <x:v>64</x:v>
      </x:c>
      <x:c r="K228" s="67" t="str">
        <x:v>VERY_DEEP</x:v>
      </x:c>
      <x:c r="L228" s="67" t="n">
        <x:v>20.23</x:v>
      </x:c>
      <x:c r="M228" s="68" t="n">
        <x:v>1294.72</x:v>
      </x:c>
      <x:c r="N228" s="69" t="str">
        <x:v>Available</x:v>
      </x:c>
      <x:c r="O228" s="62" t="str">
        <x:v>Very-deep model estimate with limited sample/role certainty. Use as a search/watch-list value and refresh once final rotations are known.</x:v>
      </x:c>
      <x:c r="P228" s="60"/>
      <x:c r="Q228" s="60"/>
      <x:c r="R228" s="60" t="n">
        <x:v>20.23</x:v>
      </x:c>
      <x:c r="S228" s="60" t="n">
        <x:v>0</x:v>
      </x:c>
      <x:c r="T228" s="72" t="str">
        <x:v>https://github.com/A-V29/NBA.Rosters/blob/main/2026.Summer.League.json</x:v>
      </x:c>
      <x:c r="U228" s="87" t="str">
        <x:v>DEEP</x:v>
      </x:c>
      <x:c r="V228" s="87" t="str">
        <x:v>MEDIUM</x:v>
      </x:c>
      <x:c r="W228" s="87" t="str">
        <x:v>MODEL</x:v>
      </x:c>
      <x:c r="X228" s="87" t="str">
        <x:v>CAMP/SUMMER</x:v>
      </x:c>
      <x:c r="Y228" s="87" t="str">
        <x:v>2026-09-28 master / roster context 2026-09-03+</x:v>
      </x:c>
      <x:c r="Z228" s="72" t="str">
        <x:v>https://github.com/A-V29/NBA.Rosters/blob/main/2026.Summer.League.json</x:v>
      </x:c>
      <x:c r="AA228" s="72" t="str">
        <x:v>https://github.com/ballacademy/NBA-head-to-head-/blob/5b1decfc31ffb645469c7ffbd01aaca4b18181bd/data/nba-stats/nba-player-stats-202526-regular-season-per-game.csv</x:v>
      </x:c>
    </x:row>
    <x:row r="229" ht="21" customHeight="1">
      <x:c r="A229" s="64" t="n">
        <x:v>224</x:v>
      </x:c>
      <x:c r="B229" s="59" t="str">
        <x:v>Andre Drummond</x:v>
      </x:c>
      <x:c r="C229" s="65" t="str">
        <x:v>NYK</x:v>
      </x:c>
      <x:c r="D229" s="65" t="str">
        <x:v>C</x:v>
      </x:c>
      <x:c r="E229" s="65" t="str">
        <x:v>C</x:v>
      </x:c>
      <x:c r="F229" s="66" t="n">
        <x:v>63</x:v>
      </x:c>
      <x:c r="G229" s="67" t="n">
        <x:v>24.05</x:v>
      </x:c>
      <x:c r="H229" s="67" t="n">
        <x:v>16.605</x:v>
      </x:c>
      <x:c r="I229" s="67" t="n">
        <x:v>23.895</x:v>
      </x:c>
      <x:c r="J229" s="67" t="n">
        <x:v>60</x:v>
      </x:c>
      <x:c r="K229" s="67" t="str">
        <x:v>DEEP</x:v>
      </x:c>
      <x:c r="L229" s="67" t="n">
        <x:v>20.25</x:v>
      </x:c>
      <x:c r="M229" s="68" t="n">
        <x:v>1215</x:v>
      </x:c>
      <x:c r="N229" s="69" t="str">
        <x:v>Available</x:v>
      </x:c>
      <x:c r="O229" s="62" t="str">
        <x:v>Deep-pool model: 2025-26 custom-score production shrunk toward a conservative 2026-27 role estimate; not a published projection.</x:v>
      </x:c>
      <x:c r="P229" s="60"/>
      <x:c r="Q229" s="60"/>
      <x:c r="R229" s="60" t="n">
        <x:v>20.25</x:v>
      </x:c>
      <x:c r="S229" s="60" t="n">
        <x:v>0</x:v>
      </x:c>
      <x:c r="T229" s="72" t="str">
        <x:v>https://github.com/plourr03/wolves-front-office/blob/5d152a169188fb9b210186a7a0d3403d4081ed38/kuminga/data/roster_snapshot_2026_27_v3.csv</x:v>
      </x:c>
      <x:c r="U229" s="87" t="str">
        <x:v>DEEP</x:v>
      </x:c>
      <x:c r="V229" s="87" t="str">
        <x:v>HIGH</x:v>
      </x:c>
      <x:c r="W229" s="87" t="str">
        <x:v>MODEL</x:v>
      </x:c>
      <x:c r="X229" s="87" t="str">
        <x:v>STANDARD</x:v>
      </x:c>
      <x:c r="Y229" s="87" t="str">
        <x:v>2026-09-28 master / roster context 2026-09-03+</x:v>
      </x:c>
      <x:c r="Z229" s="72" t="str">
        <x:v>https://github.com/plourr03/wolves-front-office/blob/5d152a169188fb9b210186a7a0d3403d4081ed38/kuminga/data/roster_snapshot_2026_27_v3.csv</x:v>
      </x:c>
      <x:c r="AA229" s="72" t="str">
        <x:v>https://github.com/ballacademy/NBA-head-to-head-/blob/5b1decfc31ffb645469c7ffbd01aaca4b18181bd/data/nba-stats/nba-player-stats-202526-regular-season-per-game.csv</x:v>
      </x:c>
    </x:row>
    <x:row r="230" ht="21" customHeight="1">
      <x:c r="A230" s="64" t="n">
        <x:v>225</x:v>
      </x:c>
      <x:c r="B230" s="59" t="str">
        <x:v>Walter Clayton Jr.</x:v>
      </x:c>
      <x:c r="C230" s="65" t="str">
        <x:v>UTA</x:v>
      </x:c>
      <x:c r="D230" s="65" t="str">
        <x:v>PG</x:v>
      </x:c>
      <x:c r="E230" s="65" t="str">
        <x:v>PG/SG</x:v>
      </x:c>
      <x:c r="F230" s="66"/>
      <x:c r="G230" s="67"/>
      <x:c r="H230" s="67" t="n">
        <x:v>15.84</x:v>
      </x:c>
      <x:c r="I230" s="67" t="n">
        <x:v>22.84</x:v>
      </x:c>
      <x:c r="J230" s="67" t="n">
        <x:v>70</x:v>
      </x:c>
      <x:c r="K230" s="67" t="str">
        <x:v>DEEP</x:v>
      </x:c>
      <x:c r="L230" s="67" t="n">
        <x:v>19.34</x:v>
      </x:c>
      <x:c r="M230" s="68" t="n">
        <x:v>1353.8</x:v>
      </x:c>
      <x:c r="N230" s="69" t="str">
        <x:v>Available</x:v>
      </x:c>
      <x:c r="O230" s="62" t="str">
        <x:v>Deep-board candidate for a 10-team league; custom-format estimate emphasizes role, efficiency and rebounding. Recheck camp role and app eligibility before draft day.</x:v>
      </x:c>
      <x:c r="P230" s="60" t="n">
        <x:v>19.34</x:v>
      </x:c>
      <x:c r="Q230" s="60"/>
      <x:c r="R230" s="60" t="n">
        <x:v>19.34</x:v>
      </x:c>
      <x:c r="S230" s="60" t="n">
        <x:v>0</x:v>
      </x:c>
      <x:c r="T230" s="72" t="str">
        <x:v>https://ca.sports.yahoo.com/news/2026-27-fantasy-basketball-rankings-top-200-players-points-leagues-182942270.html</x:v>
      </x:c>
      <x:c r="U230" s="87" t="str">
        <x:v>DEEP</x:v>
      </x:c>
      <x:c r="V230" s="87" t="str">
        <x:v>MEDIUM</x:v>
      </x:c>
      <x:c r="W230" s="87" t="str">
        <x:v>DEEP_ESTIMATE</x:v>
      </x:c>
      <x:c r="X230" s="87" t="str">
        <x:v>TOP-200 RESEARCH</x:v>
      </x:c>
      <x:c r="Y230" s="87" t="str">
        <x:v>2026-09-28</x:v>
      </x:c>
      <x:c r="Z230" s="72" t="str">
        <x:v>https://www.nba.com/players</x:v>
      </x:c>
      <x:c r="AA230" s="72" t="str">
        <x:v>https://basketball.realgm.com/nba/stats/2026/Averages/All/points/All/desc/1/Regular_Season</x:v>
      </x:c>
    </x:row>
    <x:row r="231" ht="21" customHeight="1">
      <x:c r="A231" s="64" t="n">
        <x:v>226</x:v>
      </x:c>
      <x:c r="B231" s="59" t="str">
        <x:v>Brandon Williams</x:v>
      </x:c>
      <x:c r="C231" s="65" t="str">
        <x:v>GSW</x:v>
      </x:c>
      <x:c r="D231" s="65" t="str">
        <x:v>PG</x:v>
      </x:c>
      <x:c r="E231" s="65" t="str">
        <x:v>PG</x:v>
      </x:c>
      <x:c r="F231" s="66" t="n">
        <x:v>66</x:v>
      </x:c>
      <x:c r="G231" s="67" t="n">
        <x:v>24</x:v>
      </x:c>
      <x:c r="H231" s="67" t="n">
        <x:v>16.575000000000003</x:v>
      </x:c>
      <x:c r="I231" s="67" t="n">
        <x:v>23.845</x:v>
      </x:c>
      <x:c r="J231" s="67" t="n">
        <x:v>60</x:v>
      </x:c>
      <x:c r="K231" s="67" t="str">
        <x:v>DEEP</x:v>
      </x:c>
      <x:c r="L231" s="67" t="n">
        <x:v>20.21</x:v>
      </x:c>
      <x:c r="M231" s="68" t="n">
        <x:v>1212.6000000000001</x:v>
      </x:c>
      <x:c r="N231" s="69" t="str">
        <x:v>Available</x:v>
      </x:c>
      <x:c r="O231" s="62" t="str">
        <x:v>Deep-pool model: 2025-26 custom-score production shrunk toward a conservative 2026-27 role estimate; not a published projection.</x:v>
      </x:c>
      <x:c r="P231" s="60"/>
      <x:c r="Q231" s="60"/>
      <x:c r="R231" s="60" t="n">
        <x:v>20.21</x:v>
      </x:c>
      <x:c r="S231" s="60" t="n">
        <x:v>0</x:v>
      </x:c>
      <x:c r="T231" s="72" t="str">
        <x:v>https://github.com/plourr03/wolves-front-office/blob/5d152a169188fb9b210186a7a0d3403d4081ed38/kuminga/data/roster_snapshot_2026_27_v3.csv</x:v>
      </x:c>
      <x:c r="U231" s="87" t="str">
        <x:v>DEEP</x:v>
      </x:c>
      <x:c r="V231" s="87" t="str">
        <x:v>HIGH</x:v>
      </x:c>
      <x:c r="W231" s="87" t="str">
        <x:v>MODEL</x:v>
      </x:c>
      <x:c r="X231" s="87" t="str">
        <x:v>STANDARD</x:v>
      </x:c>
      <x:c r="Y231" s="87" t="str">
        <x:v>2026-09-28 master / roster context 2026-09-03+</x:v>
      </x:c>
      <x:c r="Z231" s="72" t="str">
        <x:v>https://github.com/plourr03/wolves-front-office/blob/5d152a169188fb9b210186a7a0d3403d4081ed38/kuminga/data/roster_snapshot_2026_27_v3.csv</x:v>
      </x:c>
      <x:c r="AA231" s="72" t="str">
        <x:v>https://github.com/ballacademy/NBA-head-to-head-/blob/5b1decfc31ffb645469c7ffbd01aaca4b18181bd/data/nba-stats/nba-player-stats-202526-regular-season-per-game.csv</x:v>
      </x:c>
    </x:row>
    <x:row r="232" ht="21" customHeight="1">
      <x:c r="A232" s="64" t="n">
        <x:v>227</x:v>
      </x:c>
      <x:c r="B232" s="59" t="str">
        <x:v>De'Anthony Melton</x:v>
      </x:c>
      <x:c r="C232" s="65" t="str">
        <x:v>GSW</x:v>
      </x:c>
      <x:c r="D232" s="65" t="str">
        <x:v>SG</x:v>
      </x:c>
      <x:c r="E232" s="65" t="str">
        <x:v>PG/SG</x:v>
      </x:c>
      <x:c r="F232" s="66" t="n">
        <x:v>49</x:v>
      </x:c>
      <x:c r="G232" s="67" t="n">
        <x:v>22</x:v>
      </x:c>
      <x:c r="H232" s="67" t="n">
        <x:v>16.88424452689806</x:v>
      </x:c>
      <x:c r="I232" s="67" t="n">
        <x:v>23.88424452689806</x:v>
      </x:c>
      <x:c r="J232" s="67" t="n">
        <x:v>72</x:v>
      </x:c>
      <x:c r="K232" s="67" t="str">
        <x:v>DEEP</x:v>
      </x:c>
      <x:c r="L232" s="67" t="n">
        <x:v>20.38424452689806</x:v>
      </x:c>
      <x:c r="M232" s="68" t="n">
        <x:v>1467.66560593666</x:v>
      </x:c>
      <x:c r="N232" s="69" t="str">
        <x:v>Available</x:v>
      </x:c>
      <x:c r="O232" s="62" t="str">
        <x:v>Deep-pool model: 2025-26 custom-score production shrunk toward a conservative 2026-27 role estimate; not a published projection.</x:v>
      </x:c>
      <x:c r="P232" s="60" t="n">
        <x:v>20.38424452689806</x:v>
      </x:c>
      <x:c r="Q232" s="60"/>
      <x:c r="R232" s="60" t="n">
        <x:v>20.38424452689806</x:v>
      </x:c>
      <x:c r="S232" s="60" t="n">
        <x:v>0</x:v>
      </x:c>
      <x:c r="T232" s="72" t="str">
        <x:v>https://www.fantasypros.com/nba/projections/overall.php</x:v>
      </x:c>
      <x:c r="U232" s="87" t="str">
        <x:v>DEEP</x:v>
      </x:c>
      <x:c r="V232" s="87" t="str">
        <x:v>HIGH</x:v>
      </x:c>
      <x:c r="W232" s="87" t="str">
        <x:v>DRAFT_DAY_FP</x:v>
      </x:c>
      <x:c r="X232" s="87" t="str">
        <x:v>STANDARD</x:v>
      </x:c>
      <x:c r="Y232" s="87" t="str">
        <x:v>2026-10-10</x:v>
      </x:c>
      <x:c r="Z232" s="72" t="str">
        <x:v>https://github.com/plourr03/wolves-front-office/blob/5d152a169188fb9b210186a7a0d3403d4081ed38/kuminga/data/roster_snapshot_2026_27_v3.csv</x:v>
      </x:c>
      <x:c r="AA232" s="72" t="str">
        <x:v>https://github.com/ballacademy/NBA-head-to-head-/blob/5b1decfc31ffb645469c7ffbd01aaca4b18181bd/data/nba-stats/nba-player-stats-202526-regular-season-per-game.csv</x:v>
      </x:c>
    </x:row>
    <x:row r="233" ht="21" customHeight="1">
      <x:c r="A233" s="64" t="n">
        <x:v>228</x:v>
      </x:c>
      <x:c r="B233" s="59" t="str">
        <x:v>Jaden Ivey</x:v>
      </x:c>
      <x:c r="C233" s="65" t="str">
        <x:v>DET</x:v>
      </x:c>
      <x:c r="D233" s="65" t="str">
        <x:v>SG</x:v>
      </x:c>
      <x:c r="E233" s="65" t="str">
        <x:v>PG/SG</x:v>
      </x:c>
      <x:c r="F233" s="66"/>
      <x:c r="G233" s="67"/>
      <x:c r="H233" s="67" t="n">
        <x:v>15.41</x:v>
      </x:c>
      <x:c r="I233" s="67" t="n">
        <x:v>22.41</x:v>
      </x:c>
      <x:c r="J233" s="67" t="n">
        <x:v>70</x:v>
      </x:c>
      <x:c r="K233" s="67" t="str">
        <x:v>DEEP</x:v>
      </x:c>
      <x:c r="L233" s="67" t="n">
        <x:v>18.91</x:v>
      </x:c>
      <x:c r="M233" s="68" t="n">
        <x:v>1323.7</x:v>
      </x:c>
      <x:c r="N233" s="69" t="str">
        <x:v>Available</x:v>
      </x:c>
      <x:c r="O233" s="62" t="str">
        <x:v>Deep-board candidate for a 10-team league; custom-format estimate emphasizes role, efficiency and rebounding. Recheck camp role and app eligibility before draft day.</x:v>
      </x:c>
      <x:c r="P233" s="60" t="n">
        <x:v>18.91</x:v>
      </x:c>
      <x:c r="Q233" s="60"/>
      <x:c r="R233" s="60" t="n">
        <x:v>18.91</x:v>
      </x:c>
      <x:c r="S233" s="60" t="n">
        <x:v>0</x:v>
      </x:c>
      <x:c r="T233" s="72" t="str">
        <x:v>https://ca.sports.yahoo.com/news/2026-27-fantasy-basketball-rankings-top-200-players-points-leagues-182942270.html</x:v>
      </x:c>
      <x:c r="U233" s="87" t="str">
        <x:v>DEEP</x:v>
      </x:c>
      <x:c r="V233" s="87" t="str">
        <x:v>MEDIUM</x:v>
      </x:c>
      <x:c r="W233" s="87" t="str">
        <x:v>DEEP_ESTIMATE</x:v>
      </x:c>
      <x:c r="X233" s="87" t="str">
        <x:v>TOP-200 RESEARCH</x:v>
      </x:c>
      <x:c r="Y233" s="87" t="str">
        <x:v>2026-09-28</x:v>
      </x:c>
      <x:c r="Z233" s="72" t="str">
        <x:v>https://www.nba.com/players</x:v>
      </x:c>
      <x:c r="AA233" s="72" t="str">
        <x:v>https://basketball.realgm.com/nba/stats/2026/Averages/All/points/All/desc/1/Regular_Season</x:v>
      </x:c>
    </x:row>
    <x:row r="234" ht="21" customHeight="1">
      <x:c r="A234" s="64" t="n">
        <x:v>229</x:v>
      </x:c>
      <x:c r="B234" s="59" t="str">
        <x:v>Pelle Larsson</x:v>
      </x:c>
      <x:c r="C234" s="65" t="str">
        <x:v>MIA</x:v>
      </x:c>
      <x:c r="D234" s="65" t="str">
        <x:v>SG</x:v>
      </x:c>
      <x:c r="E234" s="65" t="str">
        <x:v>SG</x:v>
      </x:c>
      <x:c r="F234" s="66" t="n">
        <x:v>70</x:v>
      </x:c>
      <x:c r="G234" s="67" t="n">
        <x:v>23.7</x:v>
      </x:c>
      <x:c r="H234" s="67" t="n">
        <x:v>16.345</x:v>
      </x:c>
      <x:c r="I234" s="67" t="n">
        <x:v>23.515</x:v>
      </x:c>
      <x:c r="J234" s="67" t="n">
        <x:v>60</x:v>
      </x:c>
      <x:c r="K234" s="67" t="str">
        <x:v>DEEP</x:v>
      </x:c>
      <x:c r="L234" s="67" t="n">
        <x:v>19.93</x:v>
      </x:c>
      <x:c r="M234" s="68" t="n">
        <x:v>1195.8</x:v>
      </x:c>
      <x:c r="N234" s="69" t="str">
        <x:v>Available</x:v>
      </x:c>
      <x:c r="O234" s="62" t="str">
        <x:v>Deep-pool model: 2025-26 custom-score production shrunk toward a conservative 2026-27 role estimate; not a published projection.</x:v>
      </x:c>
      <x:c r="P234" s="60"/>
      <x:c r="Q234" s="60"/>
      <x:c r="R234" s="60" t="n">
        <x:v>19.93</x:v>
      </x:c>
      <x:c r="S234" s="60" t="n">
        <x:v>0</x:v>
      </x:c>
      <x:c r="T234" s="72" t="str">
        <x:v>https://github.com/plourr03/wolves-front-office/blob/5d152a169188fb9b210186a7a0d3403d4081ed38/kuminga/data/roster_snapshot_2026_27_v3.csv</x:v>
      </x:c>
      <x:c r="U234" s="87" t="str">
        <x:v>DEEP</x:v>
      </x:c>
      <x:c r="V234" s="87" t="str">
        <x:v>HIGH</x:v>
      </x:c>
      <x:c r="W234" s="87" t="str">
        <x:v>MODEL</x:v>
      </x:c>
      <x:c r="X234" s="87" t="str">
        <x:v>STANDARD</x:v>
      </x:c>
      <x:c r="Y234" s="87" t="str">
        <x:v>2026-09-28 master / roster context 2026-09-03+</x:v>
      </x:c>
      <x:c r="Z234" s="72" t="str">
        <x:v>https://github.com/plourr03/wolves-front-office/blob/5d152a169188fb9b210186a7a0d3403d4081ed38/kuminga/data/roster_snapshot_2026_27_v3.csv</x:v>
      </x:c>
      <x:c r="AA234" s="72" t="str">
        <x:v>https://github.com/ballacademy/NBA-head-to-head-/blob/5b1decfc31ffb645469c7ffbd01aaca4b18181bd/data/nba-stats/nba-player-stats-202526-regular-season-per-game.csv</x:v>
      </x:c>
    </x:row>
    <x:row r="235" ht="21" customHeight="1">
      <x:c r="A235" s="64" t="n">
        <x:v>230</x:v>
      </x:c>
      <x:c r="B235" s="59" t="str">
        <x:v>Ryan Kalkbrenner</x:v>
      </x:c>
      <x:c r="C235" s="65" t="str">
        <x:v>CHA</x:v>
      </x:c>
      <x:c r="D235" s="65" t="str">
        <x:v>C</x:v>
      </x:c>
      <x:c r="E235" s="65" t="str">
        <x:v>C</x:v>
      </x:c>
      <x:c r="F235" s="66" t="n">
        <x:v>69</x:v>
      </x:c>
      <x:c r="G235" s="67" t="n">
        <x:v>23.45</x:v>
      </x:c>
      <x:c r="H235" s="67" t="n">
        <x:v>16.195</x:v>
      </x:c>
      <x:c r="I235" s="67" t="n">
        <x:v>23.305</x:v>
      </x:c>
      <x:c r="J235" s="67" t="n">
        <x:v>64</x:v>
      </x:c>
      <x:c r="K235" s="67" t="str">
        <x:v>DEEP</x:v>
      </x:c>
      <x:c r="L235" s="67" t="n">
        <x:v>19.75</x:v>
      </x:c>
      <x:c r="M235" s="68" t="n">
        <x:v>1264</x:v>
      </x:c>
      <x:c r="N235" s="69" t="str">
        <x:v>Available</x:v>
      </x:c>
      <x:c r="O235" s="62" t="str">
        <x:v>Deep-pool model: 2025-26 custom-score production shrunk toward a conservative 2026-27 role estimate; not a published projection.</x:v>
      </x:c>
      <x:c r="P235" s="60"/>
      <x:c r="Q235" s="60"/>
      <x:c r="R235" s="60" t="n">
        <x:v>19.75</x:v>
      </x:c>
      <x:c r="S235" s="60" t="n">
        <x:v>0</x:v>
      </x:c>
      <x:c r="T235" s="72" t="str">
        <x:v>https://github.com/A-V29/NBA.Rosters/blob/main/2026.Summer.League.json</x:v>
      </x:c>
      <x:c r="U235" s="87" t="str">
        <x:v>DEEP</x:v>
      </x:c>
      <x:c r="V235" s="87" t="str">
        <x:v>HIGH</x:v>
      </x:c>
      <x:c r="W235" s="87" t="str">
        <x:v>MODEL</x:v>
      </x:c>
      <x:c r="X235" s="87" t="str">
        <x:v>CAMP/SUMMER</x:v>
      </x:c>
      <x:c r="Y235" s="87" t="str">
        <x:v>2026-09-28 master / roster context 2026-09-03+</x:v>
      </x:c>
      <x:c r="Z235" s="72" t="str">
        <x:v>https://github.com/A-V29/NBA.Rosters/blob/main/2026.Summer.League.json</x:v>
      </x:c>
      <x:c r="AA235" s="72" t="str">
        <x:v>https://github.com/ballacademy/NBA-head-to-head-/blob/5b1decfc31ffb645469c7ffbd01aaca4b18181bd/data/nba-stats/nba-player-stats-202526-regular-season-per-game.csv</x:v>
      </x:c>
    </x:row>
    <x:row r="236" ht="21" customHeight="1">
      <x:c r="A236" s="64" t="n">
        <x:v>231</x:v>
      </x:c>
      <x:c r="B236" s="59" t="str">
        <x:v>Tre Mann</x:v>
      </x:c>
      <x:c r="C236" s="65" t="str">
        <x:v>CHA</x:v>
      </x:c>
      <x:c r="D236" s="65" t="str">
        <x:v>PG</x:v>
      </x:c>
      <x:c r="E236" s="65" t="str">
        <x:v>PG/SG</x:v>
      </x:c>
      <x:c r="F236" s="66"/>
      <x:c r="G236" s="67"/>
      <x:c r="H236" s="67" t="n">
        <x:v>15.27</x:v>
      </x:c>
      <x:c r="I236" s="67" t="n">
        <x:v>22.27</x:v>
      </x:c>
      <x:c r="J236" s="67" t="n">
        <x:v>70</x:v>
      </x:c>
      <x:c r="K236" s="67" t="str">
        <x:v>DEEP</x:v>
      </x:c>
      <x:c r="L236" s="67" t="n">
        <x:v>18.77</x:v>
      </x:c>
      <x:c r="M236" s="68" t="n">
        <x:v>1313.8999999999999</x:v>
      </x:c>
      <x:c r="N236" s="69" t="str">
        <x:v>Available</x:v>
      </x:c>
      <x:c r="O236" s="62" t="str">
        <x:v>Deep-board candidate for a 10-team league; custom-format estimate emphasizes role, efficiency and rebounding. Recheck camp role and app eligibility before draft day.</x:v>
      </x:c>
      <x:c r="P236" s="60" t="n">
        <x:v>18.77</x:v>
      </x:c>
      <x:c r="Q236" s="60"/>
      <x:c r="R236" s="60" t="n">
        <x:v>18.77</x:v>
      </x:c>
      <x:c r="S236" s="60" t="n">
        <x:v>0</x:v>
      </x:c>
      <x:c r="T236" s="72" t="str">
        <x:v>https://ca.sports.yahoo.com/news/2026-27-fantasy-basketball-rankings-top-200-players-points-leagues-182942270.html</x:v>
      </x:c>
      <x:c r="U236" s="87" t="str">
        <x:v>DEEP</x:v>
      </x:c>
      <x:c r="V236" s="87" t="str">
        <x:v>MEDIUM</x:v>
      </x:c>
      <x:c r="W236" s="87" t="str">
        <x:v>DEEP_ESTIMATE</x:v>
      </x:c>
      <x:c r="X236" s="87" t="str">
        <x:v>TOP-200 RESEARCH</x:v>
      </x:c>
      <x:c r="Y236" s="87" t="str">
        <x:v>2026-09-28</x:v>
      </x:c>
      <x:c r="Z236" s="72" t="str">
        <x:v>https://www.nba.com/players</x:v>
      </x:c>
      <x:c r="AA236" s="72" t="str">
        <x:v>https://basketball.realgm.com/nba/stats/2026/Averages/All/points/All/desc/1/Regular_Season</x:v>
      </x:c>
    </x:row>
    <x:row r="237" ht="21" customHeight="1">
      <x:c r="A237" s="64" t="n">
        <x:v>232</x:v>
      </x:c>
      <x:c r="B237" s="59" t="str">
        <x:v>G.G. Jackson</x:v>
      </x:c>
      <x:c r="C237" s="65" t="str">
        <x:v>MEM</x:v>
      </x:c>
      <x:c r="D237" s="65" t="str">
        <x:v>PF</x:v>
      </x:c>
      <x:c r="E237" s="65" t="str">
        <x:v>PF</x:v>
      </x:c>
      <x:c r="F237" s="66" t="n">
        <x:v>55</x:v>
      </x:c>
      <x:c r="G237" s="67" t="n">
        <x:v>22.65</x:v>
      </x:c>
      <x:c r="H237" s="67" t="n">
        <x:v>16.32</x:v>
      </x:c>
      <x:c r="I237" s="67" t="n">
        <x:v>23.479999999999997</x:v>
      </x:c>
      <x:c r="J237" s="67" t="n">
        <x:v>60</x:v>
      </x:c>
      <x:c r="K237" s="67" t="str">
        <x:v>DEEP</x:v>
      </x:c>
      <x:c r="L237" s="67" t="n">
        <x:v>19.9</x:v>
      </x:c>
      <x:c r="M237" s="68" t="n">
        <x:v>1194</x:v>
      </x:c>
      <x:c r="N237" s="69" t="str">
        <x:v>Available</x:v>
      </x:c>
      <x:c r="O237" s="62" t="str">
        <x:v>Deep-pool model: 2025-26 custom-score production shrunk toward a conservative 2026-27 role estimate; not a published projection.</x:v>
      </x:c>
      <x:c r="P237" s="60"/>
      <x:c r="Q237" s="60"/>
      <x:c r="R237" s="60" t="n">
        <x:v>19.9</x:v>
      </x:c>
      <x:c r="S237" s="60" t="n">
        <x:v>0</x:v>
      </x:c>
      <x:c r="T237" s="72" t="str">
        <x:v>https://github.com/plourr03/wolves-front-office/blob/5d152a169188fb9b210186a7a0d3403d4081ed38/kuminga/data/roster_snapshot_2026_27_v3.csv</x:v>
      </x:c>
      <x:c r="U237" s="87" t="str">
        <x:v>DEEP</x:v>
      </x:c>
      <x:c r="V237" s="87" t="str">
        <x:v>HIGH</x:v>
      </x:c>
      <x:c r="W237" s="87" t="str">
        <x:v>MODEL</x:v>
      </x:c>
      <x:c r="X237" s="87" t="str">
        <x:v>STANDARD</x:v>
      </x:c>
      <x:c r="Y237" s="87" t="str">
        <x:v>2026-09-28 master / roster context 2026-09-03+</x:v>
      </x:c>
      <x:c r="Z237" s="72" t="str">
        <x:v>https://github.com/plourr03/wolves-front-office/blob/5d152a169188fb9b210186a7a0d3403d4081ed38/kuminga/data/roster_snapshot_2026_27_v3.csv</x:v>
      </x:c>
      <x:c r="AA237" s="72" t="str">
        <x:v>https://github.com/ballacademy/NBA-head-to-head-/blob/5b1decfc31ffb645469c7ffbd01aaca4b18181bd/data/nba-stats/nba-player-stats-202526-regular-season-per-game.csv</x:v>
      </x:c>
    </x:row>
    <x:row r="238" ht="21" customHeight="1">
      <x:c r="A238" s="64" t="n">
        <x:v>233</x:v>
      </x:c>
      <x:c r="B238" s="59" t="str">
        <x:v>Sam Merrill</x:v>
      </x:c>
      <x:c r="C238" s="65" t="str">
        <x:v>CLE</x:v>
      </x:c>
      <x:c r="D238" s="65" t="str">
        <x:v>SG</x:v>
      </x:c>
      <x:c r="E238" s="65" t="str">
        <x:v>SG</x:v>
      </x:c>
      <x:c r="F238" s="66" t="n">
        <x:v>52</x:v>
      </x:c>
      <x:c r="G238" s="67" t="n">
        <x:v>22.95</x:v>
      </x:c>
      <x:c r="H238" s="67" t="n">
        <x:v>16.32</x:v>
      </x:c>
      <x:c r="I238" s="67" t="n">
        <x:v>23.479999999999997</x:v>
      </x:c>
      <x:c r="J238" s="67" t="n">
        <x:v>60</x:v>
      </x:c>
      <x:c r="K238" s="67" t="str">
        <x:v>DEEP</x:v>
      </x:c>
      <x:c r="L238" s="67" t="n">
        <x:v>19.9</x:v>
      </x:c>
      <x:c r="M238" s="68" t="n">
        <x:v>1194</x:v>
      </x:c>
      <x:c r="N238" s="69" t="str">
        <x:v>Available</x:v>
      </x:c>
      <x:c r="O238" s="62" t="str">
        <x:v>Deep-pool model: 2025-26 custom-score production shrunk toward a conservative 2026-27 role estimate; not a published projection.</x:v>
      </x:c>
      <x:c r="P238" s="60"/>
      <x:c r="Q238" s="60"/>
      <x:c r="R238" s="60" t="n">
        <x:v>19.9</x:v>
      </x:c>
      <x:c r="S238" s="60" t="n">
        <x:v>0</x:v>
      </x:c>
      <x:c r="T238" s="72" t="str">
        <x:v>https://github.com/plourr03/wolves-front-office/blob/5d152a169188fb9b210186a7a0d3403d4081ed38/kuminga/data/roster_snapshot_2026_27_v3.csv</x:v>
      </x:c>
      <x:c r="U238" s="87" t="str">
        <x:v>DEEP</x:v>
      </x:c>
      <x:c r="V238" s="87" t="str">
        <x:v>HIGH</x:v>
      </x:c>
      <x:c r="W238" s="87" t="str">
        <x:v>MODEL</x:v>
      </x:c>
      <x:c r="X238" s="87" t="str">
        <x:v>STANDARD</x:v>
      </x:c>
      <x:c r="Y238" s="87" t="str">
        <x:v>2026-09-28 master / roster context 2026-09-03+</x:v>
      </x:c>
      <x:c r="Z238" s="72" t="str">
        <x:v>https://github.com/plourr03/wolves-front-office/blob/5d152a169188fb9b210186a7a0d3403d4081ed38/kuminga/data/roster_snapshot_2026_27_v3.csv</x:v>
      </x:c>
      <x:c r="AA238" s="72" t="str">
        <x:v>https://github.com/ballacademy/NBA-head-to-head-/blob/5b1decfc31ffb645469c7ffbd01aaca4b18181bd/data/nba-stats/nba-player-stats-202526-regular-season-per-game.csv</x:v>
      </x:c>
    </x:row>
    <x:row r="239" ht="21" customHeight="1">
      <x:c r="A239" s="64" t="n">
        <x:v>234</x:v>
      </x:c>
      <x:c r="B239" s="59" t="str">
        <x:v>Noah Clowney</x:v>
      </x:c>
      <x:c r="C239" s="65" t="str">
        <x:v>BKN</x:v>
      </x:c>
      <x:c r="D239" s="65" t="str">
        <x:v>PF</x:v>
      </x:c>
      <x:c r="E239" s="65" t="str">
        <x:v>PF</x:v>
      </x:c>
      <x:c r="F239" s="66" t="n">
        <x:v>66</x:v>
      </x:c>
      <x:c r="G239" s="67" t="n">
        <x:v>22.05</x:v>
      </x:c>
      <x:c r="H239" s="67" t="n">
        <x:v>16.295</x:v>
      </x:c>
      <x:c r="I239" s="67" t="n">
        <x:v>23.445</x:v>
      </x:c>
      <x:c r="J239" s="67" t="n">
        <x:v>60</x:v>
      </x:c>
      <x:c r="K239" s="67" t="str">
        <x:v>DEEP</x:v>
      </x:c>
      <x:c r="L239" s="67" t="n">
        <x:v>19.87</x:v>
      </x:c>
      <x:c r="M239" s="68" t="n">
        <x:v>1192.2</x:v>
      </x:c>
      <x:c r="N239" s="69" t="str">
        <x:v>Available</x:v>
      </x:c>
      <x:c r="O239" s="62" t="str">
        <x:v>Deep-pool model: 2025-26 custom-score production shrunk toward a conservative 2026-27 role estimate; not a published projection.</x:v>
      </x:c>
      <x:c r="P239" s="60"/>
      <x:c r="Q239" s="60"/>
      <x:c r="R239" s="60" t="n">
        <x:v>19.87</x:v>
      </x:c>
      <x:c r="S239" s="60" t="n">
        <x:v>0</x:v>
      </x:c>
      <x:c r="T239" s="72" t="str">
        <x:v>https://github.com/plourr03/wolves-front-office/blob/5d152a169188fb9b210186a7a0d3403d4081ed38/kuminga/data/roster_snapshot_2026_27_v3.csv</x:v>
      </x:c>
      <x:c r="U239" s="87" t="str">
        <x:v>DEEP</x:v>
      </x:c>
      <x:c r="V239" s="87" t="str">
        <x:v>HIGH</x:v>
      </x:c>
      <x:c r="W239" s="87" t="str">
        <x:v>MODEL</x:v>
      </x:c>
      <x:c r="X239" s="87" t="str">
        <x:v>STANDARD</x:v>
      </x:c>
      <x:c r="Y239" s="87" t="str">
        <x:v>2026-09-28 master / roster context 2026-09-03+</x:v>
      </x:c>
      <x:c r="Z239" s="72" t="str">
        <x:v>https://github.com/plourr03/wolves-front-office/blob/5d152a169188fb9b210186a7a0d3403d4081ed38/kuminga/data/roster_snapshot_2026_27_v3.csv</x:v>
      </x:c>
      <x:c r="AA239" s="72" t="str">
        <x:v>https://github.com/ballacademy/NBA-head-to-head-/blob/5b1decfc31ffb645469c7ffbd01aaca4b18181bd/data/nba-stats/nba-player-stats-202526-regular-season-per-game.csv</x:v>
      </x:c>
    </x:row>
    <x:row r="240" ht="21" customHeight="1">
      <x:c r="A240" s="64" t="n">
        <x:v>235</x:v>
      </x:c>
      <x:c r="B240" s="59" t="str">
        <x:v>Jordan Goodwin</x:v>
      </x:c>
      <x:c r="C240" s="65" t="str">
        <x:v>PHX</x:v>
      </x:c>
      <x:c r="D240" s="65" t="str">
        <x:v>PG</x:v>
      </x:c>
      <x:c r="E240" s="65" t="str">
        <x:v>PG</x:v>
      </x:c>
      <x:c r="F240" s="66" t="n">
        <x:v>70</x:v>
      </x:c>
      <x:c r="G240" s="67" t="n">
        <x:v>22.9</x:v>
      </x:c>
      <x:c r="H240" s="67" t="n">
        <x:v>16.244999999999997</x:v>
      </x:c>
      <x:c r="I240" s="67" t="n">
        <x:v>23.375</x:v>
      </x:c>
      <x:c r="J240" s="67" t="n">
        <x:v>60</x:v>
      </x:c>
      <x:c r="K240" s="67" t="str">
        <x:v>DEEP</x:v>
      </x:c>
      <x:c r="L240" s="67" t="n">
        <x:v>19.81</x:v>
      </x:c>
      <x:c r="M240" s="68" t="n">
        <x:v>1188.6</x:v>
      </x:c>
      <x:c r="N240" s="69" t="str">
        <x:v>Available</x:v>
      </x:c>
      <x:c r="O240" s="62" t="str">
        <x:v>Deep-pool model: 2025-26 custom-score production shrunk toward a conservative 2026-27 role estimate; not a published projection.</x:v>
      </x:c>
      <x:c r="P240" s="60"/>
      <x:c r="Q240" s="60"/>
      <x:c r="R240" s="60" t="n">
        <x:v>19.81</x:v>
      </x:c>
      <x:c r="S240" s="60" t="n">
        <x:v>0</x:v>
      </x:c>
      <x:c r="T240" s="72" t="str">
        <x:v>https://github.com/plourr03/wolves-front-office/blob/5d152a169188fb9b210186a7a0d3403d4081ed38/kuminga/data/roster_snapshot_2026_27_v3.csv</x:v>
      </x:c>
      <x:c r="U240" s="87" t="str">
        <x:v>DEEP</x:v>
      </x:c>
      <x:c r="V240" s="87" t="str">
        <x:v>HIGH</x:v>
      </x:c>
      <x:c r="W240" s="87" t="str">
        <x:v>MODEL</x:v>
      </x:c>
      <x:c r="X240" s="87" t="str">
        <x:v>STANDARD</x:v>
      </x:c>
      <x:c r="Y240" s="87" t="str">
        <x:v>2026-09-28 master / roster context 2026-09-03+</x:v>
      </x:c>
      <x:c r="Z240" s="72" t="str">
        <x:v>https://github.com/plourr03/wolves-front-office/blob/5d152a169188fb9b210186a7a0d3403d4081ed38/kuminga/data/roster_snapshot_2026_27_v3.csv</x:v>
      </x:c>
      <x:c r="AA240" s="72" t="str">
        <x:v>https://github.com/ballacademy/NBA-head-to-head-/blob/5b1decfc31ffb645469c7ffbd01aaca4b18181bd/data/nba-stats/nba-player-stats-202526-regular-season-per-game.csv</x:v>
      </x:c>
    </x:row>
    <x:row r="241" ht="21" customHeight="1">
      <x:c r="A241" s="64" t="n">
        <x:v>236</x:v>
      </x:c>
      <x:c r="B241" s="59" t="str">
        <x:v>Jose Alvarado</x:v>
      </x:c>
      <x:c r="C241" s="65" t="str">
        <x:v>NOP</x:v>
      </x:c>
      <x:c r="D241" s="65" t="str">
        <x:v>PG</x:v>
      </x:c>
      <x:c r="E241" s="65" t="str">
        <x:v>PG</x:v>
      </x:c>
      <x:c r="F241" s="66"/>
      <x:c r="G241" s="67"/>
      <x:c r="H241" s="67" t="n">
        <x:v>14.7</x:v>
      </x:c>
      <x:c r="I241" s="67" t="n">
        <x:v>21.7</x:v>
      </x:c>
      <x:c r="J241" s="67" t="n">
        <x:v>70</x:v>
      </x:c>
      <x:c r="K241" s="67" t="str">
        <x:v>DEEP</x:v>
      </x:c>
      <x:c r="L241" s="67" t="n">
        <x:v>18.2</x:v>
      </x:c>
      <x:c r="M241" s="68" t="n">
        <x:v>1274</x:v>
      </x:c>
      <x:c r="N241" s="69" t="str">
        <x:v>Available</x:v>
      </x:c>
      <x:c r="O241" s="62" t="str">
        <x:v>Deep-board candidate for a 10-team league; custom-format estimate emphasizes role, efficiency and rebounding. Recheck camp role and app eligibility before draft day.</x:v>
      </x:c>
      <x:c r="P241" s="60" t="n">
        <x:v>18.2</x:v>
      </x:c>
      <x:c r="Q241" s="60"/>
      <x:c r="R241" s="60" t="n">
        <x:v>18.2</x:v>
      </x:c>
      <x:c r="S241" s="60" t="n">
        <x:v>0</x:v>
      </x:c>
      <x:c r="T241" s="72" t="str">
        <x:v>https://ca.sports.yahoo.com/news/2026-27-fantasy-basketball-rankings-top-200-players-points-leagues-182942270.html</x:v>
      </x:c>
      <x:c r="U241" s="87" t="str">
        <x:v>DEEP</x:v>
      </x:c>
      <x:c r="V241" s="87" t="str">
        <x:v>MEDIUM</x:v>
      </x:c>
      <x:c r="W241" s="87" t="str">
        <x:v>DEEP_ESTIMATE</x:v>
      </x:c>
      <x:c r="X241" s="87" t="str">
        <x:v>TOP-200 RESEARCH</x:v>
      </x:c>
      <x:c r="Y241" s="87" t="str">
        <x:v>2026-09-28</x:v>
      </x:c>
      <x:c r="Z241" s="72" t="str">
        <x:v>https://www.nba.com/players</x:v>
      </x:c>
      <x:c r="AA241" s="72" t="str">
        <x:v>https://basketball.realgm.com/nba/stats/2026/Averages/All/points/All/desc/1/Regular_Season</x:v>
      </x:c>
    </x:row>
    <x:row r="242" ht="21" customHeight="1">
      <x:c r="A242" s="64" t="n">
        <x:v>237</x:v>
      </x:c>
      <x:c r="B242" s="59" t="str">
        <x:v>Justin Champagnie</x:v>
      </x:c>
      <x:c r="C242" s="65" t="str">
        <x:v>WAS</x:v>
      </x:c>
      <x:c r="D242" s="65" t="str">
        <x:v>SF</x:v>
      </x:c>
      <x:c r="E242" s="65" t="str">
        <x:v>SF</x:v>
      </x:c>
      <x:c r="F242" s="66" t="n">
        <x:v>69</x:v>
      </x:c>
      <x:c r="G242" s="67" t="n">
        <x:v>23.4</x:v>
      </x:c>
      <x:c r="H242" s="67" t="n">
        <x:v>16.21</x:v>
      </x:c>
      <x:c r="I242" s="67" t="n">
        <x:v>23.33</x:v>
      </x:c>
      <x:c r="J242" s="67" t="n">
        <x:v>60</x:v>
      </x:c>
      <x:c r="K242" s="67" t="str">
        <x:v>DEEP</x:v>
      </x:c>
      <x:c r="L242" s="67" t="n">
        <x:v>19.77</x:v>
      </x:c>
      <x:c r="M242" s="68" t="n">
        <x:v>1186.2</x:v>
      </x:c>
      <x:c r="N242" s="69" t="str">
        <x:v>Available</x:v>
      </x:c>
      <x:c r="O242" s="62" t="str">
        <x:v>Deep-pool model: 2025-26 custom-score production shrunk toward a conservative 2026-27 role estimate; not a published projection.</x:v>
      </x:c>
      <x:c r="P242" s="60"/>
      <x:c r="Q242" s="60"/>
      <x:c r="R242" s="60" t="n">
        <x:v>19.77</x:v>
      </x:c>
      <x:c r="S242" s="60" t="n">
        <x:v>0</x:v>
      </x:c>
      <x:c r="T242" s="72" t="str">
        <x:v>https://github.com/plourr03/wolves-front-office/blob/5d152a169188fb9b210186a7a0d3403d4081ed38/kuminga/data/roster_snapshot_2026_27_v3.csv</x:v>
      </x:c>
      <x:c r="U242" s="87" t="str">
        <x:v>DEEP</x:v>
      </x:c>
      <x:c r="V242" s="87" t="str">
        <x:v>HIGH</x:v>
      </x:c>
      <x:c r="W242" s="87" t="str">
        <x:v>MODEL</x:v>
      </x:c>
      <x:c r="X242" s="87" t="str">
        <x:v>STANDARD</x:v>
      </x:c>
      <x:c r="Y242" s="87" t="str">
        <x:v>2026-09-28 master / roster context 2026-09-03+</x:v>
      </x:c>
      <x:c r="Z242" s="72" t="str">
        <x:v>https://github.com/plourr03/wolves-front-office/blob/5d152a169188fb9b210186a7a0d3403d4081ed38/kuminga/data/roster_snapshot_2026_27_v3.csv</x:v>
      </x:c>
      <x:c r="AA242" s="72" t="str">
        <x:v>https://github.com/ballacademy/NBA-head-to-head-/blob/5b1decfc31ffb645469c7ffbd01aaca4b18181bd/data/nba-stats/nba-player-stats-202526-regular-season-per-game.csv</x:v>
      </x:c>
    </x:row>
    <x:row r="243" ht="21" customHeight="1">
      <x:c r="A243" s="64" t="n">
        <x:v>238</x:v>
      </x:c>
      <x:c r="B243" s="59" t="str">
        <x:v>Jarace Walker</x:v>
      </x:c>
      <x:c r="C243" s="65" t="str">
        <x:v>IND</x:v>
      </x:c>
      <x:c r="D243" s="65" t="str">
        <x:v>PF</x:v>
      </x:c>
      <x:c r="E243" s="65" t="str">
        <x:v>PF</x:v>
      </x:c>
      <x:c r="F243" s="66" t="n">
        <x:v>76</x:v>
      </x:c>
      <x:c r="G243" s="67" t="n">
        <x:v>21.5</x:v>
      </x:c>
      <x:c r="H243" s="67" t="n">
        <x:v>16.14</x:v>
      </x:c>
      <x:c r="I243" s="67" t="n">
        <x:v>23.22</x:v>
      </x:c>
      <x:c r="J243" s="67" t="n">
        <x:v>60</x:v>
      </x:c>
      <x:c r="K243" s="67" t="str">
        <x:v>DEEP</x:v>
      </x:c>
      <x:c r="L243" s="67" t="n">
        <x:v>19.68</x:v>
      </x:c>
      <x:c r="M243" s="68" t="n">
        <x:v>1180.8</x:v>
      </x:c>
      <x:c r="N243" s="69" t="str">
        <x:v>Available</x:v>
      </x:c>
      <x:c r="O243" s="62" t="str">
        <x:v>Deep-pool model: 2025-26 custom-score production shrunk toward a conservative 2026-27 role estimate; not a published projection.</x:v>
      </x:c>
      <x:c r="P243" s="60"/>
      <x:c r="Q243" s="60"/>
      <x:c r="R243" s="60" t="n">
        <x:v>19.68</x:v>
      </x:c>
      <x:c r="S243" s="60" t="n">
        <x:v>0</x:v>
      </x:c>
      <x:c r="T243" s="72" t="str">
        <x:v>https://github.com/plourr03/wolves-front-office/blob/5d152a169188fb9b210186a7a0d3403d4081ed38/kuminga/data/roster_snapshot_2026_27_v3.csv</x:v>
      </x:c>
      <x:c r="U243" s="87" t="str">
        <x:v>DEEP</x:v>
      </x:c>
      <x:c r="V243" s="87" t="str">
        <x:v>HIGH</x:v>
      </x:c>
      <x:c r="W243" s="87" t="str">
        <x:v>MODEL</x:v>
      </x:c>
      <x:c r="X243" s="87" t="str">
        <x:v>STANDARD</x:v>
      </x:c>
      <x:c r="Y243" s="87" t="str">
        <x:v>2026-09-28 master / roster context 2026-09-03+</x:v>
      </x:c>
      <x:c r="Z243" s="72" t="str">
        <x:v>https://github.com/plourr03/wolves-front-office/blob/5d152a169188fb9b210186a7a0d3403d4081ed38/kuminga/data/roster_snapshot_2026_27_v3.csv</x:v>
      </x:c>
      <x:c r="AA243" s="72" t="str">
        <x:v>https://github.com/ballacademy/NBA-head-to-head-/blob/5b1decfc31ffb645469c7ffbd01aaca4b18181bd/data/nba-stats/nba-player-stats-202526-regular-season-per-game.csv</x:v>
      </x:c>
    </x:row>
    <x:row r="244" ht="21" customHeight="1">
      <x:c r="A244" s="64" t="n">
        <x:v>239</x:v>
      </x:c>
      <x:c r="B244" s="59" t="str">
        <x:v>Dylan Cardwell</x:v>
      </x:c>
      <x:c r="C244" s="65" t="str">
        <x:v>SAC</x:v>
      </x:c>
      <x:c r="D244" s="65" t="str">
        <x:v>PF</x:v>
      </x:c>
      <x:c r="E244" s="65" t="str">
        <x:v>PF</x:v>
      </x:c>
      <x:c r="F244" s="66" t="n">
        <x:v>44</x:v>
      </x:c>
      <x:c r="G244" s="67" t="n">
        <x:v>24.15</x:v>
      </x:c>
      <x:c r="H244" s="67" t="n">
        <x:v>15.965</x:v>
      </x:c>
      <x:c r="I244" s="67" t="n">
        <x:v>22.974999999999998</x:v>
      </x:c>
      <x:c r="J244" s="67" t="n">
        <x:v>60</x:v>
      </x:c>
      <x:c r="K244" s="67" t="str">
        <x:v>DEEP</x:v>
      </x:c>
      <x:c r="L244" s="67" t="n">
        <x:v>19.47</x:v>
      </x:c>
      <x:c r="M244" s="68" t="n">
        <x:v>1168.1999999999998</x:v>
      </x:c>
      <x:c r="N244" s="69" t="str">
        <x:v>Available</x:v>
      </x:c>
      <x:c r="O244" s="62" t="str">
        <x:v>Deep-pool model: 2025-26 custom-score production shrunk toward a conservative 2026-27 role estimate; not a published projection.</x:v>
      </x:c>
      <x:c r="P244" s="60"/>
      <x:c r="Q244" s="60"/>
      <x:c r="R244" s="60" t="n">
        <x:v>19.47</x:v>
      </x:c>
      <x:c r="S244" s="60" t="n">
        <x:v>0</x:v>
      </x:c>
      <x:c r="T244" s="72" t="str">
        <x:v>https://github.com/plourr03/wolves-front-office/blob/5d152a169188fb9b210186a7a0d3403d4081ed38/kuminga/data/roster_snapshot_2026_27_v3.csv</x:v>
      </x:c>
      <x:c r="U244" s="87" t="str">
        <x:v>DEEP</x:v>
      </x:c>
      <x:c r="V244" s="87" t="str">
        <x:v>HIGH</x:v>
      </x:c>
      <x:c r="W244" s="87" t="str">
        <x:v>MODEL</x:v>
      </x:c>
      <x:c r="X244" s="87" t="str">
        <x:v>STANDARD</x:v>
      </x:c>
      <x:c r="Y244" s="87" t="str">
        <x:v>2026-09-28 master / roster context 2026-09-03+</x:v>
      </x:c>
      <x:c r="Z244" s="72" t="str">
        <x:v>https://github.com/plourr03/wolves-front-office/blob/5d152a169188fb9b210186a7a0d3403d4081ed38/kuminga/data/roster_snapshot_2026_27_v3.csv</x:v>
      </x:c>
      <x:c r="AA244" s="72" t="str">
        <x:v>https://github.com/ballacademy/NBA-head-to-head-/blob/5b1decfc31ffb645469c7ffbd01aaca4b18181bd/data/nba-stats/nba-player-stats-202526-regular-season-per-game.csv</x:v>
      </x:c>
    </x:row>
    <x:row r="245" ht="21" customHeight="1">
      <x:c r="A245" s="64" t="n">
        <x:v>240</x:v>
      </x:c>
      <x:c r="B245" s="59" t="str">
        <x:v>Royce O'Neale</x:v>
      </x:c>
      <x:c r="C245" s="65" t="str">
        <x:v>CHA</x:v>
      </x:c>
      <x:c r="D245" s="65" t="str">
        <x:v>SF</x:v>
      </x:c>
      <x:c r="E245" s="65" t="str">
        <x:v>SF</x:v>
      </x:c>
      <x:c r="F245" s="66" t="n">
        <x:v>78</x:v>
      </x:c>
      <x:c r="G245" s="67" t="n">
        <x:v>22.05</x:v>
      </x:c>
      <x:c r="H245" s="67" t="n">
        <x:v>15.965</x:v>
      </x:c>
      <x:c r="I245" s="67" t="n">
        <x:v>22.974999999999998</x:v>
      </x:c>
      <x:c r="J245" s="67" t="n">
        <x:v>60</x:v>
      </x:c>
      <x:c r="K245" s="67" t="str">
        <x:v>DEEP</x:v>
      </x:c>
      <x:c r="L245" s="67" t="n">
        <x:v>19.47</x:v>
      </x:c>
      <x:c r="M245" s="68" t="n">
        <x:v>1168.1999999999998</x:v>
      </x:c>
      <x:c r="N245" s="69" t="str">
        <x:v>Available</x:v>
      </x:c>
      <x:c r="O245" s="62" t="str">
        <x:v>Deep-pool model: 2025-26 custom-score production shrunk toward a conservative 2026-27 role estimate; not a published projection.</x:v>
      </x:c>
      <x:c r="P245" s="60"/>
      <x:c r="Q245" s="60"/>
      <x:c r="R245" s="60" t="n">
        <x:v>19.47</x:v>
      </x:c>
      <x:c r="S245" s="60" t="n">
        <x:v>0</x:v>
      </x:c>
      <x:c r="T245" s="72" t="str">
        <x:v>https://github.com/plourr03/wolves-front-office/blob/5d152a169188fb9b210186a7a0d3403d4081ed38/kuminga/data/roster_snapshot_2026_27_v3.csv</x:v>
      </x:c>
      <x:c r="U245" s="87" t="str">
        <x:v>DEEP</x:v>
      </x:c>
      <x:c r="V245" s="87" t="str">
        <x:v>HIGH</x:v>
      </x:c>
      <x:c r="W245" s="87" t="str">
        <x:v>MODEL</x:v>
      </x:c>
      <x:c r="X245" s="87" t="str">
        <x:v>STANDARD</x:v>
      </x:c>
      <x:c r="Y245" s="87" t="str">
        <x:v>2026-09-28 master / roster context 2026-09-03+</x:v>
      </x:c>
      <x:c r="Z245" s="72" t="str">
        <x:v>https://github.com/plourr03/wolves-front-office/blob/5d152a169188fb9b210186a7a0d3403d4081ed38/kuminga/data/roster_snapshot_2026_27_v3.csv</x:v>
      </x:c>
      <x:c r="AA245" s="72" t="str">
        <x:v>https://github.com/ballacademy/NBA-head-to-head-/blob/5b1decfc31ffb645469c7ffbd01aaca4b18181bd/data/nba-stats/nba-player-stats-202526-regular-season-per-game.csv</x:v>
      </x:c>
    </x:row>
    <x:row r="246" ht="21" customHeight="1">
      <x:c r="A246" s="64" t="n">
        <x:v>241</x:v>
      </x:c>
      <x:c r="B246" s="59" t="str">
        <x:v>Alondes Williams</x:v>
      </x:c>
      <x:c r="C246" s="65" t="str">
        <x:v>BOS</x:v>
      </x:c>
      <x:c r="D246" s="65" t="str">
        <x:v>PG</x:v>
      </x:c>
      <x:c r="E246" s="65" t="str">
        <x:v>G</x:v>
      </x:c>
      <x:c r="F246" s="66" t="n">
        <x:v>4</x:v>
      </x:c>
      <x:c r="G246" s="67" t="n">
        <x:v>29</x:v>
      </x:c>
      <x:c r="H246" s="67" t="n">
        <x:v>13.774999999999999</x:v>
      </x:c>
      <x:c r="I246" s="67" t="n">
        <x:v>24.485</x:v>
      </x:c>
      <x:c r="J246" s="67" t="n">
        <x:v>64</x:v>
      </x:c>
      <x:c r="K246" s="67" t="str">
        <x:v>VERY_DEEP</x:v>
      </x:c>
      <x:c r="L246" s="67" t="n">
        <x:v>19.13</x:v>
      </x:c>
      <x:c r="M246" s="68" t="n">
        <x:v>1224.32</x:v>
      </x:c>
      <x:c r="N246" s="69" t="str">
        <x:v>Available</x:v>
      </x:c>
      <x:c r="O246" s="62" t="str">
        <x:v>Very-deep model estimate with limited sample/role certainty. Use as a search/watch-list value and refresh once final rotations are known.</x:v>
      </x:c>
      <x:c r="P246" s="60"/>
      <x:c r="Q246" s="60"/>
      <x:c r="R246" s="60" t="n">
        <x:v>19.13</x:v>
      </x:c>
      <x:c r="S246" s="60" t="n">
        <x:v>0</x:v>
      </x:c>
      <x:c r="T246" s="72" t="str">
        <x:v>https://github.com/A-V29/NBA.Rosters/blob/main/2026.Summer.League.json</x:v>
      </x:c>
      <x:c r="U246" s="87" t="str">
        <x:v>DEEP</x:v>
      </x:c>
      <x:c r="V246" s="87" t="str">
        <x:v>MEDIUM</x:v>
      </x:c>
      <x:c r="W246" s="87" t="str">
        <x:v>MODEL</x:v>
      </x:c>
      <x:c r="X246" s="87" t="str">
        <x:v>CAMP/SUMMER</x:v>
      </x:c>
      <x:c r="Y246" s="87" t="str">
        <x:v>2026-09-28 master / roster context 2026-09-03+</x:v>
      </x:c>
      <x:c r="Z246" s="72" t="str">
        <x:v>https://github.com/A-V29/NBA.Rosters/blob/main/2026.Summer.League.json</x:v>
      </x:c>
      <x:c r="AA246" s="72" t="str">
        <x:v>https://github.com/ballacademy/NBA-head-to-head-/blob/5b1decfc31ffb645469c7ffbd01aaca4b18181bd/data/nba-stats/nba-player-stats-202526-regular-season-per-game.csv</x:v>
      </x:c>
    </x:row>
    <x:row r="247" ht="21" customHeight="1">
      <x:c r="A247" s="64" t="n">
        <x:v>242</x:v>
      </x:c>
      <x:c r="B247" s="59" t="str">
        <x:v>Draymond Green</x:v>
      </x:c>
      <x:c r="C247" s="65" t="str">
        <x:v>GSW</x:v>
      </x:c>
      <x:c r="D247" s="65" t="str">
        <x:v>PF</x:v>
      </x:c>
      <x:c r="E247" s="65" t="str">
        <x:v>PF</x:v>
      </x:c>
      <x:c r="F247" s="66" t="n">
        <x:v>68</x:v>
      </x:c>
      <x:c r="G247" s="67" t="n">
        <x:v>21.95</x:v>
      </x:c>
      <x:c r="H247" s="67" t="n">
        <x:v>15.71</x:v>
      </x:c>
      <x:c r="I247" s="67" t="n">
        <x:v>22.71</x:v>
      </x:c>
      <x:c r="J247" s="67" t="n">
        <x:v>60</x:v>
      </x:c>
      <x:c r="K247" s="67" t="str">
        <x:v>DEEP</x:v>
      </x:c>
      <x:c r="L247" s="67" t="n">
        <x:v>19.21</x:v>
      </x:c>
      <x:c r="M247" s="68" t="n">
        <x:v>1152.6000000000001</x:v>
      </x:c>
      <x:c r="N247" s="69" t="str">
        <x:v>Available</x:v>
      </x:c>
      <x:c r="O247" s="62" t="str">
        <x:v>Deep-pool model: 2025-26 custom-score production shrunk toward a conservative 2026-27 role estimate; not a published projection.</x:v>
      </x:c>
      <x:c r="P247" s="60"/>
      <x:c r="Q247" s="60"/>
      <x:c r="R247" s="60" t="n">
        <x:v>19.21</x:v>
      </x:c>
      <x:c r="S247" s="60" t="n">
        <x:v>0</x:v>
      </x:c>
      <x:c r="T247" s="72" t="str">
        <x:v>https://github.com/plourr03/wolves-front-office/blob/5d152a169188fb9b210186a7a0d3403d4081ed38/kuminga/data/roster_snapshot_2026_27_v3.csv</x:v>
      </x:c>
      <x:c r="U247" s="87" t="str">
        <x:v>DEEP</x:v>
      </x:c>
      <x:c r="V247" s="87" t="str">
        <x:v>HIGH</x:v>
      </x:c>
      <x:c r="W247" s="87" t="str">
        <x:v>MODEL</x:v>
      </x:c>
      <x:c r="X247" s="87" t="str">
        <x:v>STANDARD</x:v>
      </x:c>
      <x:c r="Y247" s="87" t="str">
        <x:v>2026-09-28 master / roster context 2026-09-03+</x:v>
      </x:c>
      <x:c r="Z247" s="72" t="str">
        <x:v>https://github.com/plourr03/wolves-front-office/blob/5d152a169188fb9b210186a7a0d3403d4081ed38/kuminga/data/roster_snapshot_2026_27_v3.csv</x:v>
      </x:c>
      <x:c r="AA247" s="72" t="str">
        <x:v>https://github.com/ballacademy/NBA-head-to-head-/blob/5b1decfc31ffb645469c7ffbd01aaca4b18181bd/data/nba-stats/nba-player-stats-202526-regular-season-per-game.csv</x:v>
      </x:c>
    </x:row>
    <x:row r="248" ht="21" customHeight="1">
      <x:c r="A248" s="64" t="n">
        <x:v>243</x:v>
      </x:c>
      <x:c r="B248" s="59" t="str">
        <x:v>Derrick Jones Jr.</x:v>
      </x:c>
      <x:c r="C248" s="65" t="str">
        <x:v>LAC</x:v>
      </x:c>
      <x:c r="D248" s="65" t="str">
        <x:v>SF</x:v>
      </x:c>
      <x:c r="E248" s="65" t="str">
        <x:v>SF</x:v>
      </x:c>
      <x:c r="F248" s="66" t="n">
        <x:v>50</x:v>
      </x:c>
      <x:c r="G248" s="67" t="n">
        <x:v>21.8</x:v>
      </x:c>
      <x:c r="H248" s="67" t="n">
        <x:v>15.420000000000002</x:v>
      </x:c>
      <x:c r="I248" s="67" t="n">
        <x:v>22.42</x:v>
      </x:c>
      <x:c r="J248" s="67" t="n">
        <x:v>60</x:v>
      </x:c>
      <x:c r="K248" s="67" t="str">
        <x:v>DEEP</x:v>
      </x:c>
      <x:c r="L248" s="67" t="n">
        <x:v>18.92</x:v>
      </x:c>
      <x:c r="M248" s="68" t="n">
        <x:v>1135.2</x:v>
      </x:c>
      <x:c r="N248" s="69" t="str">
        <x:v>Available</x:v>
      </x:c>
      <x:c r="O248" s="62" t="str">
        <x:v>Deep-pool model: 2025-26 custom-score production shrunk toward a conservative 2026-27 role estimate; not a published projection.</x:v>
      </x:c>
      <x:c r="P248" s="60"/>
      <x:c r="Q248" s="60"/>
      <x:c r="R248" s="60" t="n">
        <x:v>18.92</x:v>
      </x:c>
      <x:c r="S248" s="60" t="n">
        <x:v>0</x:v>
      </x:c>
      <x:c r="T248" s="72" t="str">
        <x:v>https://github.com/plourr03/wolves-front-office/blob/5d152a169188fb9b210186a7a0d3403d4081ed38/kuminga/data/roster_snapshot_2026_27_v3.csv</x:v>
      </x:c>
      <x:c r="U248" s="87" t="str">
        <x:v>DEEP</x:v>
      </x:c>
      <x:c r="V248" s="87" t="str">
        <x:v>HIGH</x:v>
      </x:c>
      <x:c r="W248" s="87" t="str">
        <x:v>MODEL</x:v>
      </x:c>
      <x:c r="X248" s="87" t="str">
        <x:v>STANDARD</x:v>
      </x:c>
      <x:c r="Y248" s="87" t="str">
        <x:v>2026-09-28 master / roster context 2026-09-03+</x:v>
      </x:c>
      <x:c r="Z248" s="72" t="str">
        <x:v>https://github.com/plourr03/wolves-front-office/blob/5d152a169188fb9b210186a7a0d3403d4081ed38/kuminga/data/roster_snapshot_2026_27_v3.csv</x:v>
      </x:c>
      <x:c r="AA248" s="72" t="str">
        <x:v>https://github.com/ballacademy/NBA-head-to-head-/blob/5b1decfc31ffb645469c7ffbd01aaca4b18181bd/data/nba-stats/nba-player-stats-202526-regular-season-per-game.csv</x:v>
      </x:c>
    </x:row>
    <x:row r="249" ht="21" customHeight="1">
      <x:c r="A249" s="64" t="n">
        <x:v>244</x:v>
      </x:c>
      <x:c r="B249" s="59" t="str">
        <x:v>Cason Wallace</x:v>
      </x:c>
      <x:c r="C249" s="65" t="str">
        <x:v>OKC</x:v>
      </x:c>
      <x:c r="D249" s="65" t="str">
        <x:v>PG</x:v>
      </x:c>
      <x:c r="E249" s="65" t="str">
        <x:v>PG</x:v>
      </x:c>
      <x:c r="F249" s="66" t="n">
        <x:v>77</x:v>
      </x:c>
      <x:c r="G249" s="67" t="n">
        <x:v>20.6</x:v>
      </x:c>
      <x:c r="H249" s="67" t="n">
        <x:v>15.379999999999999</x:v>
      </x:c>
      <x:c r="I249" s="67" t="n">
        <x:v>22.38</x:v>
      </x:c>
      <x:c r="J249" s="67" t="n">
        <x:v>60</x:v>
      </x:c>
      <x:c r="K249" s="67" t="str">
        <x:v>DEEP</x:v>
      </x:c>
      <x:c r="L249" s="67" t="n">
        <x:v>18.88</x:v>
      </x:c>
      <x:c r="M249" s="68" t="n">
        <x:v>1132.8</x:v>
      </x:c>
      <x:c r="N249" s="69" t="str">
        <x:v>Available</x:v>
      </x:c>
      <x:c r="O249" s="62" t="str">
        <x:v>Deep-pool model: 2025-26 custom-score production shrunk toward a conservative 2026-27 role estimate; not a published projection.</x:v>
      </x:c>
      <x:c r="P249" s="60"/>
      <x:c r="Q249" s="60"/>
      <x:c r="R249" s="60" t="n">
        <x:v>18.88</x:v>
      </x:c>
      <x:c r="S249" s="60" t="n">
        <x:v>0</x:v>
      </x:c>
      <x:c r="T249" s="72" t="str">
        <x:v>https://github.com/plourr03/wolves-front-office/blob/5d152a169188fb9b210186a7a0d3403d4081ed38/kuminga/data/roster_snapshot_2026_27_v3.csv</x:v>
      </x:c>
      <x:c r="U249" s="87" t="str">
        <x:v>DEEP</x:v>
      </x:c>
      <x:c r="V249" s="87" t="str">
        <x:v>HIGH</x:v>
      </x:c>
      <x:c r="W249" s="87" t="str">
        <x:v>MODEL</x:v>
      </x:c>
      <x:c r="X249" s="87" t="str">
        <x:v>STANDARD</x:v>
      </x:c>
      <x:c r="Y249" s="87" t="str">
        <x:v>2026-09-28 master / roster context 2026-09-03+</x:v>
      </x:c>
      <x:c r="Z249" s="72" t="str">
        <x:v>https://github.com/plourr03/wolves-front-office/blob/5d152a169188fb9b210186a7a0d3403d4081ed38/kuminga/data/roster_snapshot_2026_27_v3.csv</x:v>
      </x:c>
      <x:c r="AA249" s="72" t="str">
        <x:v>https://github.com/ballacademy/NBA-head-to-head-/blob/5b1decfc31ffb645469c7ffbd01aaca4b18181bd/data/nba-stats/nba-player-stats-202526-regular-season-per-game.csv</x:v>
      </x:c>
    </x:row>
    <x:row r="250" ht="21" customHeight="1">
      <x:c r="A250" s="64" t="n">
        <x:v>245</x:v>
      </x:c>
      <x:c r="B250" s="59" t="str">
        <x:v>Yves Missi</x:v>
      </x:c>
      <x:c r="C250" s="65" t="str">
        <x:v>NOP</x:v>
      </x:c>
      <x:c r="D250" s="65" t="str">
        <x:v>C</x:v>
      </x:c>
      <x:c r="E250" s="65" t="str">
        <x:v>C</x:v>
      </x:c>
      <x:c r="F250" s="66" t="n">
        <x:v>66</x:v>
      </x:c>
      <x:c r="G250" s="67" t="n">
        <x:v>20.9</x:v>
      </x:c>
      <x:c r="H250" s="67" t="n">
        <x:v>15.2</x:v>
      </x:c>
      <x:c r="I250" s="67" t="n">
        <x:v>22.2</x:v>
      </x:c>
      <x:c r="J250" s="67" t="n">
        <x:v>60</x:v>
      </x:c>
      <x:c r="K250" s="67" t="str">
        <x:v>DEEP</x:v>
      </x:c>
      <x:c r="L250" s="67" t="n">
        <x:v>18.7</x:v>
      </x:c>
      <x:c r="M250" s="68" t="n">
        <x:v>1122</x:v>
      </x:c>
      <x:c r="N250" s="69" t="str">
        <x:v>Available</x:v>
      </x:c>
      <x:c r="O250" s="62" t="str">
        <x:v>Deep-pool model: 2025-26 custom-score production shrunk toward a conservative 2026-27 role estimate; not a published projection.</x:v>
      </x:c>
      <x:c r="P250" s="60"/>
      <x:c r="Q250" s="60"/>
      <x:c r="R250" s="60" t="n">
        <x:v>18.7</x:v>
      </x:c>
      <x:c r="S250" s="60" t="n">
        <x:v>0</x:v>
      </x:c>
      <x:c r="T250" s="72" t="str">
        <x:v>https://github.com/plourr03/wolves-front-office/blob/5d152a169188fb9b210186a7a0d3403d4081ed38/kuminga/data/roster_snapshot_2026_27_v3.csv</x:v>
      </x:c>
      <x:c r="U250" s="87" t="str">
        <x:v>DEEP</x:v>
      </x:c>
      <x:c r="V250" s="87" t="str">
        <x:v>HIGH</x:v>
      </x:c>
      <x:c r="W250" s="87" t="str">
        <x:v>MODEL</x:v>
      </x:c>
      <x:c r="X250" s="87" t="str">
        <x:v>STANDARD</x:v>
      </x:c>
      <x:c r="Y250" s="87" t="str">
        <x:v>2026-09-28 master / roster context 2026-09-03+</x:v>
      </x:c>
      <x:c r="Z250" s="72" t="str">
        <x:v>https://github.com/plourr03/wolves-front-office/blob/5d152a169188fb9b210186a7a0d3403d4081ed38/kuminga/data/roster_snapshot_2026_27_v3.csv</x:v>
      </x:c>
      <x:c r="AA250" s="72" t="str">
        <x:v>https://github.com/ballacademy/NBA-head-to-head-/blob/5b1decfc31ffb645469c7ffbd01aaca4b18181bd/data/nba-stats/nba-player-stats-202526-regular-season-per-game.csv</x:v>
      </x:c>
    </x:row>
    <x:row r="251" ht="21" customHeight="1">
      <x:c r="A251" s="64" t="n">
        <x:v>246</x:v>
      </x:c>
      <x:c r="B251" s="59" t="str">
        <x:v>Dominick Barlow</x:v>
      </x:c>
      <x:c r="C251" s="65" t="str">
        <x:v>PHI</x:v>
      </x:c>
      <x:c r="D251" s="65" t="str">
        <x:v>PF</x:v>
      </x:c>
      <x:c r="E251" s="65" t="str">
        <x:v>PF</x:v>
      </x:c>
      <x:c r="F251" s="66" t="n">
        <x:v>71</x:v>
      </x:c>
      <x:c r="G251" s="67" t="n">
        <x:v>20.85</x:v>
      </x:c>
      <x:c r="H251" s="67" t="n">
        <x:v>15.14</x:v>
      </x:c>
      <x:c r="I251" s="67" t="n">
        <x:v>22.14</x:v>
      </x:c>
      <x:c r="J251" s="67" t="n">
        <x:v>60</x:v>
      </x:c>
      <x:c r="K251" s="67" t="str">
        <x:v>DEEP</x:v>
      </x:c>
      <x:c r="L251" s="67" t="n">
        <x:v>18.64</x:v>
      </x:c>
      <x:c r="M251" s="68" t="n">
        <x:v>1118.4</x:v>
      </x:c>
      <x:c r="N251" s="69" t="str">
        <x:v>Available</x:v>
      </x:c>
      <x:c r="O251" s="62" t="str">
        <x:v>Deep-pool model: 2025-26 custom-score production shrunk toward a conservative 2026-27 role estimate; not a published projection.</x:v>
      </x:c>
      <x:c r="P251" s="60"/>
      <x:c r="Q251" s="60"/>
      <x:c r="R251" s="60" t="n">
        <x:v>18.64</x:v>
      </x:c>
      <x:c r="S251" s="60" t="n">
        <x:v>0</x:v>
      </x:c>
      <x:c r="T251" s="72" t="str">
        <x:v>https://github.com/plourr03/wolves-front-office/blob/5d152a169188fb9b210186a7a0d3403d4081ed38/kuminga/data/roster_snapshot_2026_27_v3.csv</x:v>
      </x:c>
      <x:c r="U251" s="87" t="str">
        <x:v>DEEP</x:v>
      </x:c>
      <x:c r="V251" s="87" t="str">
        <x:v>HIGH</x:v>
      </x:c>
      <x:c r="W251" s="87" t="str">
        <x:v>MODEL</x:v>
      </x:c>
      <x:c r="X251" s="87" t="str">
        <x:v>STANDARD</x:v>
      </x:c>
      <x:c r="Y251" s="87" t="str">
        <x:v>2026-09-28 master / roster context 2026-09-03+</x:v>
      </x:c>
      <x:c r="Z251" s="72" t="str">
        <x:v>https://github.com/plourr03/wolves-front-office/blob/5d152a169188fb9b210186a7a0d3403d4081ed38/kuminga/data/roster_snapshot_2026_27_v3.csv</x:v>
      </x:c>
      <x:c r="AA251" s="72" t="str">
        <x:v>https://github.com/ballacademy/NBA-head-to-head-/blob/5b1decfc31ffb645469c7ffbd01aaca4b18181bd/data/nba-stats/nba-player-stats-202526-regular-season-per-game.csv</x:v>
      </x:c>
    </x:row>
    <x:row r="252" ht="21" customHeight="1">
      <x:c r="A252" s="64" t="n">
        <x:v>247</x:v>
      </x:c>
      <x:c r="B252" s="59" t="str">
        <x:v>Paul Reed</x:v>
      </x:c>
      <x:c r="C252" s="65" t="str">
        <x:v>DET</x:v>
      </x:c>
      <x:c r="D252" s="65" t="str">
        <x:v>C</x:v>
      </x:c>
      <x:c r="E252" s="65" t="str">
        <x:v>C</x:v>
      </x:c>
      <x:c r="F252" s="66" t="n">
        <x:v>65</x:v>
      </x:c>
      <x:c r="G252" s="67" t="n">
        <x:v>21.35</x:v>
      </x:c>
      <x:c r="H252" s="67" t="n">
        <x:v>15.030000000000001</x:v>
      </x:c>
      <x:c r="I252" s="67" t="n">
        <x:v>22.03</x:v>
      </x:c>
      <x:c r="J252" s="67" t="n">
        <x:v>60</x:v>
      </x:c>
      <x:c r="K252" s="67" t="str">
        <x:v>DEEP</x:v>
      </x:c>
      <x:c r="L252" s="67" t="n">
        <x:v>18.53</x:v>
      </x:c>
      <x:c r="M252" s="68" t="n">
        <x:v>1111.8000000000002</x:v>
      </x:c>
      <x:c r="N252" s="69" t="str">
        <x:v>Available</x:v>
      </x:c>
      <x:c r="O252" s="62" t="str">
        <x:v>Deep-pool model: 2025-26 custom-score production shrunk toward a conservative 2026-27 role estimate; not a published projection.</x:v>
      </x:c>
      <x:c r="P252" s="60"/>
      <x:c r="Q252" s="60"/>
      <x:c r="R252" s="60" t="n">
        <x:v>18.53</x:v>
      </x:c>
      <x:c r="S252" s="60" t="n">
        <x:v>0</x:v>
      </x:c>
      <x:c r="T252" s="72" t="str">
        <x:v>https://github.com/plourr03/wolves-front-office/blob/5d152a169188fb9b210186a7a0d3403d4081ed38/kuminga/data/roster_snapshot_2026_27_v3.csv</x:v>
      </x:c>
      <x:c r="U252" s="87" t="str">
        <x:v>DEEP</x:v>
      </x:c>
      <x:c r="V252" s="87" t="str">
        <x:v>HIGH</x:v>
      </x:c>
      <x:c r="W252" s="87" t="str">
        <x:v>MODEL</x:v>
      </x:c>
      <x:c r="X252" s="87" t="str">
        <x:v>STANDARD</x:v>
      </x:c>
      <x:c r="Y252" s="87" t="str">
        <x:v>2026-09-28 master / roster context 2026-09-03+</x:v>
      </x:c>
      <x:c r="Z252" s="72" t="str">
        <x:v>https://github.com/plourr03/wolves-front-office/blob/5d152a169188fb9b210186a7a0d3403d4081ed38/kuminga/data/roster_snapshot_2026_27_v3.csv</x:v>
      </x:c>
      <x:c r="AA252" s="72" t="str">
        <x:v>https://github.com/ballacademy/NBA-head-to-head-/blob/5b1decfc31ffb645469c7ffbd01aaca4b18181bd/data/nba-stats/nba-player-stats-202526-regular-season-per-game.csv</x:v>
      </x:c>
    </x:row>
    <x:row r="253" ht="21" customHeight="1">
      <x:c r="A253" s="64" t="n">
        <x:v>248</x:v>
      </x:c>
      <x:c r="B253" s="59" t="str">
        <x:v>Tim Hardaway Jr.</x:v>
      </x:c>
      <x:c r="C253" s="65" t="str">
        <x:v>MIA</x:v>
      </x:c>
      <x:c r="D253" s="65" t="str">
        <x:v>SG</x:v>
      </x:c>
      <x:c r="E253" s="65" t="str">
        <x:v>SG</x:v>
      </x:c>
      <x:c r="F253" s="66" t="n">
        <x:v>80</x:v>
      </x:c>
      <x:c r="G253" s="67" t="n">
        <x:v>22.15</x:v>
      </x:c>
      <x:c r="H253" s="67" t="n">
        <x:v>15.02</x:v>
      </x:c>
      <x:c r="I253" s="67" t="n">
        <x:v>22.02</x:v>
      </x:c>
      <x:c r="J253" s="67" t="n">
        <x:v>60</x:v>
      </x:c>
      <x:c r="K253" s="67" t="str">
        <x:v>DEEP</x:v>
      </x:c>
      <x:c r="L253" s="67" t="n">
        <x:v>18.52</x:v>
      </x:c>
      <x:c r="M253" s="68" t="n">
        <x:v>1111.2</x:v>
      </x:c>
      <x:c r="N253" s="69" t="str">
        <x:v>Available</x:v>
      </x:c>
      <x:c r="O253" s="62" t="str">
        <x:v>Deep-pool model: 2025-26 custom-score production shrunk toward a conservative 2026-27 role estimate; not a published projection.</x:v>
      </x:c>
      <x:c r="P253" s="60"/>
      <x:c r="Q253" s="60"/>
      <x:c r="R253" s="60" t="n">
        <x:v>18.52</x:v>
      </x:c>
      <x:c r="S253" s="60" t="n">
        <x:v>0</x:v>
      </x:c>
      <x:c r="T253" s="72" t="str">
        <x:v>https://github.com/plourr03/wolves-front-office/blob/5d152a169188fb9b210186a7a0d3403d4081ed38/kuminga/data/roster_snapshot_2026_27_v3.csv</x:v>
      </x:c>
      <x:c r="U253" s="87" t="str">
        <x:v>DEEP</x:v>
      </x:c>
      <x:c r="V253" s="87" t="str">
        <x:v>HIGH</x:v>
      </x:c>
      <x:c r="W253" s="87" t="str">
        <x:v>MODEL</x:v>
      </x:c>
      <x:c r="X253" s="87" t="str">
        <x:v>STANDARD</x:v>
      </x:c>
      <x:c r="Y253" s="87" t="str">
        <x:v>2026-09-28 master / roster context 2026-09-03+</x:v>
      </x:c>
      <x:c r="Z253" s="72" t="str">
        <x:v>https://github.com/plourr03/wolves-front-office/blob/5d152a169188fb9b210186a7a0d3403d4081ed38/kuminga/data/roster_snapshot_2026_27_v3.csv</x:v>
      </x:c>
      <x:c r="AA253" s="72" t="str">
        <x:v>https://github.com/ballacademy/NBA-head-to-head-/blob/5b1decfc31ffb645469c7ffbd01aaca4b18181bd/data/nba-stats/nba-player-stats-202526-regular-season-per-game.csv</x:v>
      </x:c>
    </x:row>
    <x:row r="254" ht="21" customHeight="1">
      <x:c r="A254" s="64" t="n">
        <x:v>249</x:v>
      </x:c>
      <x:c r="B254" s="59" t="str">
        <x:v>Bub Carrington</x:v>
      </x:c>
      <x:c r="C254" s="65" t="str">
        <x:v>WAS</x:v>
      </x:c>
      <x:c r="D254" s="65" t="str">
        <x:v>PG</x:v>
      </x:c>
      <x:c r="E254" s="65" t="str">
        <x:v>PG</x:v>
      </x:c>
      <x:c r="F254" s="66" t="n">
        <x:v>82</x:v>
      </x:c>
      <x:c r="G254" s="67" t="n">
        <x:v>20</x:v>
      </x:c>
      <x:c r="H254" s="67" t="n">
        <x:v>14.66</x:v>
      </x:c>
      <x:c r="I254" s="67" t="n">
        <x:v>21.66</x:v>
      </x:c>
      <x:c r="J254" s="67" t="n">
        <x:v>60</x:v>
      </x:c>
      <x:c r="K254" s="67" t="str">
        <x:v>DEEP</x:v>
      </x:c>
      <x:c r="L254" s="67" t="n">
        <x:v>18.16</x:v>
      </x:c>
      <x:c r="M254" s="68" t="n">
        <x:v>1089.6</x:v>
      </x:c>
      <x:c r="N254" s="69" t="str">
        <x:v>Available</x:v>
      </x:c>
      <x:c r="O254" s="62" t="str">
        <x:v>Deep-pool model: 2025-26 custom-score production shrunk toward a conservative 2026-27 role estimate; not a published projection.</x:v>
      </x:c>
      <x:c r="P254" s="60"/>
      <x:c r="Q254" s="60"/>
      <x:c r="R254" s="60" t="n">
        <x:v>18.16</x:v>
      </x:c>
      <x:c r="S254" s="60" t="n">
        <x:v>0</x:v>
      </x:c>
      <x:c r="T254" s="72" t="str">
        <x:v>https://github.com/plourr03/wolves-front-office/blob/5d152a169188fb9b210186a7a0d3403d4081ed38/kuminga/data/roster_snapshot_2026_27_v3.csv</x:v>
      </x:c>
      <x:c r="U254" s="87" t="str">
        <x:v>DEEP</x:v>
      </x:c>
      <x:c r="V254" s="87" t="str">
        <x:v>HIGH</x:v>
      </x:c>
      <x:c r="W254" s="87" t="str">
        <x:v>MODEL</x:v>
      </x:c>
      <x:c r="X254" s="87" t="str">
        <x:v>STANDARD</x:v>
      </x:c>
      <x:c r="Y254" s="87" t="str">
        <x:v>2026-09-28 master / roster context 2026-09-03+</x:v>
      </x:c>
      <x:c r="Z254" s="72" t="str">
        <x:v>https://github.com/plourr03/wolves-front-office/blob/5d152a169188fb9b210186a7a0d3403d4081ed38/kuminga/data/roster_snapshot_2026_27_v3.csv</x:v>
      </x:c>
      <x:c r="AA254" s="72" t="str">
        <x:v>https://github.com/ballacademy/NBA-head-to-head-/blob/5b1decfc31ffb645469c7ffbd01aaca4b18181bd/data/nba-stats/nba-player-stats-202526-regular-season-per-game.csv</x:v>
      </x:c>
    </x:row>
    <x:row r="255" ht="21" customHeight="1">
      <x:c r="A255" s="64" t="n">
        <x:v>250</x:v>
      </x:c>
      <x:c r="B255" s="59" t="str">
        <x:v>Micah Potter</x:v>
      </x:c>
      <x:c r="C255" s="65" t="str">
        <x:v>POR</x:v>
      </x:c>
      <x:c r="D255" s="65" t="str">
        <x:v>C</x:v>
      </x:c>
      <x:c r="E255" s="65" t="str">
        <x:v>C</x:v>
      </x:c>
      <x:c r="F255" s="66" t="n">
        <x:v>47</x:v>
      </x:c>
      <x:c r="G255" s="67" t="n">
        <x:v>22</x:v>
      </x:c>
      <x:c r="H255" s="67" t="n">
        <x:v>14.64</x:v>
      </x:c>
      <x:c r="I255" s="67" t="n">
        <x:v>21.64</x:v>
      </x:c>
      <x:c r="J255" s="67" t="n">
        <x:v>60</x:v>
      </x:c>
      <x:c r="K255" s="67" t="str">
        <x:v>DEEP</x:v>
      </x:c>
      <x:c r="L255" s="67" t="n">
        <x:v>18.14</x:v>
      </x:c>
      <x:c r="M255" s="68" t="n">
        <x:v>1088.4</x:v>
      </x:c>
      <x:c r="N255" s="69" t="str">
        <x:v>Available</x:v>
      </x:c>
      <x:c r="O255" s="62" t="str">
        <x:v>Deep-pool model: 2025-26 custom-score production shrunk toward a conservative 2026-27 role estimate; not a published projection.</x:v>
      </x:c>
      <x:c r="P255" s="60"/>
      <x:c r="Q255" s="60"/>
      <x:c r="R255" s="60" t="n">
        <x:v>18.14</x:v>
      </x:c>
      <x:c r="S255" s="60" t="n">
        <x:v>0</x:v>
      </x:c>
      <x:c r="T255" s="72" t="str">
        <x:v>https://github.com/plourr03/wolves-front-office/blob/5d152a169188fb9b210186a7a0d3403d4081ed38/kuminga/data/roster_snapshot_2026_27_v3.csv</x:v>
      </x:c>
      <x:c r="U255" s="87" t="str">
        <x:v>DEEP</x:v>
      </x:c>
      <x:c r="V255" s="87" t="str">
        <x:v>HIGH</x:v>
      </x:c>
      <x:c r="W255" s="87" t="str">
        <x:v>MODEL</x:v>
      </x:c>
      <x:c r="X255" s="87" t="str">
        <x:v>STANDARD</x:v>
      </x:c>
      <x:c r="Y255" s="87" t="str">
        <x:v>2026-09-28 master / roster context 2026-09-03+</x:v>
      </x:c>
      <x:c r="Z255" s="72" t="str">
        <x:v>https://github.com/plourr03/wolves-front-office/blob/5d152a169188fb9b210186a7a0d3403d4081ed38/kuminga/data/roster_snapshot_2026_27_v3.csv</x:v>
      </x:c>
      <x:c r="AA255" s="72" t="str">
        <x:v>https://github.com/ballacademy/NBA-head-to-head-/blob/5b1decfc31ffb645469c7ffbd01aaca4b18181bd/data/nba-stats/nba-player-stats-202526-regular-season-per-game.csv</x:v>
      </x:c>
    </x:row>
    <x:row r="256" ht="21" customHeight="1">
      <x:c r="A256" s="64" t="n">
        <x:v>251</x:v>
      </x:c>
      <x:c r="B256" s="59" t="str">
        <x:v>Isaiah Joe</x:v>
      </x:c>
      <x:c r="C256" s="65" t="str">
        <x:v>DET</x:v>
      </x:c>
      <x:c r="D256" s="65" t="str">
        <x:v>SG</x:v>
      </x:c>
      <x:c r="E256" s="65" t="str">
        <x:v>SG</x:v>
      </x:c>
      <x:c r="F256" s="66" t="n">
        <x:v>71</x:v>
      </x:c>
      <x:c r="G256" s="67" t="n">
        <x:v>20.25</x:v>
      </x:c>
      <x:c r="H256" s="67" t="n">
        <x:v>14.530000000000001</x:v>
      </x:c>
      <x:c r="I256" s="67" t="n">
        <x:v>21.53</x:v>
      </x:c>
      <x:c r="J256" s="67" t="n">
        <x:v>60</x:v>
      </x:c>
      <x:c r="K256" s="67" t="str">
        <x:v>DEEP</x:v>
      </x:c>
      <x:c r="L256" s="67" t="n">
        <x:v>18.03</x:v>
      </x:c>
      <x:c r="M256" s="68" t="n">
        <x:v>1081.8000000000002</x:v>
      </x:c>
      <x:c r="N256" s="69" t="str">
        <x:v>Available</x:v>
      </x:c>
      <x:c r="O256" s="62" t="str">
        <x:v>Deep-pool model: 2025-26 custom-score production shrunk toward a conservative 2026-27 role estimate; not a published projection.</x:v>
      </x:c>
      <x:c r="P256" s="60"/>
      <x:c r="Q256" s="60"/>
      <x:c r="R256" s="60" t="n">
        <x:v>18.03</x:v>
      </x:c>
      <x:c r="S256" s="60" t="n">
        <x:v>0</x:v>
      </x:c>
      <x:c r="T256" s="72" t="str">
        <x:v>https://github.com/plourr03/wolves-front-office/blob/5d152a169188fb9b210186a7a0d3403d4081ed38/kuminga/data/roster_snapshot_2026_27_v3.csv</x:v>
      </x:c>
      <x:c r="U256" s="87" t="str">
        <x:v>DEEP</x:v>
      </x:c>
      <x:c r="V256" s="87" t="str">
        <x:v>HIGH</x:v>
      </x:c>
      <x:c r="W256" s="87" t="str">
        <x:v>MODEL</x:v>
      </x:c>
      <x:c r="X256" s="87" t="str">
        <x:v>STANDARD</x:v>
      </x:c>
      <x:c r="Y256" s="87" t="str">
        <x:v>2026-09-28 master / roster context 2026-09-03+</x:v>
      </x:c>
      <x:c r="Z256" s="72" t="str">
        <x:v>https://github.com/plourr03/wolves-front-office/blob/5d152a169188fb9b210186a7a0d3403d4081ed38/kuminga/data/roster_snapshot_2026_27_v3.csv</x:v>
      </x:c>
      <x:c r="AA256" s="72" t="str">
        <x:v>https://github.com/ballacademy/NBA-head-to-head-/blob/5b1decfc31ffb645469c7ffbd01aaca4b18181bd/data/nba-stats/nba-player-stats-202526-regular-season-per-game.csv</x:v>
      </x:c>
    </x:row>
    <x:row r="257" ht="21" customHeight="1">
      <x:c r="A257" s="64" t="n">
        <x:v>252</x:v>
      </x:c>
      <x:c r="B257" s="59" t="str">
        <x:v>Goga Bitadze</x:v>
      </x:c>
      <x:c r="C257" s="65" t="str">
        <x:v>ORL</x:v>
      </x:c>
      <x:c r="D257" s="65" t="str">
        <x:v>C</x:v>
      </x:c>
      <x:c r="E257" s="65" t="str">
        <x:v>C</x:v>
      </x:c>
      <x:c r="F257" s="66" t="n">
        <x:v>64</x:v>
      </x:c>
      <x:c r="G257" s="67" t="n">
        <x:v>20.35</x:v>
      </x:c>
      <x:c r="H257" s="67" t="n">
        <x:v>14.39</x:v>
      </x:c>
      <x:c r="I257" s="67" t="n">
        <x:v>21.39</x:v>
      </x:c>
      <x:c r="J257" s="67" t="n">
        <x:v>60</x:v>
      </x:c>
      <x:c r="K257" s="67" t="str">
        <x:v>DEEP</x:v>
      </x:c>
      <x:c r="L257" s="67" t="n">
        <x:v>17.89</x:v>
      </x:c>
      <x:c r="M257" s="68" t="n">
        <x:v>1073.4</x:v>
      </x:c>
      <x:c r="N257" s="69" t="str">
        <x:v>Available</x:v>
      </x:c>
      <x:c r="O257" s="62" t="str">
        <x:v>Deep-pool model: 2025-26 custom-score production shrunk toward a conservative 2026-27 role estimate; not a published projection.</x:v>
      </x:c>
      <x:c r="P257" s="60"/>
      <x:c r="Q257" s="60"/>
      <x:c r="R257" s="60" t="n">
        <x:v>17.89</x:v>
      </x:c>
      <x:c r="S257" s="60" t="n">
        <x:v>0</x:v>
      </x:c>
      <x:c r="T257" s="72" t="str">
        <x:v>https://github.com/plourr03/wolves-front-office/blob/5d152a169188fb9b210186a7a0d3403d4081ed38/kuminga/data/roster_snapshot_2026_27_v3.csv</x:v>
      </x:c>
      <x:c r="U257" s="87" t="str">
        <x:v>DEEP</x:v>
      </x:c>
      <x:c r="V257" s="87" t="str">
        <x:v>HIGH</x:v>
      </x:c>
      <x:c r="W257" s="87" t="str">
        <x:v>MODEL</x:v>
      </x:c>
      <x:c r="X257" s="87" t="str">
        <x:v>STANDARD</x:v>
      </x:c>
      <x:c r="Y257" s="87" t="str">
        <x:v>2026-09-28 master / roster context 2026-09-03+</x:v>
      </x:c>
      <x:c r="Z257" s="72" t="str">
        <x:v>https://github.com/plourr03/wolves-front-office/blob/5d152a169188fb9b210186a7a0d3403d4081ed38/kuminga/data/roster_snapshot_2026_27_v3.csv</x:v>
      </x:c>
      <x:c r="AA257" s="72" t="str">
        <x:v>https://github.com/ballacademy/NBA-head-to-head-/blob/5b1decfc31ffb645469c7ffbd01aaca4b18181bd/data/nba-stats/nba-player-stats-202526-regular-season-per-game.csv</x:v>
      </x:c>
    </x:row>
    <x:row r="258" ht="21" customHeight="1">
      <x:c r="A258" s="64" t="n">
        <x:v>253</x:v>
      </x:c>
      <x:c r="B258" s="59" t="str">
        <x:v>Miles McBride</x:v>
      </x:c>
      <x:c r="C258" s="65" t="str">
        <x:v>NYK</x:v>
      </x:c>
      <x:c r="D258" s="65" t="str">
        <x:v>PG</x:v>
      </x:c>
      <x:c r="E258" s="65" t="str">
        <x:v>PG</x:v>
      </x:c>
      <x:c r="F258" s="66" t="n">
        <x:v>41</x:v>
      </x:c>
      <x:c r="G258" s="67" t="n">
        <x:v>21.9</x:v>
      </x:c>
      <x:c r="H258" s="67" t="n">
        <x:v>14.370000000000001</x:v>
      </x:c>
      <x:c r="I258" s="67" t="n">
        <x:v>21.37</x:v>
      </x:c>
      <x:c r="J258" s="67" t="n">
        <x:v>60</x:v>
      </x:c>
      <x:c r="K258" s="67" t="str">
        <x:v>DEEP</x:v>
      </x:c>
      <x:c r="L258" s="67" t="n">
        <x:v>17.87</x:v>
      </x:c>
      <x:c r="M258" s="68" t="n">
        <x:v>1072.2</x:v>
      </x:c>
      <x:c r="N258" s="69" t="str">
        <x:v>Available</x:v>
      </x:c>
      <x:c r="O258" s="62" t="str">
        <x:v>Deep-pool model: 2025-26 custom-score production shrunk toward a conservative 2026-27 role estimate; not a published projection.</x:v>
      </x:c>
      <x:c r="P258" s="60"/>
      <x:c r="Q258" s="60"/>
      <x:c r="R258" s="60" t="n">
        <x:v>17.87</x:v>
      </x:c>
      <x:c r="S258" s="60" t="n">
        <x:v>0</x:v>
      </x:c>
      <x:c r="T258" s="72" t="str">
        <x:v>https://github.com/plourr03/wolves-front-office/blob/5d152a169188fb9b210186a7a0d3403d4081ed38/kuminga/data/roster_snapshot_2026_27_v3.csv</x:v>
      </x:c>
      <x:c r="U258" s="87" t="str">
        <x:v>DEEP</x:v>
      </x:c>
      <x:c r="V258" s="87" t="str">
        <x:v>HIGH</x:v>
      </x:c>
      <x:c r="W258" s="87" t="str">
        <x:v>MODEL</x:v>
      </x:c>
      <x:c r="X258" s="87" t="str">
        <x:v>STANDARD</x:v>
      </x:c>
      <x:c r="Y258" s="87" t="str">
        <x:v>2026-09-28 master / roster context 2026-09-03+</x:v>
      </x:c>
      <x:c r="Z258" s="72" t="str">
        <x:v>https://github.com/plourr03/wolves-front-office/blob/5d152a169188fb9b210186a7a0d3403d4081ed38/kuminga/data/roster_snapshot_2026_27_v3.csv</x:v>
      </x:c>
      <x:c r="AA258" s="72" t="str">
        <x:v>https://github.com/ballacademy/NBA-head-to-head-/blob/5b1decfc31ffb645469c7ffbd01aaca4b18181bd/data/nba-stats/nba-player-stats-202526-regular-season-per-game.csv</x:v>
      </x:c>
    </x:row>
    <x:row r="259" ht="21" customHeight="1">
      <x:c r="A259" s="64" t="n">
        <x:v>254</x:v>
      </x:c>
      <x:c r="B259" s="59" t="str">
        <x:v>Jordan Poole</x:v>
      </x:c>
      <x:c r="C259" s="65" t="str">
        <x:v>NOP</x:v>
      </x:c>
      <x:c r="D259" s="65" t="str">
        <x:v>SG</x:v>
      </x:c>
      <x:c r="E259" s="65" t="str">
        <x:v>SG</x:v>
      </x:c>
      <x:c r="F259" s="66" t="n">
        <x:v>39</x:v>
      </x:c>
      <x:c r="G259" s="67" t="n">
        <x:v>20.25</x:v>
      </x:c>
      <x:c r="H259" s="67" t="n">
        <x:v>14.2</x:v>
      </x:c>
      <x:c r="I259" s="67" t="n">
        <x:v>21.2</x:v>
      </x:c>
      <x:c r="J259" s="67" t="n">
        <x:v>60</x:v>
      </x:c>
      <x:c r="K259" s="67" t="str">
        <x:v>DEEP</x:v>
      </x:c>
      <x:c r="L259" s="67" t="n">
        <x:v>17.7</x:v>
      </x:c>
      <x:c r="M259" s="68" t="n">
        <x:v>1062</x:v>
      </x:c>
      <x:c r="N259" s="69" t="str">
        <x:v>Available</x:v>
      </x:c>
      <x:c r="O259" s="62" t="str">
        <x:v>Deep-pool model: 2025-26 custom-score production shrunk toward a conservative 2026-27 role estimate; not a published projection.</x:v>
      </x:c>
      <x:c r="P259" s="60"/>
      <x:c r="Q259" s="60"/>
      <x:c r="R259" s="60" t="n">
        <x:v>17.7</x:v>
      </x:c>
      <x:c r="S259" s="60" t="n">
        <x:v>0</x:v>
      </x:c>
      <x:c r="T259" s="72" t="str">
        <x:v>https://github.com/plourr03/wolves-front-office/blob/5d152a169188fb9b210186a7a0d3403d4081ed38/kuminga/data/roster_snapshot_2026_27_v3.csv</x:v>
      </x:c>
      <x:c r="U259" s="87" t="str">
        <x:v>DEEP</x:v>
      </x:c>
      <x:c r="V259" s="87" t="str">
        <x:v>HIGH</x:v>
      </x:c>
      <x:c r="W259" s="87" t="str">
        <x:v>MODEL</x:v>
      </x:c>
      <x:c r="X259" s="87" t="str">
        <x:v>STANDARD</x:v>
      </x:c>
      <x:c r="Y259" s="87" t="str">
        <x:v>2026-09-28 master / roster context 2026-09-03+</x:v>
      </x:c>
      <x:c r="Z259" s="72" t="str">
        <x:v>https://github.com/plourr03/wolves-front-office/blob/5d152a169188fb9b210186a7a0d3403d4081ed38/kuminga/data/roster_snapshot_2026_27_v3.csv</x:v>
      </x:c>
      <x:c r="AA259" s="72" t="str">
        <x:v>https://github.com/ballacademy/NBA-head-to-head-/blob/5b1decfc31ffb645469c7ffbd01aaca4b18181bd/data/nba-stats/nba-player-stats-202526-regular-season-per-game.csv</x:v>
      </x:c>
    </x:row>
    <x:row r="260" ht="21" customHeight="1">
      <x:c r="A260" s="64" t="n">
        <x:v>255</x:v>
      </x:c>
      <x:c r="B260" s="59" t="str">
        <x:v>Josh Oduro</x:v>
      </x:c>
      <x:c r="C260" s="65" t="str">
        <x:v>NOP</x:v>
      </x:c>
      <x:c r="D260" s="65" t="str">
        <x:v>C</x:v>
      </x:c>
      <x:c r="E260" s="65" t="str">
        <x:v>C</x:v>
      </x:c>
      <x:c r="F260" s="66" t="n">
        <x:v>3</x:v>
      </x:c>
      <x:c r="G260" s="67" t="n">
        <x:v>25.65</x:v>
      </x:c>
      <x:c r="H260" s="67" t="n">
        <x:v>12.64</x:v>
      </x:c>
      <x:c r="I260" s="67" t="n">
        <x:v>22.46</x:v>
      </x:c>
      <x:c r="J260" s="67" t="n">
        <x:v>64</x:v>
      </x:c>
      <x:c r="K260" s="67" t="str">
        <x:v>VERY_DEEP</x:v>
      </x:c>
      <x:c r="L260" s="67" t="n">
        <x:v>17.55</x:v>
      </x:c>
      <x:c r="M260" s="68" t="n">
        <x:v>1123.2</x:v>
      </x:c>
      <x:c r="N260" s="69" t="str">
        <x:v>Available</x:v>
      </x:c>
      <x:c r="O260" s="62" t="str">
        <x:v>Very-deep model estimate with limited sample/role certainty. Use as a search/watch-list value and refresh once final rotations are known.</x:v>
      </x:c>
      <x:c r="P260" s="60"/>
      <x:c r="Q260" s="60"/>
      <x:c r="R260" s="60" t="n">
        <x:v>17.55</x:v>
      </x:c>
      <x:c r="S260" s="60" t="n">
        <x:v>0</x:v>
      </x:c>
      <x:c r="T260" s="72" t="str">
        <x:v>https://github.com/A-V29/NBA.Rosters/blob/main/2026.Summer.League.json</x:v>
      </x:c>
      <x:c r="U260" s="87" t="str">
        <x:v>DEEP</x:v>
      </x:c>
      <x:c r="V260" s="87" t="str">
        <x:v>MEDIUM</x:v>
      </x:c>
      <x:c r="W260" s="87" t="str">
        <x:v>MODEL</x:v>
      </x:c>
      <x:c r="X260" s="87" t="str">
        <x:v>CAMP/SUMMER</x:v>
      </x:c>
      <x:c r="Y260" s="87" t="str">
        <x:v>2026-09-28 master / roster context 2026-09-03+</x:v>
      </x:c>
      <x:c r="Z260" s="72" t="str">
        <x:v>https://github.com/A-V29/NBA.Rosters/blob/main/2026.Summer.League.json</x:v>
      </x:c>
      <x:c r="AA260" s="72" t="str">
        <x:v>https://github.com/ballacademy/NBA-head-to-head-/blob/5b1decfc31ffb645469c7ffbd01aaca4b18181bd/data/nba-stats/nba-player-stats-202526-regular-season-per-game.csv</x:v>
      </x:c>
    </x:row>
    <x:row r="261" ht="21" customHeight="1">
      <x:c r="A261" s="64" t="n">
        <x:v>256</x:v>
      </x:c>
      <x:c r="B261" s="59" t="str">
        <x:v>Luka Garza</x:v>
      </x:c>
      <x:c r="C261" s="65" t="str">
        <x:v>BOS</x:v>
      </x:c>
      <x:c r="D261" s="65" t="str">
        <x:v>C</x:v>
      </x:c>
      <x:c r="E261" s="65" t="str">
        <x:v>C</x:v>
      </x:c>
      <x:c r="F261" s="66" t="n">
        <x:v>69</x:v>
      </x:c>
      <x:c r="G261" s="67" t="n">
        <x:v>20.8</x:v>
      </x:c>
      <x:c r="H261" s="67" t="n">
        <x:v>14.190000000000001</x:v>
      </x:c>
      <x:c r="I261" s="67" t="n">
        <x:v>21.19</x:v>
      </x:c>
      <x:c r="J261" s="67" t="n">
        <x:v>60</x:v>
      </x:c>
      <x:c r="K261" s="67" t="str">
        <x:v>DEEP</x:v>
      </x:c>
      <x:c r="L261" s="67" t="n">
        <x:v>17.69</x:v>
      </x:c>
      <x:c r="M261" s="68" t="n">
        <x:v>1061.4</x:v>
      </x:c>
      <x:c r="N261" s="69" t="str">
        <x:v>Available</x:v>
      </x:c>
      <x:c r="O261" s="62" t="str">
        <x:v>Deep-pool model: 2025-26 custom-score production shrunk toward a conservative 2026-27 role estimate; not a published projection.</x:v>
      </x:c>
      <x:c r="P261" s="60"/>
      <x:c r="Q261" s="60"/>
      <x:c r="R261" s="60" t="n">
        <x:v>17.69</x:v>
      </x:c>
      <x:c r="S261" s="60" t="n">
        <x:v>0</x:v>
      </x:c>
      <x:c r="T261" s="72" t="str">
        <x:v>https://github.com/plourr03/wolves-front-office/blob/5d152a169188fb9b210186a7a0d3403d4081ed38/kuminga/data/roster_snapshot_2026_27_v3.csv</x:v>
      </x:c>
      <x:c r="U261" s="87" t="str">
        <x:v>DEEP</x:v>
      </x:c>
      <x:c r="V261" s="87" t="str">
        <x:v>HIGH</x:v>
      </x:c>
      <x:c r="W261" s="87" t="str">
        <x:v>MODEL</x:v>
      </x:c>
      <x:c r="X261" s="87" t="str">
        <x:v>STANDARD</x:v>
      </x:c>
      <x:c r="Y261" s="87" t="str">
        <x:v>2026-09-28 master / roster context 2026-09-03+</x:v>
      </x:c>
      <x:c r="Z261" s="72" t="str">
        <x:v>https://github.com/plourr03/wolves-front-office/blob/5d152a169188fb9b210186a7a0d3403d4081ed38/kuminga/data/roster_snapshot_2026_27_v3.csv</x:v>
      </x:c>
      <x:c r="AA261" s="72" t="str">
        <x:v>https://github.com/ballacademy/NBA-head-to-head-/blob/5b1decfc31ffb645469c7ffbd01aaca4b18181bd/data/nba-stats/nba-player-stats-202526-regular-season-per-game.csv</x:v>
      </x:c>
    </x:row>
    <x:row r="262" ht="21" customHeight="1">
      <x:c r="A262" s="64" t="n">
        <x:v>257</x:v>
      </x:c>
      <x:c r="B262" s="59" t="str">
        <x:v>Javon Small</x:v>
      </x:c>
      <x:c r="C262" s="65" t="str">
        <x:v>MEM</x:v>
      </x:c>
      <x:c r="D262" s="65" t="str">
        <x:v>PG</x:v>
      </x:c>
      <x:c r="E262" s="65" t="str">
        <x:v>PG</x:v>
      </x:c>
      <x:c r="F262" s="66" t="n">
        <x:v>41</x:v>
      </x:c>
      <x:c r="G262" s="67" t="n">
        <x:v>21.75</x:v>
      </x:c>
      <x:c r="H262" s="67" t="n">
        <x:v>14.02</x:v>
      </x:c>
      <x:c r="I262" s="67" t="n">
        <x:v>21.02</x:v>
      </x:c>
      <x:c r="J262" s="67" t="n">
        <x:v>64</x:v>
      </x:c>
      <x:c r="K262" s="67" t="str">
        <x:v>DEEP</x:v>
      </x:c>
      <x:c r="L262" s="67" t="n">
        <x:v>17.52</x:v>
      </x:c>
      <x:c r="M262" s="68" t="n">
        <x:v>1121.28</x:v>
      </x:c>
      <x:c r="N262" s="69" t="str">
        <x:v>Available</x:v>
      </x:c>
      <x:c r="O262" s="62" t="str">
        <x:v>Deep-pool model: 2025-26 custom-score production shrunk toward a conservative 2026-27 role estimate; not a published projection.</x:v>
      </x:c>
      <x:c r="P262" s="60"/>
      <x:c r="Q262" s="60"/>
      <x:c r="R262" s="60" t="n">
        <x:v>17.52</x:v>
      </x:c>
      <x:c r="S262" s="60" t="n">
        <x:v>0</x:v>
      </x:c>
      <x:c r="T262" s="72" t="str">
        <x:v>https://github.com/A-V29/NBA.Rosters/blob/main/2026.Summer.League.json</x:v>
      </x:c>
      <x:c r="U262" s="87" t="str">
        <x:v>DEEP</x:v>
      </x:c>
      <x:c r="V262" s="87" t="str">
        <x:v>HIGH</x:v>
      </x:c>
      <x:c r="W262" s="87" t="str">
        <x:v>MODEL</x:v>
      </x:c>
      <x:c r="X262" s="87" t="str">
        <x:v>CAMP/SUMMER</x:v>
      </x:c>
      <x:c r="Y262" s="87" t="str">
        <x:v>2026-09-28 master / roster context 2026-09-03+</x:v>
      </x:c>
      <x:c r="Z262" s="72" t="str">
        <x:v>https://github.com/A-V29/NBA.Rosters/blob/main/2026.Summer.League.json</x:v>
      </x:c>
      <x:c r="AA262" s="72" t="str">
        <x:v>https://github.com/ballacademy/NBA-head-to-head-/blob/5b1decfc31ffb645469c7ffbd01aaca4b18181bd/data/nba-stats/nba-player-stats-202526-regular-season-per-game.csv</x:v>
      </x:c>
    </x:row>
    <x:row r="263" ht="21" customHeight="1">
      <x:c r="A263" s="64" t="n">
        <x:v>258</x:v>
      </x:c>
      <x:c r="B263" s="59" t="str">
        <x:v>Jordan Miller</x:v>
      </x:c>
      <x:c r="C263" s="65" t="str">
        <x:v>LAC</x:v>
      </x:c>
      <x:c r="D263" s="65" t="str">
        <x:v>SF</x:v>
      </x:c>
      <x:c r="E263" s="65" t="str">
        <x:v>SF</x:v>
      </x:c>
      <x:c r="F263" s="66" t="n">
        <x:v>60</x:v>
      </x:c>
      <x:c r="G263" s="67" t="n">
        <x:v>20.35</x:v>
      </x:c>
      <x:c r="H263" s="67" t="n">
        <x:v>14.190000000000001</x:v>
      </x:c>
      <x:c r="I263" s="67" t="n">
        <x:v>21.19</x:v>
      </x:c>
      <x:c r="J263" s="67" t="n">
        <x:v>60</x:v>
      </x:c>
      <x:c r="K263" s="67" t="str">
        <x:v>DEEP</x:v>
      </x:c>
      <x:c r="L263" s="67" t="n">
        <x:v>17.69</x:v>
      </x:c>
      <x:c r="M263" s="68" t="n">
        <x:v>1061.4</x:v>
      </x:c>
      <x:c r="N263" s="69" t="str">
        <x:v>Available</x:v>
      </x:c>
      <x:c r="O263" s="62" t="str">
        <x:v>Deep-pool model: 2025-26 custom-score production shrunk toward a conservative 2026-27 role estimate; not a published projection.</x:v>
      </x:c>
      <x:c r="P263" s="60"/>
      <x:c r="Q263" s="60"/>
      <x:c r="R263" s="60" t="n">
        <x:v>17.69</x:v>
      </x:c>
      <x:c r="S263" s="60" t="n">
        <x:v>0</x:v>
      </x:c>
      <x:c r="T263" s="72" t="str">
        <x:v>https://github.com/plourr03/wolves-front-office/blob/5d152a169188fb9b210186a7a0d3403d4081ed38/kuminga/data/roster_snapshot_2026_27_v3.csv</x:v>
      </x:c>
      <x:c r="U263" s="87" t="str">
        <x:v>DEEP</x:v>
      </x:c>
      <x:c r="V263" s="87" t="str">
        <x:v>HIGH</x:v>
      </x:c>
      <x:c r="W263" s="87" t="str">
        <x:v>MODEL</x:v>
      </x:c>
      <x:c r="X263" s="87" t="str">
        <x:v>STANDARD</x:v>
      </x:c>
      <x:c r="Y263" s="87" t="str">
        <x:v>2026-09-28 master / roster context 2026-09-03+</x:v>
      </x:c>
      <x:c r="Z263" s="72" t="str">
        <x:v>https://github.com/plourr03/wolves-front-office/blob/5d152a169188fb9b210186a7a0d3403d4081ed38/kuminga/data/roster_snapshot_2026_27_v3.csv</x:v>
      </x:c>
      <x:c r="AA263" s="72" t="str">
        <x:v>https://github.com/ballacademy/NBA-head-to-head-/blob/5b1decfc31ffb645469c7ffbd01aaca4b18181bd/data/nba-stats/nba-player-stats-202526-regular-season-per-game.csv</x:v>
      </x:c>
    </x:row>
    <x:row r="264" ht="21" customHeight="1">
      <x:c r="A264" s="64" t="n">
        <x:v>259</x:v>
      </x:c>
      <x:c r="B264" s="59" t="str">
        <x:v>Jake LaRavia</x:v>
      </x:c>
      <x:c r="C264" s="65" t="str">
        <x:v>LAL</x:v>
      </x:c>
      <x:c r="D264" s="65" t="str">
        <x:v>PF</x:v>
      </x:c>
      <x:c r="E264" s="65" t="str">
        <x:v>PF</x:v>
      </x:c>
      <x:c r="F264" s="66" t="n">
        <x:v>82</x:v>
      </x:c>
      <x:c r="G264" s="67" t="n">
        <x:v>20.15</x:v>
      </x:c>
      <x:c r="H264" s="67" t="n">
        <x:v>14.09</x:v>
      </x:c>
      <x:c r="I264" s="67" t="n">
        <x:v>21.09</x:v>
      </x:c>
      <x:c r="J264" s="67" t="n">
        <x:v>60</x:v>
      </x:c>
      <x:c r="K264" s="67" t="str">
        <x:v>DEEP</x:v>
      </x:c>
      <x:c r="L264" s="67" t="n">
        <x:v>17.59</x:v>
      </x:c>
      <x:c r="M264" s="68" t="n">
        <x:v>1055.4</x:v>
      </x:c>
      <x:c r="N264" s="69" t="str">
        <x:v>Available</x:v>
      </x:c>
      <x:c r="O264" s="62" t="str">
        <x:v>Deep-pool model: 2025-26 custom-score production shrunk toward a conservative 2026-27 role estimate; not a published projection.</x:v>
      </x:c>
      <x:c r="P264" s="60"/>
      <x:c r="Q264" s="60"/>
      <x:c r="R264" s="60" t="n">
        <x:v>17.59</x:v>
      </x:c>
      <x:c r="S264" s="60" t="n">
        <x:v>0</x:v>
      </x:c>
      <x:c r="T264" s="72" t="str">
        <x:v>https://github.com/plourr03/wolves-front-office/blob/5d152a169188fb9b210186a7a0d3403d4081ed38/kuminga/data/roster_snapshot_2026_27_v3.csv</x:v>
      </x:c>
      <x:c r="U264" s="87" t="str">
        <x:v>DEEP</x:v>
      </x:c>
      <x:c r="V264" s="87" t="str">
        <x:v>HIGH</x:v>
      </x:c>
      <x:c r="W264" s="87" t="str">
        <x:v>MODEL</x:v>
      </x:c>
      <x:c r="X264" s="87" t="str">
        <x:v>STANDARD</x:v>
      </x:c>
      <x:c r="Y264" s="87" t="str">
        <x:v>2026-09-28 master / roster context 2026-09-03+</x:v>
      </x:c>
      <x:c r="Z264" s="72" t="str">
        <x:v>https://github.com/plourr03/wolves-front-office/blob/5d152a169188fb9b210186a7a0d3403d4081ed38/kuminga/data/roster_snapshot_2026_27_v3.csv</x:v>
      </x:c>
      <x:c r="AA264" s="72" t="str">
        <x:v>https://github.com/ballacademy/NBA-head-to-head-/blob/5b1decfc31ffb645469c7ffbd01aaca4b18181bd/data/nba-stats/nba-player-stats-202526-regular-season-per-game.csv</x:v>
      </x:c>
    </x:row>
    <x:row r="265" ht="21" customHeight="1">
      <x:c r="A265" s="64" t="n">
        <x:v>260</x:v>
      </x:c>
      <x:c r="B265" s="59" t="str">
        <x:v>Danny Wolf</x:v>
      </x:c>
      <x:c r="C265" s="65" t="str">
        <x:v>BKN</x:v>
      </x:c>
      <x:c r="D265" s="65" t="str">
        <x:v>C</x:v>
      </x:c>
      <x:c r="E265" s="65" t="str">
        <x:v>C</x:v>
      </x:c>
      <x:c r="F265" s="66" t="n">
        <x:v>57</x:v>
      </x:c>
      <x:c r="G265" s="67" t="n">
        <x:v>19.2</x:v>
      </x:c>
      <x:c r="H265" s="67" t="n">
        <x:v>13.719999999999999</x:v>
      </x:c>
      <x:c r="I265" s="67" t="n">
        <x:v>20.72</x:v>
      </x:c>
      <x:c r="J265" s="67" t="n">
        <x:v>64</x:v>
      </x:c>
      <x:c r="K265" s="67" t="str">
        <x:v>DEEP</x:v>
      </x:c>
      <x:c r="L265" s="67" t="n">
        <x:v>17.22</x:v>
      </x:c>
      <x:c r="M265" s="68" t="n">
        <x:v>1102.08</x:v>
      </x:c>
      <x:c r="N265" s="69" t="str">
        <x:v>Available</x:v>
      </x:c>
      <x:c r="O265" s="62" t="str">
        <x:v>Deep-pool model: 2025-26 custom-score production shrunk toward a conservative 2026-27 role estimate; not a published projection.</x:v>
      </x:c>
      <x:c r="P265" s="60"/>
      <x:c r="Q265" s="60"/>
      <x:c r="R265" s="60" t="n">
        <x:v>17.22</x:v>
      </x:c>
      <x:c r="S265" s="60" t="n">
        <x:v>0</x:v>
      </x:c>
      <x:c r="T265" s="72" t="str">
        <x:v>https://github.com/A-V29/NBA.Rosters/blob/main/2026.Summer.League.json</x:v>
      </x:c>
      <x:c r="U265" s="87" t="str">
        <x:v>DEEP</x:v>
      </x:c>
      <x:c r="V265" s="87" t="str">
        <x:v>HIGH</x:v>
      </x:c>
      <x:c r="W265" s="87" t="str">
        <x:v>MODEL</x:v>
      </x:c>
      <x:c r="X265" s="87" t="str">
        <x:v>CAMP/SUMMER</x:v>
      </x:c>
      <x:c r="Y265" s="87" t="str">
        <x:v>2026-09-28 master / roster context 2026-09-03+</x:v>
      </x:c>
      <x:c r="Z265" s="72" t="str">
        <x:v>https://github.com/A-V29/NBA.Rosters/blob/main/2026.Summer.League.json</x:v>
      </x:c>
      <x:c r="AA265" s="72" t="str">
        <x:v>https://github.com/ballacademy/NBA-head-to-head-/blob/5b1decfc31ffb645469c7ffbd01aaca4b18181bd/data/nba-stats/nba-player-stats-202526-regular-season-per-game.csv</x:v>
      </x:c>
    </x:row>
    <x:row r="266" ht="21" customHeight="1">
      <x:c r="A266" s="64" t="n">
        <x:v>261</x:v>
      </x:c>
      <x:c r="B266" s="59" t="str">
        <x:v>Isaiah Jackson</x:v>
      </x:c>
      <x:c r="C266" s="65" t="str">
        <x:v>LAC</x:v>
      </x:c>
      <x:c r="D266" s="65" t="str">
        <x:v>PF</x:v>
      </x:c>
      <x:c r="E266" s="65" t="str">
        <x:v>PF</x:v>
      </x:c>
      <x:c r="F266" s="66" t="n">
        <x:v>55</x:v>
      </x:c>
      <x:c r="G266" s="67" t="n">
        <x:v>19.7</x:v>
      </x:c>
      <x:c r="H266" s="67" t="n">
        <x:v>13.82</x:v>
      </x:c>
      <x:c r="I266" s="67" t="n">
        <x:v>20.82</x:v>
      </x:c>
      <x:c r="J266" s="67" t="n">
        <x:v>60</x:v>
      </x:c>
      <x:c r="K266" s="67" t="str">
        <x:v>DEEP</x:v>
      </x:c>
      <x:c r="L266" s="67" t="n">
        <x:v>17.32</x:v>
      </x:c>
      <x:c r="M266" s="68" t="n">
        <x:v>1039.2</x:v>
      </x:c>
      <x:c r="N266" s="69" t="str">
        <x:v>Available</x:v>
      </x:c>
      <x:c r="O266" s="62" t="str">
        <x:v>Deep-pool model: 2025-26 custom-score production shrunk toward a conservative 2026-27 role estimate; not a published projection.</x:v>
      </x:c>
      <x:c r="P266" s="60"/>
      <x:c r="Q266" s="60"/>
      <x:c r="R266" s="60" t="n">
        <x:v>17.32</x:v>
      </x:c>
      <x:c r="S266" s="60" t="n">
        <x:v>0</x:v>
      </x:c>
      <x:c r="T266" s="72" t="str">
        <x:v>https://github.com/plourr03/wolves-front-office/blob/5d152a169188fb9b210186a7a0d3403d4081ed38/kuminga/data/roster_snapshot_2026_27_v3.csv</x:v>
      </x:c>
      <x:c r="U266" s="87" t="str">
        <x:v>DEEP</x:v>
      </x:c>
      <x:c r="V266" s="87" t="str">
        <x:v>HIGH</x:v>
      </x:c>
      <x:c r="W266" s="87" t="str">
        <x:v>MODEL</x:v>
      </x:c>
      <x:c r="X266" s="87" t="str">
        <x:v>STANDARD</x:v>
      </x:c>
      <x:c r="Y266" s="87" t="str">
        <x:v>2026-09-28 master / roster context 2026-09-03+</x:v>
      </x:c>
      <x:c r="Z266" s="72" t="str">
        <x:v>https://github.com/plourr03/wolves-front-office/blob/5d152a169188fb9b210186a7a0d3403d4081ed38/kuminga/data/roster_snapshot_2026_27_v3.csv</x:v>
      </x:c>
      <x:c r="AA266" s="72" t="str">
        <x:v>https://github.com/ballacademy/NBA-head-to-head-/blob/5b1decfc31ffb645469c7ffbd01aaca4b18181bd/data/nba-stats/nba-player-stats-202526-regular-season-per-game.csv</x:v>
      </x:c>
    </x:row>
    <x:row r="267" ht="21" customHeight="1">
      <x:c r="A267" s="64" t="n">
        <x:v>262</x:v>
      </x:c>
      <x:c r="B267" s="59" t="str">
        <x:v>Lawson Lovering</x:v>
      </x:c>
      <x:c r="C267" s="65" t="str">
        <x:v>MEM</x:v>
      </x:c>
      <x:c r="D267" s="65" t="str">
        <x:v>C</x:v>
      </x:c>
      <x:c r="E267" s="65" t="str">
        <x:v>C</x:v>
      </x:c>
      <x:c r="F267" s="66" t="n">
        <x:v>2</x:v>
      </x:c>
      <x:c r="G267" s="67" t="n">
        <x:v>25</x:v>
      </x:c>
      <x:c r="H267" s="67" t="n">
        <x:v>12.349999999999998</x:v>
      </x:c>
      <x:c r="I267" s="67" t="n">
        <x:v>21.95</x:v>
      </x:c>
      <x:c r="J267" s="67" t="n">
        <x:v>64</x:v>
      </x:c>
      <x:c r="K267" s="67" t="str">
        <x:v>VERY_DEEP</x:v>
      </x:c>
      <x:c r="L267" s="67" t="n">
        <x:v>17.15</x:v>
      </x:c>
      <x:c r="M267" s="68" t="n">
        <x:v>1097.6</x:v>
      </x:c>
      <x:c r="N267" s="69" t="str">
        <x:v>Available</x:v>
      </x:c>
      <x:c r="O267" s="62" t="str">
        <x:v>Very-deep model estimate with limited sample/role certainty. Use as a search/watch-list value and refresh once final rotations are known.</x:v>
      </x:c>
      <x:c r="P267" s="60"/>
      <x:c r="Q267" s="60"/>
      <x:c r="R267" s="60" t="n">
        <x:v>17.15</x:v>
      </x:c>
      <x:c r="S267" s="60" t="n">
        <x:v>0</x:v>
      </x:c>
      <x:c r="T267" s="72" t="str">
        <x:v>https://github.com/A-V29/NBA.Rosters/blob/main/2026.Summer.League.json</x:v>
      </x:c>
      <x:c r="U267" s="87" t="str">
        <x:v>DEEP</x:v>
      </x:c>
      <x:c r="V267" s="87" t="str">
        <x:v>MEDIUM</x:v>
      </x:c>
      <x:c r="W267" s="87" t="str">
        <x:v>MODEL</x:v>
      </x:c>
      <x:c r="X267" s="87" t="str">
        <x:v>CAMP/SUMMER</x:v>
      </x:c>
      <x:c r="Y267" s="87" t="str">
        <x:v>2026-09-28 master / roster context 2026-09-03+</x:v>
      </x:c>
      <x:c r="Z267" s="72" t="str">
        <x:v>https://github.com/A-V29/NBA.Rosters/blob/main/2026.Summer.League.json</x:v>
      </x:c>
      <x:c r="AA267" s="72" t="str">
        <x:v>https://github.com/ballacademy/NBA-head-to-head-/blob/5b1decfc31ffb645469c7ffbd01aaca4b18181bd/data/nba-stats/nba-player-stats-202526-regular-season-per-game.csv</x:v>
      </x:c>
    </x:row>
    <x:row r="268" ht="21" customHeight="1">
      <x:c r="A268" s="64" t="n">
        <x:v>263</x:v>
      </x:c>
      <x:c r="B268" s="59" t="str">
        <x:v>Gui Santos</x:v>
      </x:c>
      <x:c r="C268" s="65" t="str">
        <x:v>GSW</x:v>
      </x:c>
      <x:c r="D268" s="65" t="str">
        <x:v>SF</x:v>
      </x:c>
      <x:c r="E268" s="65" t="str">
        <x:v>SF</x:v>
      </x:c>
      <x:c r="F268" s="66" t="n">
        <x:v>68</x:v>
      </x:c>
      <x:c r="G268" s="67" t="n">
        <x:v>19.9</x:v>
      </x:c>
      <x:c r="H268" s="67" t="n">
        <x:v>13.739999999999998</x:v>
      </x:c>
      <x:c r="I268" s="67" t="n">
        <x:v>20.74</x:v>
      </x:c>
      <x:c r="J268" s="67" t="n">
        <x:v>60</x:v>
      </x:c>
      <x:c r="K268" s="67" t="str">
        <x:v>DEEP</x:v>
      </x:c>
      <x:c r="L268" s="67" t="n">
        <x:v>17.24</x:v>
      </x:c>
      <x:c r="M268" s="68" t="n">
        <x:v>1034.3999999999999</x:v>
      </x:c>
      <x:c r="N268" s="69" t="str">
        <x:v>Available</x:v>
      </x:c>
      <x:c r="O268" s="62" t="str">
        <x:v>Deep-pool model: 2025-26 custom-score production shrunk toward a conservative 2026-27 role estimate; not a published projection.</x:v>
      </x:c>
      <x:c r="P268" s="60"/>
      <x:c r="Q268" s="60"/>
      <x:c r="R268" s="60" t="n">
        <x:v>17.24</x:v>
      </x:c>
      <x:c r="S268" s="60" t="n">
        <x:v>0</x:v>
      </x:c>
      <x:c r="T268" s="72" t="str">
        <x:v>https://github.com/plourr03/wolves-front-office/blob/5d152a169188fb9b210186a7a0d3403d4081ed38/kuminga/data/roster_snapshot_2026_27_v3.csv</x:v>
      </x:c>
      <x:c r="U268" s="87" t="str">
        <x:v>DEEP</x:v>
      </x:c>
      <x:c r="V268" s="87" t="str">
        <x:v>HIGH</x:v>
      </x:c>
      <x:c r="W268" s="87" t="str">
        <x:v>MODEL</x:v>
      </x:c>
      <x:c r="X268" s="87" t="str">
        <x:v>STANDARD</x:v>
      </x:c>
      <x:c r="Y268" s="87" t="str">
        <x:v>2026-09-28 master / roster context 2026-09-03+</x:v>
      </x:c>
      <x:c r="Z268" s="72" t="str">
        <x:v>https://github.com/plourr03/wolves-front-office/blob/5d152a169188fb9b210186a7a0d3403d4081ed38/kuminga/data/roster_snapshot_2026_27_v3.csv</x:v>
      </x:c>
      <x:c r="AA268" s="72" t="str">
        <x:v>https://github.com/ballacademy/NBA-head-to-head-/blob/5b1decfc31ffb645469c7ffbd01aaca4b18181bd/data/nba-stats/nba-player-stats-202526-regular-season-per-game.csv</x:v>
      </x:c>
    </x:row>
    <x:row r="269" ht="21" customHeight="1">
      <x:c r="A269" s="64" t="n">
        <x:v>264</x:v>
      </x:c>
      <x:c r="B269" s="59" t="str">
        <x:v>Jaxson Hayes</x:v>
      </x:c>
      <x:c r="C269" s="65" t="str">
        <x:v>UTA</x:v>
      </x:c>
      <x:c r="D269" s="65" t="str">
        <x:v>C</x:v>
      </x:c>
      <x:c r="E269" s="65" t="str">
        <x:v>C</x:v>
      </x:c>
      <x:c r="F269" s="66" t="n">
        <x:v>66</x:v>
      </x:c>
      <x:c r="G269" s="67" t="n">
        <x:v>19.65</x:v>
      </x:c>
      <x:c r="H269" s="67" t="n">
        <x:v>13.690000000000001</x:v>
      </x:c>
      <x:c r="I269" s="67" t="n">
        <x:v>20.69</x:v>
      </x:c>
      <x:c r="J269" s="67" t="n">
        <x:v>60</x:v>
      </x:c>
      <x:c r="K269" s="67" t="str">
        <x:v>DEEP</x:v>
      </x:c>
      <x:c r="L269" s="67" t="n">
        <x:v>17.19</x:v>
      </x:c>
      <x:c r="M269" s="68" t="n">
        <x:v>1031.4</x:v>
      </x:c>
      <x:c r="N269" s="69" t="str">
        <x:v>Available</x:v>
      </x:c>
      <x:c r="O269" s="62" t="str">
        <x:v>Deep-pool model: 2025-26 custom-score production shrunk toward a conservative 2026-27 role estimate; not a published projection.</x:v>
      </x:c>
      <x:c r="P269" s="60"/>
      <x:c r="Q269" s="60"/>
      <x:c r="R269" s="60" t="n">
        <x:v>17.19</x:v>
      </x:c>
      <x:c r="S269" s="60" t="n">
        <x:v>0</x:v>
      </x:c>
      <x:c r="T269" s="72" t="str">
        <x:v>https://github.com/plourr03/wolves-front-office/blob/5d152a169188fb9b210186a7a0d3403d4081ed38/kuminga/data/roster_snapshot_2026_27_v3.csv</x:v>
      </x:c>
      <x:c r="U269" s="87" t="str">
        <x:v>DEEP</x:v>
      </x:c>
      <x:c r="V269" s="87" t="str">
        <x:v>HIGH</x:v>
      </x:c>
      <x:c r="W269" s="87" t="str">
        <x:v>MODEL</x:v>
      </x:c>
      <x:c r="X269" s="87" t="str">
        <x:v>STANDARD</x:v>
      </x:c>
      <x:c r="Y269" s="87" t="str">
        <x:v>2026-09-28 master / roster context 2026-09-03+</x:v>
      </x:c>
      <x:c r="Z269" s="72" t="str">
        <x:v>https://github.com/plourr03/wolves-front-office/blob/5d152a169188fb9b210186a7a0d3403d4081ed38/kuminga/data/roster_snapshot_2026_27_v3.csv</x:v>
      </x:c>
      <x:c r="AA269" s="72" t="str">
        <x:v>https://github.com/ballacademy/NBA-head-to-head-/blob/5b1decfc31ffb645469c7ffbd01aaca4b18181bd/data/nba-stats/nba-player-stats-202526-regular-season-per-game.csv</x:v>
      </x:c>
    </x:row>
    <x:row r="270" ht="21" customHeight="1">
      <x:c r="A270" s="64" t="n">
        <x:v>265</x:v>
      </x:c>
      <x:c r="B270" s="59" t="str">
        <x:v>Cormac Ryan</x:v>
      </x:c>
      <x:c r="C270" s="65" t="str">
        <x:v>MIL</x:v>
      </x:c>
      <x:c r="D270" s="65" t="str">
        <x:v>SG</x:v>
      </x:c>
      <x:c r="E270" s="65" t="str">
        <x:v>SG</x:v>
      </x:c>
      <x:c r="F270" s="66" t="n">
        <x:v>11</x:v>
      </x:c>
      <x:c r="G270" s="67" t="n">
        <x:v>25</x:v>
      </x:c>
      <x:c r="H270" s="67" t="n">
        <x:v>12.250000000000002</x:v>
      </x:c>
      <x:c r="I270" s="67" t="n">
        <x:v>21.770000000000003</x:v>
      </x:c>
      <x:c r="J270" s="67" t="n">
        <x:v>64</x:v>
      </x:c>
      <x:c r="K270" s="67" t="str">
        <x:v>VERY_DEEP</x:v>
      </x:c>
      <x:c r="L270" s="67" t="n">
        <x:v>17.01</x:v>
      </x:c>
      <x:c r="M270" s="68" t="n">
        <x:v>1088.64</x:v>
      </x:c>
      <x:c r="N270" s="69" t="str">
        <x:v>Available</x:v>
      </x:c>
      <x:c r="O270" s="62" t="str">
        <x:v>Very-deep model estimate with limited sample/role certainty. Use as a search/watch-list value and refresh once final rotations are known.</x:v>
      </x:c>
      <x:c r="P270" s="60"/>
      <x:c r="Q270" s="60"/>
      <x:c r="R270" s="60" t="n">
        <x:v>17.01</x:v>
      </x:c>
      <x:c r="S270" s="60" t="n">
        <x:v>0</x:v>
      </x:c>
      <x:c r="T270" s="72" t="str">
        <x:v>https://github.com/A-V29/NBA.Rosters/blob/main/2026.Summer.League.json</x:v>
      </x:c>
      <x:c r="U270" s="87" t="str">
        <x:v>DEEP</x:v>
      </x:c>
      <x:c r="V270" s="87" t="str">
        <x:v>MEDIUM</x:v>
      </x:c>
      <x:c r="W270" s="87" t="str">
        <x:v>MODEL</x:v>
      </x:c>
      <x:c r="X270" s="87" t="str">
        <x:v>CAMP/SUMMER</x:v>
      </x:c>
      <x:c r="Y270" s="87" t="str">
        <x:v>2026-09-28 master / roster context 2026-09-03+</x:v>
      </x:c>
      <x:c r="Z270" s="72" t="str">
        <x:v>https://github.com/A-V29/NBA.Rosters/blob/main/2026.Summer.League.json</x:v>
      </x:c>
      <x:c r="AA270" s="72" t="str">
        <x:v>https://github.com/ballacademy/NBA-head-to-head-/blob/5b1decfc31ffb645469c7ffbd01aaca4b18181bd/data/nba-stats/nba-player-stats-202526-regular-season-per-game.csv</x:v>
      </x:c>
    </x:row>
    <x:row r="271" ht="21" customHeight="1">
      <x:c r="A271" s="64" t="n">
        <x:v>266</x:v>
      </x:c>
      <x:c r="B271" s="59" t="str">
        <x:v>Tristan Da Silva</x:v>
      </x:c>
      <x:c r="C271" s="65" t="str">
        <x:v>ORL</x:v>
      </x:c>
      <x:c r="D271" s="65" t="str">
        <x:v>SF</x:v>
      </x:c>
      <x:c r="E271" s="65" t="str">
        <x:v>SF</x:v>
      </x:c>
      <x:c r="F271" s="66" t="n">
        <x:v>77</x:v>
      </x:c>
      <x:c r="G271" s="67" t="n">
        <x:v>19.75</x:v>
      </x:c>
      <x:c r="H271" s="67" t="n">
        <x:v>13.54</x:v>
      </x:c>
      <x:c r="I271" s="67" t="n">
        <x:v>20.54</x:v>
      </x:c>
      <x:c r="J271" s="67" t="n">
        <x:v>60</x:v>
      </x:c>
      <x:c r="K271" s="67" t="str">
        <x:v>DEEP</x:v>
      </x:c>
      <x:c r="L271" s="67" t="n">
        <x:v>17.04</x:v>
      </x:c>
      <x:c r="M271" s="68" t="n">
        <x:v>1022.4</x:v>
      </x:c>
      <x:c r="N271" s="69" t="str">
        <x:v>Available</x:v>
      </x:c>
      <x:c r="O271" s="62" t="str">
        <x:v>Deep-pool model: 2025-26 custom-score production shrunk toward a conservative 2026-27 role estimate; not a published projection.</x:v>
      </x:c>
      <x:c r="P271" s="60"/>
      <x:c r="Q271" s="60"/>
      <x:c r="R271" s="60" t="n">
        <x:v>17.04</x:v>
      </x:c>
      <x:c r="S271" s="60" t="n">
        <x:v>0</x:v>
      </x:c>
      <x:c r="T271" s="72" t="str">
        <x:v>https://github.com/plourr03/wolves-front-office/blob/5d152a169188fb9b210186a7a0d3403d4081ed38/kuminga/data/roster_snapshot_2026_27_v3.csv</x:v>
      </x:c>
      <x:c r="U271" s="87" t="str">
        <x:v>DEEP</x:v>
      </x:c>
      <x:c r="V271" s="87" t="str">
        <x:v>HIGH</x:v>
      </x:c>
      <x:c r="W271" s="87" t="str">
        <x:v>MODEL</x:v>
      </x:c>
      <x:c r="X271" s="87" t="str">
        <x:v>STANDARD</x:v>
      </x:c>
      <x:c r="Y271" s="87" t="str">
        <x:v>2026-09-28 master / roster context 2026-09-03+</x:v>
      </x:c>
      <x:c r="Z271" s="72" t="str">
        <x:v>https://github.com/plourr03/wolves-front-office/blob/5d152a169188fb9b210186a7a0d3403d4081ed38/kuminga/data/roster_snapshot_2026_27_v3.csv</x:v>
      </x:c>
      <x:c r="AA271" s="72" t="str">
        <x:v>https://github.com/ballacademy/NBA-head-to-head-/blob/5b1decfc31ffb645469c7ffbd01aaca4b18181bd/data/nba-stats/nba-player-stats-202526-regular-season-per-game.csv</x:v>
      </x:c>
    </x:row>
    <x:row r="272" ht="21" customHeight="1">
      <x:c r="A272" s="64" t="n">
        <x:v>267</x:v>
      </x:c>
      <x:c r="B272" s="59" t="str">
        <x:v>Kris Dunn</x:v>
      </x:c>
      <x:c r="C272" s="65" t="str">
        <x:v>LAC</x:v>
      </x:c>
      <x:c r="D272" s="65" t="str">
        <x:v>PG</x:v>
      </x:c>
      <x:c r="E272" s="65" t="str">
        <x:v>PG</x:v>
      </x:c>
      <x:c r="F272" s="66" t="n">
        <x:v>82</x:v>
      </x:c>
      <x:c r="G272" s="67" t="n">
        <x:v>19.5</x:v>
      </x:c>
      <x:c r="H272" s="67" t="n">
        <x:v>13.54</x:v>
      </x:c>
      <x:c r="I272" s="67" t="n">
        <x:v>20.54</x:v>
      </x:c>
      <x:c r="J272" s="67" t="n">
        <x:v>60</x:v>
      </x:c>
      <x:c r="K272" s="67" t="str">
        <x:v>DEEP</x:v>
      </x:c>
      <x:c r="L272" s="67" t="n">
        <x:v>17.04</x:v>
      </x:c>
      <x:c r="M272" s="68" t="n">
        <x:v>1022.4</x:v>
      </x:c>
      <x:c r="N272" s="69" t="str">
        <x:v>Available</x:v>
      </x:c>
      <x:c r="O272" s="62" t="str">
        <x:v>Deep-pool model: 2025-26 custom-score production shrunk toward a conservative 2026-27 role estimate; not a published projection.</x:v>
      </x:c>
      <x:c r="P272" s="60"/>
      <x:c r="Q272" s="60"/>
      <x:c r="R272" s="60" t="n">
        <x:v>17.04</x:v>
      </x:c>
      <x:c r="S272" s="60" t="n">
        <x:v>0</x:v>
      </x:c>
      <x:c r="T272" s="72" t="str">
        <x:v>https://github.com/plourr03/wolves-front-office/blob/5d152a169188fb9b210186a7a0d3403d4081ed38/kuminga/data/roster_snapshot_2026_27_v3.csv</x:v>
      </x:c>
      <x:c r="U272" s="87" t="str">
        <x:v>DEEP</x:v>
      </x:c>
      <x:c r="V272" s="87" t="str">
        <x:v>HIGH</x:v>
      </x:c>
      <x:c r="W272" s="87" t="str">
        <x:v>MODEL</x:v>
      </x:c>
      <x:c r="X272" s="87" t="str">
        <x:v>STANDARD</x:v>
      </x:c>
      <x:c r="Y272" s="87" t="str">
        <x:v>2026-09-28 master / roster context 2026-09-03+</x:v>
      </x:c>
      <x:c r="Z272" s="72" t="str">
        <x:v>https://github.com/plourr03/wolves-front-office/blob/5d152a169188fb9b210186a7a0d3403d4081ed38/kuminga/data/roster_snapshot_2026_27_v3.csv</x:v>
      </x:c>
      <x:c r="AA272" s="72" t="str">
        <x:v>https://github.com/ballacademy/NBA-head-to-head-/blob/5b1decfc31ffb645469c7ffbd01aaca4b18181bd/data/nba-stats/nba-player-stats-202526-regular-season-per-game.csv</x:v>
      </x:c>
    </x:row>
    <x:row r="273" ht="21" customHeight="1">
      <x:c r="A273" s="64" t="n">
        <x:v>268</x:v>
      </x:c>
      <x:c r="B273" s="59" t="str">
        <x:v>Olivier-Maxence Prosper</x:v>
      </x:c>
      <x:c r="C273" s="65" t="str">
        <x:v>MEM</x:v>
      </x:c>
      <x:c r="D273" s="65" t="str">
        <x:v>PF</x:v>
      </x:c>
      <x:c r="E273" s="65" t="str">
        <x:v>PF</x:v>
      </x:c>
      <x:c r="F273" s="66" t="n">
        <x:v>53</x:v>
      </x:c>
      <x:c r="G273" s="67" t="n">
        <x:v>20</x:v>
      </x:c>
      <x:c r="H273" s="67" t="n">
        <x:v>13.36</x:v>
      </x:c>
      <x:c r="I273" s="67" t="n">
        <x:v>20.36</x:v>
      </x:c>
      <x:c r="J273" s="67" t="n">
        <x:v>64</x:v>
      </x:c>
      <x:c r="K273" s="67" t="str">
        <x:v>DEEP</x:v>
      </x:c>
      <x:c r="L273" s="67" t="n">
        <x:v>16.86</x:v>
      </x:c>
      <x:c r="M273" s="68" t="n">
        <x:v>1079.04</x:v>
      </x:c>
      <x:c r="N273" s="69" t="str">
        <x:v>Available</x:v>
      </x:c>
      <x:c r="O273" s="62" t="str">
        <x:v>Deep-pool model: 2025-26 custom-score production shrunk toward a conservative 2026-27 role estimate; not a published projection.</x:v>
      </x:c>
      <x:c r="P273" s="60"/>
      <x:c r="Q273" s="60"/>
      <x:c r="R273" s="60" t="n">
        <x:v>16.86</x:v>
      </x:c>
      <x:c r="S273" s="60" t="n">
        <x:v>0</x:v>
      </x:c>
      <x:c r="T273" s="72" t="str">
        <x:v>https://github.com/A-V29/NBA.Rosters/blob/main/2026.Summer.League.json</x:v>
      </x:c>
      <x:c r="U273" s="87" t="str">
        <x:v>DEEP</x:v>
      </x:c>
      <x:c r="V273" s="87" t="str">
        <x:v>HIGH</x:v>
      </x:c>
      <x:c r="W273" s="87" t="str">
        <x:v>MODEL</x:v>
      </x:c>
      <x:c r="X273" s="87" t="str">
        <x:v>CAMP/SUMMER</x:v>
      </x:c>
      <x:c r="Y273" s="87" t="str">
        <x:v>2026-09-28 master / roster context 2026-09-03+</x:v>
      </x:c>
      <x:c r="Z273" s="72" t="str">
        <x:v>https://github.com/A-V29/NBA.Rosters/blob/main/2026.Summer.League.json</x:v>
      </x:c>
      <x:c r="AA273" s="72" t="str">
        <x:v>https://github.com/ballacademy/NBA-head-to-head-/blob/5b1decfc31ffb645469c7ffbd01aaca4b18181bd/data/nba-stats/nba-player-stats-202526-regular-season-per-game.csv</x:v>
      </x:c>
    </x:row>
    <x:row r="274" ht="21" customHeight="1">
      <x:c r="A274" s="64" t="n">
        <x:v>269</x:v>
      </x:c>
      <x:c r="B274" s="59" t="str">
        <x:v>Marcus Smart</x:v>
      </x:c>
      <x:c r="C274" s="65" t="str">
        <x:v>HOU</x:v>
      </x:c>
      <x:c r="D274" s="65" t="str">
        <x:v>PG</x:v>
      </x:c>
      <x:c r="E274" s="65" t="str">
        <x:v>PG</x:v>
      </x:c>
      <x:c r="F274" s="66" t="n">
        <x:v>62</x:v>
      </x:c>
      <x:c r="G274" s="67" t="n">
        <x:v>19.4</x:v>
      </x:c>
      <x:c r="H274" s="67" t="n">
        <x:v>13.489999999999998</x:v>
      </x:c>
      <x:c r="I274" s="67" t="n">
        <x:v>20.49</x:v>
      </x:c>
      <x:c r="J274" s="67" t="n">
        <x:v>60</x:v>
      </x:c>
      <x:c r="K274" s="67" t="str">
        <x:v>DEEP</x:v>
      </x:c>
      <x:c r="L274" s="67" t="n">
        <x:v>16.99</x:v>
      </x:c>
      <x:c r="M274" s="68" t="n">
        <x:v>1019.3999999999999</x:v>
      </x:c>
      <x:c r="N274" s="69" t="str">
        <x:v>Available</x:v>
      </x:c>
      <x:c r="O274" s="62" t="str">
        <x:v>Deep-pool model: 2025-26 custom-score production shrunk toward a conservative 2026-27 role estimate; not a published projection.</x:v>
      </x:c>
      <x:c r="P274" s="60"/>
      <x:c r="Q274" s="60"/>
      <x:c r="R274" s="60" t="n">
        <x:v>16.99</x:v>
      </x:c>
      <x:c r="S274" s="60" t="n">
        <x:v>0</x:v>
      </x:c>
      <x:c r="T274" s="72" t="str">
        <x:v>https://github.com/plourr03/wolves-front-office/blob/5d152a169188fb9b210186a7a0d3403d4081ed38/kuminga/data/roster_snapshot_2026_27_v3.csv</x:v>
      </x:c>
      <x:c r="U274" s="87" t="str">
        <x:v>DEEP</x:v>
      </x:c>
      <x:c r="V274" s="87" t="str">
        <x:v>HIGH</x:v>
      </x:c>
      <x:c r="W274" s="87" t="str">
        <x:v>MODEL</x:v>
      </x:c>
      <x:c r="X274" s="87" t="str">
        <x:v>STANDARD</x:v>
      </x:c>
      <x:c r="Y274" s="87" t="str">
        <x:v>2026-09-28 master / roster context 2026-09-03+</x:v>
      </x:c>
      <x:c r="Z274" s="72" t="str">
        <x:v>https://github.com/plourr03/wolves-front-office/blob/5d152a169188fb9b210186a7a0d3403d4081ed38/kuminga/data/roster_snapshot_2026_27_v3.csv</x:v>
      </x:c>
      <x:c r="AA274" s="72" t="str">
        <x:v>https://github.com/ballacademy/NBA-head-to-head-/blob/5b1decfc31ffb645469c7ffbd01aaca4b18181bd/data/nba-stats/nba-player-stats-202526-regular-season-per-game.csv</x:v>
      </x:c>
    </x:row>
    <x:row r="275" ht="21" customHeight="1">
      <x:c r="A275" s="64" t="n">
        <x:v>270</x:v>
      </x:c>
      <x:c r="B275" s="59" t="str">
        <x:v>Bez Mbeng</x:v>
      </x:c>
      <x:c r="C275" s="65" t="str">
        <x:v>UTA</x:v>
      </x:c>
      <x:c r="D275" s="65" t="str">
        <x:v>SG</x:v>
      </x:c>
      <x:c r="E275" s="65" t="str">
        <x:v>SG</x:v>
      </x:c>
      <x:c r="F275" s="66" t="n">
        <x:v>15</x:v>
      </x:c>
      <x:c r="G275" s="67" t="n">
        <x:v>23.3</x:v>
      </x:c>
      <x:c r="H275" s="67" t="n">
        <x:v>12.119999999999997</x:v>
      </x:c>
      <x:c r="I275" s="67" t="n">
        <x:v>21.54</x:v>
      </x:c>
      <x:c r="J275" s="67" t="n">
        <x:v>64</x:v>
      </x:c>
      <x:c r="K275" s="67" t="str">
        <x:v>VERY_DEEP</x:v>
      </x:c>
      <x:c r="L275" s="67" t="n">
        <x:v>16.83</x:v>
      </x:c>
      <x:c r="M275" s="68" t="n">
        <x:v>1077.12</x:v>
      </x:c>
      <x:c r="N275" s="69" t="str">
        <x:v>Available</x:v>
      </x:c>
      <x:c r="O275" s="62" t="str">
        <x:v>Very-deep model estimate with limited sample/role certainty. Use as a search/watch-list value and refresh once final rotations are known.</x:v>
      </x:c>
      <x:c r="P275" s="60"/>
      <x:c r="Q275" s="60"/>
      <x:c r="R275" s="60" t="n">
        <x:v>16.83</x:v>
      </x:c>
      <x:c r="S275" s="60" t="n">
        <x:v>0</x:v>
      </x:c>
      <x:c r="T275" s="72" t="str">
        <x:v>https://github.com/A-V29/NBA.Rosters/blob/main/2026.Summer.League.json</x:v>
      </x:c>
      <x:c r="U275" s="87" t="str">
        <x:v>DEEP</x:v>
      </x:c>
      <x:c r="V275" s="87" t="str">
        <x:v>MEDIUM</x:v>
      </x:c>
      <x:c r="W275" s="87" t="str">
        <x:v>MODEL</x:v>
      </x:c>
      <x:c r="X275" s="87" t="str">
        <x:v>CAMP/SUMMER</x:v>
      </x:c>
      <x:c r="Y275" s="87" t="str">
        <x:v>2026-09-28 master / roster context 2026-09-03+</x:v>
      </x:c>
      <x:c r="Z275" s="72" t="str">
        <x:v>https://github.com/A-V29/NBA.Rosters/blob/main/2026.Summer.League.json</x:v>
      </x:c>
      <x:c r="AA275" s="72" t="str">
        <x:v>https://github.com/ballacademy/NBA-head-to-head-/blob/5b1decfc31ffb645469c7ffbd01aaca4b18181bd/data/nba-stats/nba-player-stats-202526-regular-season-per-game.csv</x:v>
      </x:c>
    </x:row>
    <x:row r="276" ht="21" customHeight="1">
      <x:c r="A276" s="64" t="n">
        <x:v>271</x:v>
      </x:c>
      <x:c r="B276" s="59" t="str">
        <x:v>Oso Ighodaro</x:v>
      </x:c>
      <x:c r="C276" s="65" t="str">
        <x:v>PHX</x:v>
      </x:c>
      <x:c r="D276" s="65" t="str">
        <x:v>C</x:v>
      </x:c>
      <x:c r="E276" s="65" t="str">
        <x:v>C</x:v>
      </x:c>
      <x:c r="F276" s="66" t="n">
        <x:v>82</x:v>
      </x:c>
      <x:c r="G276" s="67" t="n">
        <x:v>20</x:v>
      </x:c>
      <x:c r="H276" s="67" t="n">
        <x:v>13.43</x:v>
      </x:c>
      <x:c r="I276" s="67" t="n">
        <x:v>20.43</x:v>
      </x:c>
      <x:c r="J276" s="67" t="n">
        <x:v>60</x:v>
      </x:c>
      <x:c r="K276" s="67" t="str">
        <x:v>DEEP</x:v>
      </x:c>
      <x:c r="L276" s="67" t="n">
        <x:v>16.93</x:v>
      </x:c>
      <x:c r="M276" s="68" t="n">
        <x:v>1015.8</x:v>
      </x:c>
      <x:c r="N276" s="69" t="str">
        <x:v>Available</x:v>
      </x:c>
      <x:c r="O276" s="62" t="str">
        <x:v>Deep-pool model: 2025-26 custom-score production shrunk toward a conservative 2026-27 role estimate; not a published projection.</x:v>
      </x:c>
      <x:c r="P276" s="60"/>
      <x:c r="Q276" s="60"/>
      <x:c r="R276" s="60" t="n">
        <x:v>16.93</x:v>
      </x:c>
      <x:c r="S276" s="60" t="n">
        <x:v>0</x:v>
      </x:c>
      <x:c r="T276" s="72" t="str">
        <x:v>https://github.com/plourr03/wolves-front-office/blob/5d152a169188fb9b210186a7a0d3403d4081ed38/kuminga/data/roster_snapshot_2026_27_v3.csv</x:v>
      </x:c>
      <x:c r="U276" s="87" t="str">
        <x:v>DEEP</x:v>
      </x:c>
      <x:c r="V276" s="87" t="str">
        <x:v>HIGH</x:v>
      </x:c>
      <x:c r="W276" s="87" t="str">
        <x:v>MODEL</x:v>
      </x:c>
      <x:c r="X276" s="87" t="str">
        <x:v>STANDARD</x:v>
      </x:c>
      <x:c r="Y276" s="87" t="str">
        <x:v>2026-09-28 master / roster context 2026-09-03+</x:v>
      </x:c>
      <x:c r="Z276" s="72" t="str">
        <x:v>https://github.com/plourr03/wolves-front-office/blob/5d152a169188fb9b210186a7a0d3403d4081ed38/kuminga/data/roster_snapshot_2026_27_v3.csv</x:v>
      </x:c>
      <x:c r="AA276" s="72" t="str">
        <x:v>https://github.com/ballacademy/NBA-head-to-head-/blob/5b1decfc31ffb645469c7ffbd01aaca4b18181bd/data/nba-stats/nba-player-stats-202526-regular-season-per-game.csv</x:v>
      </x:c>
    </x:row>
    <x:row r="277" ht="21" customHeight="1">
      <x:c r="A277" s="64" t="n">
        <x:v>272</x:v>
      </x:c>
      <x:c r="B277" s="59" t="str">
        <x:v>Isaac Okoro</x:v>
      </x:c>
      <x:c r="C277" s="65" t="str">
        <x:v>CHI</x:v>
      </x:c>
      <x:c r="D277" s="65" t="str">
        <x:v>SG</x:v>
      </x:c>
      <x:c r="E277" s="65" t="str">
        <x:v>SG</x:v>
      </x:c>
      <x:c r="F277" s="66" t="n">
        <x:v>63</x:v>
      </x:c>
      <x:c r="G277" s="67" t="n">
        <x:v>18.85</x:v>
      </x:c>
      <x:c r="H277" s="67" t="n">
        <x:v>13.420000000000002</x:v>
      </x:c>
      <x:c r="I277" s="67" t="n">
        <x:v>20.42</x:v>
      </x:c>
      <x:c r="J277" s="67" t="n">
        <x:v>60</x:v>
      </x:c>
      <x:c r="K277" s="67" t="str">
        <x:v>DEEP</x:v>
      </x:c>
      <x:c r="L277" s="67" t="n">
        <x:v>16.92</x:v>
      </x:c>
      <x:c r="M277" s="68" t="n">
        <x:v>1015.2</x:v>
      </x:c>
      <x:c r="N277" s="69" t="str">
        <x:v>Available</x:v>
      </x:c>
      <x:c r="O277" s="62" t="str">
        <x:v>Deep-pool model: 2025-26 custom-score production shrunk toward a conservative 2026-27 role estimate; not a published projection.</x:v>
      </x:c>
      <x:c r="P277" s="60"/>
      <x:c r="Q277" s="60"/>
      <x:c r="R277" s="60" t="n">
        <x:v>16.92</x:v>
      </x:c>
      <x:c r="S277" s="60" t="n">
        <x:v>0</x:v>
      </x:c>
      <x:c r="T277" s="72" t="str">
        <x:v>https://github.com/plourr03/wolves-front-office/blob/5d152a169188fb9b210186a7a0d3403d4081ed38/kuminga/data/roster_snapshot_2026_27_v3.csv</x:v>
      </x:c>
      <x:c r="U277" s="87" t="str">
        <x:v>DEEP</x:v>
      </x:c>
      <x:c r="V277" s="87" t="str">
        <x:v>HIGH</x:v>
      </x:c>
      <x:c r="W277" s="87" t="str">
        <x:v>MODEL</x:v>
      </x:c>
      <x:c r="X277" s="87" t="str">
        <x:v>STANDARD</x:v>
      </x:c>
      <x:c r="Y277" s="87" t="str">
        <x:v>2026-09-28 master / roster context 2026-09-03+</x:v>
      </x:c>
      <x:c r="Z277" s="72" t="str">
        <x:v>https://github.com/plourr03/wolves-front-office/blob/5d152a169188fb9b210186a7a0d3403d4081ed38/kuminga/data/roster_snapshot_2026_27_v3.csv</x:v>
      </x:c>
      <x:c r="AA277" s="72" t="str">
        <x:v>https://github.com/ballacademy/NBA-head-to-head-/blob/5b1decfc31ffb645469c7ffbd01aaca4b18181bd/data/nba-stats/nba-player-stats-202526-regular-season-per-game.csv</x:v>
      </x:c>
    </x:row>
    <x:row r="278" ht="21" customHeight="1">
      <x:c r="A278" s="64" t="n">
        <x:v>273</x:v>
      </x:c>
      <x:c r="B278" s="59" t="str">
        <x:v>Will Riley</x:v>
      </x:c>
      <x:c r="C278" s="65" t="str">
        <x:v>WAS</x:v>
      </x:c>
      <x:c r="D278" s="65" t="str">
        <x:v>SF</x:v>
      </x:c>
      <x:c r="E278" s="65" t="str">
        <x:v>GF</x:v>
      </x:c>
      <x:c r="F278" s="66" t="n">
        <x:v>74</x:v>
      </x:c>
      <x:c r="G278" s="67" t="n">
        <x:v>18.25</x:v>
      </x:c>
      <x:c r="H278" s="67" t="n">
        <x:v>13.079999999999998</x:v>
      </x:c>
      <x:c r="I278" s="67" t="n">
        <x:v>20.08</x:v>
      </x:c>
      <x:c r="J278" s="67" t="n">
        <x:v>64</x:v>
      </x:c>
      <x:c r="K278" s="67" t="str">
        <x:v>DEEP</x:v>
      </x:c>
      <x:c r="L278" s="67" t="n">
        <x:v>16.58</x:v>
      </x:c>
      <x:c r="M278" s="68" t="n">
        <x:v>1061.12</x:v>
      </x:c>
      <x:c r="N278" s="69" t="str">
        <x:v>Available</x:v>
      </x:c>
      <x:c r="O278" s="62" t="str">
        <x:v>Deep-pool model: 2025-26 custom-score production shrunk toward a conservative 2026-27 role estimate; not a published projection.</x:v>
      </x:c>
      <x:c r="P278" s="60"/>
      <x:c r="Q278" s="60"/>
      <x:c r="R278" s="60" t="n">
        <x:v>16.58</x:v>
      </x:c>
      <x:c r="S278" s="60" t="n">
        <x:v>0</x:v>
      </x:c>
      <x:c r="T278" s="72" t="str">
        <x:v>https://github.com/A-V29/NBA.Rosters/blob/main/2026.Summer.League.json</x:v>
      </x:c>
      <x:c r="U278" s="87" t="str">
        <x:v>DEEP</x:v>
      </x:c>
      <x:c r="V278" s="87" t="str">
        <x:v>HIGH</x:v>
      </x:c>
      <x:c r="W278" s="87" t="str">
        <x:v>MODEL</x:v>
      </x:c>
      <x:c r="X278" s="87" t="str">
        <x:v>CAMP/SUMMER</x:v>
      </x:c>
      <x:c r="Y278" s="87" t="str">
        <x:v>2026-09-28 master / roster context 2026-09-03+</x:v>
      </x:c>
      <x:c r="Z278" s="72" t="str">
        <x:v>https://github.com/A-V29/NBA.Rosters/blob/main/2026.Summer.League.json</x:v>
      </x:c>
      <x:c r="AA278" s="72" t="str">
        <x:v>https://github.com/ballacademy/NBA-head-to-head-/blob/5b1decfc31ffb645469c7ffbd01aaca4b18181bd/data/nba-stats/nba-player-stats-202526-regular-season-per-game.csv</x:v>
      </x:c>
    </x:row>
    <x:row r="279" ht="21" customHeight="1">
      <x:c r="A279" s="64" t="n">
        <x:v>274</x:v>
      </x:c>
      <x:c r="B279" s="59" t="str">
        <x:v>Zach Collins</x:v>
      </x:c>
      <x:c r="C279" s="65" t="str">
        <x:v>CHI</x:v>
      </x:c>
      <x:c r="D279" s="65" t="str">
        <x:v>C</x:v>
      </x:c>
      <x:c r="E279" s="65" t="str">
        <x:v>C</x:v>
      </x:c>
      <x:c r="F279" s="66" t="n">
        <x:v>10</x:v>
      </x:c>
      <x:c r="G279" s="67" t="n">
        <x:v>22.45</x:v>
      </x:c>
      <x:c r="H279" s="67" t="n">
        <x:v>12.009999999999998</x:v>
      </x:c>
      <x:c r="I279" s="67" t="n">
        <x:v>21.35</x:v>
      </x:c>
      <x:c r="J279" s="67" t="n">
        <x:v>60</x:v>
      </x:c>
      <x:c r="K279" s="67" t="str">
        <x:v>VERY_DEEP</x:v>
      </x:c>
      <x:c r="L279" s="67" t="n">
        <x:v>16.68</x:v>
      </x:c>
      <x:c r="M279" s="68" t="n">
        <x:v>1000.8</x:v>
      </x:c>
      <x:c r="N279" s="69" t="str">
        <x:v>Available</x:v>
      </x:c>
      <x:c r="O279" s="62" t="str">
        <x:v>Very-deep model estimate with limited sample/role certainty. Use as a search/watch-list value and refresh once final rotations are known.</x:v>
      </x:c>
      <x:c r="P279" s="60"/>
      <x:c r="Q279" s="60"/>
      <x:c r="R279" s="60" t="n">
        <x:v>16.68</x:v>
      </x:c>
      <x:c r="S279" s="60" t="n">
        <x:v>0</x:v>
      </x:c>
      <x:c r="T279" s="72" t="str">
        <x:v>https://github.com/plourr03/wolves-front-office/blob/5d152a169188fb9b210186a7a0d3403d4081ed38/kuminga/data/roster_snapshot_2026_27_v3.csv</x:v>
      </x:c>
      <x:c r="U279" s="87" t="str">
        <x:v>DEEP</x:v>
      </x:c>
      <x:c r="V279" s="87" t="str">
        <x:v>MEDIUM</x:v>
      </x:c>
      <x:c r="W279" s="87" t="str">
        <x:v>MODEL</x:v>
      </x:c>
      <x:c r="X279" s="87" t="str">
        <x:v>STANDARD</x:v>
      </x:c>
      <x:c r="Y279" s="87" t="str">
        <x:v>2026-09-28 master / roster context 2026-09-03+</x:v>
      </x:c>
      <x:c r="Z279" s="72" t="str">
        <x:v>https://github.com/plourr03/wolves-front-office/blob/5d152a169188fb9b210186a7a0d3403d4081ed38/kuminga/data/roster_snapshot_2026_27_v3.csv</x:v>
      </x:c>
      <x:c r="AA279" s="72" t="str">
        <x:v>https://github.com/ballacademy/NBA-head-to-head-/blob/5b1decfc31ffb645469c7ffbd01aaca4b18181bd/data/nba-stats/nba-player-stats-202526-regular-season-per-game.csv</x:v>
      </x:c>
    </x:row>
    <x:row r="280" ht="21" customHeight="1">
      <x:c r="A280" s="64" t="n">
        <x:v>275</x:v>
      </x:c>
      <x:c r="B280" s="59" t="str">
        <x:v>Brayden Burries</x:v>
      </x:c>
      <x:c r="C280" s="65" t="str">
        <x:v>MIL</x:v>
      </x:c>
      <x:c r="D280" s="65" t="str">
        <x:v>PG</x:v>
      </x:c>
      <x:c r="E280" s="65" t="str">
        <x:v>G</x:v>
      </x:c>
      <x:c r="F280" s="66"/>
      <x:c r="G280" s="67"/>
      <x:c r="H280" s="67" t="n">
        <x:v>12.04</x:v>
      </x:c>
      <x:c r="I280" s="67" t="n">
        <x:v>21.4</x:v>
      </x:c>
      <x:c r="J280" s="67" t="n">
        <x:v>55</x:v>
      </x:c>
      <x:c r="K280" s="67" t="str">
        <x:v>VERY_DEEP</x:v>
      </x:c>
      <x:c r="L280" s="67" t="n">
        <x:v>16.72</x:v>
      </x:c>
      <x:c r="M280" s="68" t="n">
        <x:v>919.5999999999999</x:v>
      </x:c>
      <x:c r="N280" s="69" t="str">
        <x:v>Available</x:v>
      </x:c>
      <x:c r="O280" s="62" t="str">
        <x:v>Rookie/depth role estimate with a wide band and limited NBA evidence. Treat as a watch-list projection, not a published forecast.</x:v>
      </x:c>
      <x:c r="P280" s="60"/>
      <x:c r="Q280" s="60"/>
      <x:c r="R280" s="60" t="n">
        <x:v>16.72</x:v>
      </x:c>
      <x:c r="S280" s="60" t="n">
        <x:v>0</x:v>
      </x:c>
      <x:c r="T280" s="72" t="str">
        <x:v>https://github.com/A-V29/NBA.Rosters/blob/main/2026.Summer.League.json</x:v>
      </x:c>
      <x:c r="U280" s="87" t="str">
        <x:v>DEEP</x:v>
      </x:c>
      <x:c r="V280" s="87" t="str">
        <x:v>MEDIUM</x:v>
      </x:c>
      <x:c r="W280" s="87" t="str">
        <x:v>MODEL-ROOKIE</x:v>
      </x:c>
      <x:c r="X280" s="87" t="str">
        <x:v>CAMP/SUMMER</x:v>
      </x:c>
      <x:c r="Y280" s="87" t="str">
        <x:v>2026-09-28 master / roster context 2026-09-03+</x:v>
      </x:c>
      <x:c r="Z280" s="72" t="str">
        <x:v>https://github.com/A-V29/NBA.Rosters/blob/main/2026.Summer.League.json</x:v>
      </x:c>
      <x:c r="AA280" s="72" t="str">
        <x:v>https://github.com/ballacademy/NBA-head-to-head-/blob/5b1decfc31ffb645469c7ffbd01aaca4b18181bd/data/nba-stats/nba-player-stats-202526-regular-season-per-game.csv</x:v>
      </x:c>
    </x:row>
    <x:row r="281" ht="21" customHeight="1">
      <x:c r="A281" s="64" t="n">
        <x:v>276</x:v>
      </x:c>
      <x:c r="B281" s="59" t="str">
        <x:v>Jaylin Williams</x:v>
      </x:c>
      <x:c r="C281" s="65" t="str">
        <x:v>OKC</x:v>
      </x:c>
      <x:c r="D281" s="65" t="str">
        <x:v>C</x:v>
      </x:c>
      <x:c r="E281" s="65" t="str">
        <x:v>C</x:v>
      </x:c>
      <x:c r="F281" s="66" t="n">
        <x:v>65</x:v>
      </x:c>
      <x:c r="G281" s="67" t="n">
        <x:v>18.7</x:v>
      </x:c>
      <x:c r="H281" s="67" t="n">
        <x:v>13.059999999999999</x:v>
      </x:c>
      <x:c r="I281" s="67" t="n">
        <x:v>20.06</x:v>
      </x:c>
      <x:c r="J281" s="67" t="n">
        <x:v>60</x:v>
      </x:c>
      <x:c r="K281" s="67" t="str">
        <x:v>DEEP</x:v>
      </x:c>
      <x:c r="L281" s="67" t="n">
        <x:v>16.56</x:v>
      </x:c>
      <x:c r="M281" s="68" t="n">
        <x:v>993.5999999999999</x:v>
      </x:c>
      <x:c r="N281" s="69" t="str">
        <x:v>Available</x:v>
      </x:c>
      <x:c r="O281" s="62" t="str">
        <x:v>Deep-pool model: 2025-26 custom-score production shrunk toward a conservative 2026-27 role estimate; not a published projection.</x:v>
      </x:c>
      <x:c r="P281" s="60"/>
      <x:c r="Q281" s="60"/>
      <x:c r="R281" s="60" t="n">
        <x:v>16.56</x:v>
      </x:c>
      <x:c r="S281" s="60" t="n">
        <x:v>0</x:v>
      </x:c>
      <x:c r="T281" s="72" t="str">
        <x:v>https://github.com/plourr03/wolves-front-office/blob/5d152a169188fb9b210186a7a0d3403d4081ed38/kuminga/data/roster_snapshot_2026_27_v3.csv</x:v>
      </x:c>
      <x:c r="U281" s="87" t="str">
        <x:v>DEEP</x:v>
      </x:c>
      <x:c r="V281" s="87" t="str">
        <x:v>HIGH</x:v>
      </x:c>
      <x:c r="W281" s="87" t="str">
        <x:v>MODEL</x:v>
      </x:c>
      <x:c r="X281" s="87" t="str">
        <x:v>STANDARD</x:v>
      </x:c>
      <x:c r="Y281" s="87" t="str">
        <x:v>2026-09-28 master / roster context 2026-09-03+</x:v>
      </x:c>
      <x:c r="Z281" s="72" t="str">
        <x:v>https://github.com/plourr03/wolves-front-office/blob/5d152a169188fb9b210186a7a0d3403d4081ed38/kuminga/data/roster_snapshot_2026_27_v3.csv</x:v>
      </x:c>
      <x:c r="AA281" s="72" t="str">
        <x:v>https://github.com/ballacademy/NBA-head-to-head-/blob/5b1decfc31ffb645469c7ffbd01aaca4b18181bd/data/nba-stats/nba-player-stats-202526-regular-season-per-game.csv</x:v>
      </x:c>
    </x:row>
    <x:row r="282" ht="21" customHeight="1">
      <x:c r="A282" s="64" t="n">
        <x:v>277</x:v>
      </x:c>
      <x:c r="B282" s="59" t="str">
        <x:v>Aday Mara</x:v>
      </x:c>
      <x:c r="C282" s="65" t="str">
        <x:v>OKC</x:v>
      </x:c>
      <x:c r="D282" s="65" t="str">
        <x:v>C</x:v>
      </x:c>
      <x:c r="E282" s="65" t="str">
        <x:v>C</x:v>
      </x:c>
      <x:c r="F282" s="66"/>
      <x:c r="G282" s="67"/>
      <x:c r="H282" s="67" t="n">
        <x:v>11.945</x:v>
      </x:c>
      <x:c r="I282" s="67" t="n">
        <x:v>21.235</x:v>
      </x:c>
      <x:c r="J282" s="67" t="n">
        <x:v>55</x:v>
      </x:c>
      <x:c r="K282" s="67" t="str">
        <x:v>VERY_DEEP</x:v>
      </x:c>
      <x:c r="L282" s="67" t="n">
        <x:v>16.59</x:v>
      </x:c>
      <x:c r="M282" s="68" t="n">
        <x:v>912.45</x:v>
      </x:c>
      <x:c r="N282" s="69" t="str">
        <x:v>Available</x:v>
      </x:c>
      <x:c r="O282" s="62" t="str">
        <x:v>Rookie/depth role estimate with a wide band and limited NBA evidence. Treat as a watch-list projection, not a published forecast.</x:v>
      </x:c>
      <x:c r="P282" s="60"/>
      <x:c r="Q282" s="60"/>
      <x:c r="R282" s="60" t="n">
        <x:v>16.59</x:v>
      </x:c>
      <x:c r="S282" s="60" t="n">
        <x:v>0</x:v>
      </x:c>
      <x:c r="T282" s="72" t="str">
        <x:v>https://github.com/A-V29/NBA.Rosters/blob/main/2026.Summer.League.json</x:v>
      </x:c>
      <x:c r="U282" s="87" t="str">
        <x:v>DEEP</x:v>
      </x:c>
      <x:c r="V282" s="87" t="str">
        <x:v>MEDIUM</x:v>
      </x:c>
      <x:c r="W282" s="87" t="str">
        <x:v>MODEL-ROOKIE</x:v>
      </x:c>
      <x:c r="X282" s="87" t="str">
        <x:v>CAMP/SUMMER</x:v>
      </x:c>
      <x:c r="Y282" s="87" t="str">
        <x:v>2026-09-28 master / roster context 2026-09-03+</x:v>
      </x:c>
      <x:c r="Z282" s="72" t="str">
        <x:v>https://github.com/A-V29/NBA.Rosters/blob/main/2026.Summer.League.json</x:v>
      </x:c>
      <x:c r="AA282" s="72" t="str">
        <x:v>https://github.com/ballacademy/NBA-head-to-head-/blob/5b1decfc31ffb645469c7ffbd01aaca4b18181bd/data/nba-stats/nba-player-stats-202526-regular-season-per-game.csv</x:v>
      </x:c>
    </x:row>
    <x:row r="283" ht="21" customHeight="1">
      <x:c r="A283" s="64" t="n">
        <x:v>278</x:v>
      </x:c>
      <x:c r="B283" s="59" t="str">
        <x:v>AJ Green</x:v>
      </x:c>
      <x:c r="C283" s="65" t="str">
        <x:v>MIL</x:v>
      </x:c>
      <x:c r="D283" s="65" t="str">
        <x:v>SG</x:v>
      </x:c>
      <x:c r="E283" s="65" t="str">
        <x:v>SG</x:v>
      </x:c>
      <x:c r="F283" s="66" t="n">
        <x:v>78</x:v>
      </x:c>
      <x:c r="G283" s="67" t="n">
        <x:v>18.4</x:v>
      </x:c>
      <x:c r="H283" s="67" t="n">
        <x:v>12.969999999999999</x:v>
      </x:c>
      <x:c r="I283" s="67" t="n">
        <x:v>19.97</x:v>
      </x:c>
      <x:c r="J283" s="67" t="n">
        <x:v>60</x:v>
      </x:c>
      <x:c r="K283" s="67" t="str">
        <x:v>DEEP</x:v>
      </x:c>
      <x:c r="L283" s="67" t="n">
        <x:v>16.47</x:v>
      </x:c>
      <x:c r="M283" s="68" t="n">
        <x:v>988.1999999999999</x:v>
      </x:c>
      <x:c r="N283" s="69" t="str">
        <x:v>Available</x:v>
      </x:c>
      <x:c r="O283" s="62" t="str">
        <x:v>Deep-pool model: 2025-26 custom-score production shrunk toward a conservative 2026-27 role estimate; not a published projection.</x:v>
      </x:c>
      <x:c r="P283" s="60"/>
      <x:c r="Q283" s="60"/>
      <x:c r="R283" s="60" t="n">
        <x:v>16.47</x:v>
      </x:c>
      <x:c r="S283" s="60" t="n">
        <x:v>0</x:v>
      </x:c>
      <x:c r="T283" s="72" t="str">
        <x:v>https://github.com/plourr03/wolves-front-office/blob/5d152a169188fb9b210186a7a0d3403d4081ed38/kuminga/data/roster_snapshot_2026_27_v3.csv</x:v>
      </x:c>
      <x:c r="U283" s="87" t="str">
        <x:v>DEEP</x:v>
      </x:c>
      <x:c r="V283" s="87" t="str">
        <x:v>HIGH</x:v>
      </x:c>
      <x:c r="W283" s="87" t="str">
        <x:v>MODEL</x:v>
      </x:c>
      <x:c r="X283" s="87" t="str">
        <x:v>STANDARD</x:v>
      </x:c>
      <x:c r="Y283" s="87" t="str">
        <x:v>2026-09-28 master / roster context 2026-09-03+</x:v>
      </x:c>
      <x:c r="Z283" s="72" t="str">
        <x:v>https://github.com/plourr03/wolves-front-office/blob/5d152a169188fb9b210186a7a0d3403d4081ed38/kuminga/data/roster_snapshot_2026_27_v3.csv</x:v>
      </x:c>
      <x:c r="AA283" s="72" t="str">
        <x:v>https://github.com/ballacademy/NBA-head-to-head-/blob/5b1decfc31ffb645469c7ffbd01aaca4b18181bd/data/nba-stats/nba-player-stats-202526-regular-season-per-game.csv</x:v>
      </x:c>
    </x:row>
    <x:row r="284" ht="21" customHeight="1">
      <x:c r="A284" s="64" t="n">
        <x:v>279</x:v>
      </x:c>
      <x:c r="B284" s="59" t="str">
        <x:v>Ron Holland II</x:v>
      </x:c>
      <x:c r="C284" s="65" t="str">
        <x:v>DET</x:v>
      </x:c>
      <x:c r="D284" s="65" t="str">
        <x:v>SF</x:v>
      </x:c>
      <x:c r="E284" s="65" t="str">
        <x:v>SF</x:v>
      </x:c>
      <x:c r="F284" s="66" t="n">
        <x:v>78</x:v>
      </x:c>
      <x:c r="G284" s="67" t="n">
        <x:v>17.35</x:v>
      </x:c>
      <x:c r="H284" s="67" t="n">
        <x:v>12.86</x:v>
      </x:c>
      <x:c r="I284" s="67" t="n">
        <x:v>19.86</x:v>
      </x:c>
      <x:c r="J284" s="67" t="n">
        <x:v>60</x:v>
      </x:c>
      <x:c r="K284" s="67" t="str">
        <x:v>DEEP</x:v>
      </x:c>
      <x:c r="L284" s="67" t="n">
        <x:v>16.36</x:v>
      </x:c>
      <x:c r="M284" s="68" t="n">
        <x:v>981.5999999999999</x:v>
      </x:c>
      <x:c r="N284" s="69" t="str">
        <x:v>Available</x:v>
      </x:c>
      <x:c r="O284" s="62" t="str">
        <x:v>Deep-pool model: 2025-26 custom-score production shrunk toward a conservative 2026-27 role estimate; not a published projection.</x:v>
      </x:c>
      <x:c r="P284" s="60"/>
      <x:c r="Q284" s="60"/>
      <x:c r="R284" s="60" t="n">
        <x:v>16.36</x:v>
      </x:c>
      <x:c r="S284" s="60" t="n">
        <x:v>0</x:v>
      </x:c>
      <x:c r="T284" s="72" t="str">
        <x:v>https://github.com/plourr03/wolves-front-office/blob/5d152a169188fb9b210186a7a0d3403d4081ed38/kuminga/data/roster_snapshot_2026_27_v3.csv</x:v>
      </x:c>
      <x:c r="U284" s="87" t="str">
        <x:v>DEEP</x:v>
      </x:c>
      <x:c r="V284" s="87" t="str">
        <x:v>HIGH</x:v>
      </x:c>
      <x:c r="W284" s="87" t="str">
        <x:v>MODEL</x:v>
      </x:c>
      <x:c r="X284" s="87" t="str">
        <x:v>STANDARD</x:v>
      </x:c>
      <x:c r="Y284" s="87" t="str">
        <x:v>2026-09-28 master / roster context 2026-09-03+</x:v>
      </x:c>
      <x:c r="Z284" s="72" t="str">
        <x:v>https://github.com/plourr03/wolves-front-office/blob/5d152a169188fb9b210186a7a0d3403d4081ed38/kuminga/data/roster_snapshot_2026_27_v3.csv</x:v>
      </x:c>
      <x:c r="AA284" s="72" t="str">
        <x:v>https://github.com/ballacademy/NBA-head-to-head-/blob/5b1decfc31ffb645469c7ffbd01aaca4b18181bd/data/nba-stats/nba-player-stats-202526-regular-season-per-game.csv</x:v>
      </x:c>
    </x:row>
    <x:row r="285" ht="21" customHeight="1">
      <x:c r="A285" s="64" t="n">
        <x:v>280</x:v>
      </x:c>
      <x:c r="B285" s="59" t="str">
        <x:v>Nate Ament</x:v>
      </x:c>
      <x:c r="C285" s="65" t="str">
        <x:v>MIL</x:v>
      </x:c>
      <x:c r="D285" s="65" t="str">
        <x:v>PF</x:v>
      </x:c>
      <x:c r="E285" s="65" t="str">
        <x:v>F</x:v>
      </x:c>
      <x:c r="F285" s="66"/>
      <x:c r="G285" s="67"/>
      <x:c r="H285" s="67" t="n">
        <x:v>11.895</x:v>
      </x:c>
      <x:c r="I285" s="67" t="n">
        <x:v>21.145</x:v>
      </x:c>
      <x:c r="J285" s="67" t="n">
        <x:v>55</x:v>
      </x:c>
      <x:c r="K285" s="67" t="str">
        <x:v>VERY_DEEP</x:v>
      </x:c>
      <x:c r="L285" s="67" t="n">
        <x:v>16.52</x:v>
      </x:c>
      <x:c r="M285" s="68" t="n">
        <x:v>908.6</x:v>
      </x:c>
      <x:c r="N285" s="69" t="str">
        <x:v>Available</x:v>
      </x:c>
      <x:c r="O285" s="62" t="str">
        <x:v>Rookie/depth role estimate with a wide band and limited NBA evidence. Treat as a watch-list projection, not a published forecast.</x:v>
      </x:c>
      <x:c r="P285" s="60"/>
      <x:c r="Q285" s="60"/>
      <x:c r="R285" s="60" t="n">
        <x:v>16.52</x:v>
      </x:c>
      <x:c r="S285" s="60" t="n">
        <x:v>0</x:v>
      </x:c>
      <x:c r="T285" s="72" t="str">
        <x:v>https://github.com/A-V29/NBA.Rosters/blob/main/2026.Summer.League.json</x:v>
      </x:c>
      <x:c r="U285" s="87" t="str">
        <x:v>DEEP</x:v>
      </x:c>
      <x:c r="V285" s="87" t="str">
        <x:v>MEDIUM</x:v>
      </x:c>
      <x:c r="W285" s="87" t="str">
        <x:v>MODEL-ROOKIE</x:v>
      </x:c>
      <x:c r="X285" s="87" t="str">
        <x:v>CAMP/SUMMER</x:v>
      </x:c>
      <x:c r="Y285" s="87" t="str">
        <x:v>2026-09-28 master / roster context 2026-09-03+</x:v>
      </x:c>
      <x:c r="Z285" s="72" t="str">
        <x:v>https://github.com/A-V29/NBA.Rosters/blob/main/2026.Summer.League.json</x:v>
      </x:c>
      <x:c r="AA285" s="72" t="str">
        <x:v>https://github.com/ballacademy/NBA-head-to-head-/blob/5b1decfc31ffb645469c7ffbd01aaca4b18181bd/data/nba-stats/nba-player-stats-202526-regular-season-per-game.csv</x:v>
      </x:c>
    </x:row>
    <x:row r="286" ht="21" customHeight="1">
      <x:c r="A286" s="64" t="n">
        <x:v>281</x:v>
      </x:c>
      <x:c r="B286" s="59" t="str">
        <x:v>Cody Williams</x:v>
      </x:c>
      <x:c r="C286" s="65" t="str">
        <x:v>UTA</x:v>
      </x:c>
      <x:c r="D286" s="65" t="str">
        <x:v>SF</x:v>
      </x:c>
      <x:c r="E286" s="65" t="str">
        <x:v>GF</x:v>
      </x:c>
      <x:c r="F286" s="66" t="n">
        <x:v>67</x:v>
      </x:c>
      <x:c r="G286" s="67" t="n">
        <x:v>17.4</x:v>
      </x:c>
      <x:c r="H286" s="67" t="n">
        <x:v>12.670000000000002</x:v>
      </x:c>
      <x:c r="I286" s="67" t="n">
        <x:v>19.67</x:v>
      </x:c>
      <x:c r="J286" s="67" t="n">
        <x:v>64</x:v>
      </x:c>
      <x:c r="K286" s="67" t="str">
        <x:v>DEEP</x:v>
      </x:c>
      <x:c r="L286" s="67" t="n">
        <x:v>16.17</x:v>
      </x:c>
      <x:c r="M286" s="68" t="n">
        <x:v>1034.88</x:v>
      </x:c>
      <x:c r="N286" s="69" t="str">
        <x:v>Available</x:v>
      </x:c>
      <x:c r="O286" s="62" t="str">
        <x:v>Deep-pool model: 2025-26 custom-score production shrunk toward a conservative 2026-27 role estimate; not a published projection.</x:v>
      </x:c>
      <x:c r="P286" s="60"/>
      <x:c r="Q286" s="60"/>
      <x:c r="R286" s="60" t="n">
        <x:v>16.17</x:v>
      </x:c>
      <x:c r="S286" s="60" t="n">
        <x:v>0</x:v>
      </x:c>
      <x:c r="T286" s="72" t="str">
        <x:v>https://github.com/A-V29/NBA.Rosters/blob/main/2026.Summer.League.json</x:v>
      </x:c>
      <x:c r="U286" s="87" t="str">
        <x:v>DEEP</x:v>
      </x:c>
      <x:c r="V286" s="87" t="str">
        <x:v>HIGH</x:v>
      </x:c>
      <x:c r="W286" s="87" t="str">
        <x:v>MODEL</x:v>
      </x:c>
      <x:c r="X286" s="87" t="str">
        <x:v>CAMP/SUMMER</x:v>
      </x:c>
      <x:c r="Y286" s="87" t="str">
        <x:v>2026-09-28 master / roster context 2026-09-03+</x:v>
      </x:c>
      <x:c r="Z286" s="72" t="str">
        <x:v>https://github.com/A-V29/NBA.Rosters/blob/main/2026.Summer.League.json</x:v>
      </x:c>
      <x:c r="AA286" s="72" t="str">
        <x:v>https://github.com/ballacademy/NBA-head-to-head-/blob/5b1decfc31ffb645469c7ffbd01aaca4b18181bd/data/nba-stats/nba-player-stats-202526-regular-season-per-game.csv</x:v>
      </x:c>
    </x:row>
    <x:row r="287" ht="21" customHeight="1">
      <x:c r="A287" s="64" t="n">
        <x:v>282</x:v>
      </x:c>
      <x:c r="B287" s="59" t="str">
        <x:v>Hannes Steinbach</x:v>
      </x:c>
      <x:c r="C287" s="65" t="str">
        <x:v>CHA</x:v>
      </x:c>
      <x:c r="D287" s="65" t="str">
        <x:v>C</x:v>
      </x:c>
      <x:c r="E287" s="65" t="str">
        <x:v>FC</x:v>
      </x:c>
      <x:c r="F287" s="66"/>
      <x:c r="G287" s="67"/>
      <x:c r="H287" s="67" t="n">
        <x:v>11.844999999999999</x:v>
      </x:c>
      <x:c r="I287" s="67" t="n">
        <x:v>21.055</x:v>
      </x:c>
      <x:c r="J287" s="67" t="n">
        <x:v>55</x:v>
      </x:c>
      <x:c r="K287" s="67" t="str">
        <x:v>VERY_DEEP</x:v>
      </x:c>
      <x:c r="L287" s="67" t="n">
        <x:v>16.45</x:v>
      </x:c>
      <x:c r="M287" s="68" t="n">
        <x:v>904.75</x:v>
      </x:c>
      <x:c r="N287" s="69" t="str">
        <x:v>Available</x:v>
      </x:c>
      <x:c r="O287" s="62" t="str">
        <x:v>Rookie/depth role estimate with a wide band and limited NBA evidence. Treat as a watch-list projection, not a published forecast.</x:v>
      </x:c>
      <x:c r="P287" s="60"/>
      <x:c r="Q287" s="60"/>
      <x:c r="R287" s="60" t="n">
        <x:v>16.45</x:v>
      </x:c>
      <x:c r="S287" s="60" t="n">
        <x:v>0</x:v>
      </x:c>
      <x:c r="T287" s="72" t="str">
        <x:v>https://github.com/A-V29/NBA.Rosters/blob/main/2026.Summer.League.json</x:v>
      </x:c>
      <x:c r="U287" s="87" t="str">
        <x:v>DEEP</x:v>
      </x:c>
      <x:c r="V287" s="87" t="str">
        <x:v>MEDIUM</x:v>
      </x:c>
      <x:c r="W287" s="87" t="str">
        <x:v>MODEL-ROOKIE</x:v>
      </x:c>
      <x:c r="X287" s="87" t="str">
        <x:v>CAMP/SUMMER</x:v>
      </x:c>
      <x:c r="Y287" s="87" t="str">
        <x:v>2026-09-28 master / roster context 2026-09-03+</x:v>
      </x:c>
      <x:c r="Z287" s="72" t="str">
        <x:v>https://github.com/A-V29/NBA.Rosters/blob/main/2026.Summer.League.json</x:v>
      </x:c>
      <x:c r="AA287" s="72" t="str">
        <x:v>https://github.com/ballacademy/NBA-head-to-head-/blob/5b1decfc31ffb645469c7ffbd01aaca4b18181bd/data/nba-stats/nba-player-stats-202526-regular-season-per-game.csv</x:v>
      </x:c>
    </x:row>
    <x:row r="288" ht="21" customHeight="1">
      <x:c r="A288" s="64" t="n">
        <x:v>283</x:v>
      </x:c>
      <x:c r="B288" s="59" t="str">
        <x:v>Daniss Jenkins</x:v>
      </x:c>
      <x:c r="C288" s="65" t="str">
        <x:v>DET</x:v>
      </x:c>
      <x:c r="D288" s="65" t="str">
        <x:v>PG</x:v>
      </x:c>
      <x:c r="E288" s="65" t="str">
        <x:v>G</x:v>
      </x:c>
      <x:c r="F288" s="66" t="n">
        <x:v>72</x:v>
      </x:c>
      <x:c r="G288" s="67" t="n">
        <x:v>18.85</x:v>
      </x:c>
      <x:c r="H288" s="67" t="n">
        <x:v>12.809999999999999</x:v>
      </x:c>
      <x:c r="I288" s="67" t="n">
        <x:v>19.81</x:v>
      </x:c>
      <x:c r="J288" s="67" t="n">
        <x:v>60</x:v>
      </x:c>
      <x:c r="K288" s="67" t="str">
        <x:v>DEEP</x:v>
      </x:c>
      <x:c r="L288" s="67" t="n">
        <x:v>16.31</x:v>
      </x:c>
      <x:c r="M288" s="68" t="n">
        <x:v>978.5999999999999</x:v>
      </x:c>
      <x:c r="N288" s="69" t="str">
        <x:v>Available</x:v>
      </x:c>
      <x:c r="O288" s="62" t="str">
        <x:v>Deep-pool model: 2025-26 custom-score production shrunk toward a conservative 2026-27 role estimate; not a published projection.</x:v>
      </x:c>
      <x:c r="P288" s="60"/>
      <x:c r="Q288" s="60"/>
      <x:c r="R288" s="60" t="n">
        <x:v>16.31</x:v>
      </x:c>
      <x:c r="S288" s="60" t="n">
        <x:v>0</x:v>
      </x:c>
      <x:c r="T288" s="72" t="str">
        <x:v>https://github.com/plourr03/wolves-front-office/blob/5d152a169188fb9b210186a7a0d3403d4081ed38/kuminga/data/roster_snapshot_2026_27_v3.csv</x:v>
      </x:c>
      <x:c r="U288" s="87" t="str">
        <x:v>DEEP</x:v>
      </x:c>
      <x:c r="V288" s="87" t="str">
        <x:v>HIGH</x:v>
      </x:c>
      <x:c r="W288" s="87" t="str">
        <x:v>MODEL</x:v>
      </x:c>
      <x:c r="X288" s="87" t="str">
        <x:v>STANDARD</x:v>
      </x:c>
      <x:c r="Y288" s="87" t="str">
        <x:v>2026-09-28 master / roster context 2026-09-03+</x:v>
      </x:c>
      <x:c r="Z288" s="72" t="str">
        <x:v>https://github.com/plourr03/wolves-front-office/blob/5d152a169188fb9b210186a7a0d3403d4081ed38/kuminga/data/roster_snapshot_2026_27_v3.csv</x:v>
      </x:c>
      <x:c r="AA288" s="72" t="str">
        <x:v>https://github.com/ballacademy/NBA-head-to-head-/blob/5b1decfc31ffb645469c7ffbd01aaca4b18181bd/data/nba-stats/nba-player-stats-202526-regular-season-per-game.csv</x:v>
      </x:c>
    </x:row>
    <x:row r="289" ht="21" customHeight="1">
      <x:c r="A289" s="64" t="n">
        <x:v>284</x:v>
      </x:c>
      <x:c r="B289" s="59" t="str">
        <x:v>Dailyn Swain</x:v>
      </x:c>
      <x:c r="C289" s="65" t="str">
        <x:v>CHI</x:v>
      </x:c>
      <x:c r="D289" s="65" t="str">
        <x:v>SF</x:v>
      </x:c>
      <x:c r="E289" s="65" t="str">
        <x:v>SF</x:v>
      </x:c>
      <x:c r="F289" s="66"/>
      <x:c r="G289" s="67"/>
      <x:c r="H289" s="67" t="n">
        <x:v>11.8</x:v>
      </x:c>
      <x:c r="I289" s="67" t="n">
        <x:v>20.98</x:v>
      </x:c>
      <x:c r="J289" s="67" t="n">
        <x:v>55</x:v>
      </x:c>
      <x:c r="K289" s="67" t="str">
        <x:v>VERY_DEEP</x:v>
      </x:c>
      <x:c r="L289" s="67" t="n">
        <x:v>16.39</x:v>
      </x:c>
      <x:c r="M289" s="68" t="n">
        <x:v>901.45</x:v>
      </x:c>
      <x:c r="N289" s="69" t="str">
        <x:v>Available</x:v>
      </x:c>
      <x:c r="O289" s="62" t="str">
        <x:v>Rookie/depth role estimate with a wide band and limited NBA evidence. Treat as a watch-list projection, not a published forecast.</x:v>
      </x:c>
      <x:c r="P289" s="60"/>
      <x:c r="Q289" s="60"/>
      <x:c r="R289" s="60" t="n">
        <x:v>16.39</x:v>
      </x:c>
      <x:c r="S289" s="60" t="n">
        <x:v>0</x:v>
      </x:c>
      <x:c r="T289" s="72" t="str">
        <x:v>https://github.com/A-V29/NBA.Rosters/blob/main/2026.Summer.League.json</x:v>
      </x:c>
      <x:c r="U289" s="87" t="str">
        <x:v>DEEP</x:v>
      </x:c>
      <x:c r="V289" s="87" t="str">
        <x:v>MEDIUM</x:v>
      </x:c>
      <x:c r="W289" s="87" t="str">
        <x:v>MODEL-ROOKIE</x:v>
      </x:c>
      <x:c r="X289" s="87" t="str">
        <x:v>CAMP/SUMMER</x:v>
      </x:c>
      <x:c r="Y289" s="87" t="str">
        <x:v>2026-09-28 master / roster context 2026-09-03+</x:v>
      </x:c>
      <x:c r="Z289" s="72" t="str">
        <x:v>https://github.com/A-V29/NBA.Rosters/blob/main/2026.Summer.League.json</x:v>
      </x:c>
      <x:c r="AA289" s="72" t="str">
        <x:v>https://github.com/ballacademy/NBA-head-to-head-/blob/5b1decfc31ffb645469c7ffbd01aaca4b18181bd/data/nba-stats/nba-player-stats-202526-regular-season-per-game.csv</x:v>
      </x:c>
    </x:row>
    <x:row r="290" ht="21" customHeight="1">
      <x:c r="A290" s="64" t="n">
        <x:v>285</x:v>
      </x:c>
      <x:c r="B290" s="59" t="str">
        <x:v>Terance Mann</x:v>
      </x:c>
      <x:c r="C290" s="65" t="str">
        <x:v>BKN</x:v>
      </x:c>
      <x:c r="D290" s="65" t="str">
        <x:v>SG</x:v>
      </x:c>
      <x:c r="E290" s="65" t="str">
        <x:v>SG</x:v>
      </x:c>
      <x:c r="F290" s="66" t="n">
        <x:v>63</x:v>
      </x:c>
      <x:c r="G290" s="67" t="n">
        <x:v>17.8</x:v>
      </x:c>
      <x:c r="H290" s="67" t="n">
        <x:v>12.73</x:v>
      </x:c>
      <x:c r="I290" s="67" t="n">
        <x:v>19.73</x:v>
      </x:c>
      <x:c r="J290" s="67" t="n">
        <x:v>60</x:v>
      </x:c>
      <x:c r="K290" s="67" t="str">
        <x:v>DEEP</x:v>
      </x:c>
      <x:c r="L290" s="67" t="n">
        <x:v>16.23</x:v>
      </x:c>
      <x:c r="M290" s="68" t="n">
        <x:v>973.8000000000001</x:v>
      </x:c>
      <x:c r="N290" s="69" t="str">
        <x:v>Available</x:v>
      </x:c>
      <x:c r="O290" s="62" t="str">
        <x:v>Deep-pool model: 2025-26 custom-score production shrunk toward a conservative 2026-27 role estimate; not a published projection.</x:v>
      </x:c>
      <x:c r="P290" s="60"/>
      <x:c r="Q290" s="60"/>
      <x:c r="R290" s="60" t="n">
        <x:v>16.23</x:v>
      </x:c>
      <x:c r="S290" s="60" t="n">
        <x:v>0</x:v>
      </x:c>
      <x:c r="T290" s="72" t="str">
        <x:v>https://github.com/plourr03/wolves-front-office/blob/5d152a169188fb9b210186a7a0d3403d4081ed38/kuminga/data/roster_snapshot_2026_27_v3.csv</x:v>
      </x:c>
      <x:c r="U290" s="87" t="str">
        <x:v>DEEP</x:v>
      </x:c>
      <x:c r="V290" s="87" t="str">
        <x:v>HIGH</x:v>
      </x:c>
      <x:c r="W290" s="87" t="str">
        <x:v>MODEL</x:v>
      </x:c>
      <x:c r="X290" s="87" t="str">
        <x:v>STANDARD</x:v>
      </x:c>
      <x:c r="Y290" s="87" t="str">
        <x:v>2026-09-28 master / roster context 2026-09-03+</x:v>
      </x:c>
      <x:c r="Z290" s="72" t="str">
        <x:v>https://github.com/plourr03/wolves-front-office/blob/5d152a169188fb9b210186a7a0d3403d4081ed38/kuminga/data/roster_snapshot_2026_27_v3.csv</x:v>
      </x:c>
      <x:c r="AA290" s="72" t="str">
        <x:v>https://github.com/ballacademy/NBA-head-to-head-/blob/5b1decfc31ffb645469c7ffbd01aaca4b18181bd/data/nba-stats/nba-player-stats-202526-regular-season-per-game.csv</x:v>
      </x:c>
    </x:row>
    <x:row r="291" ht="21" customHeight="1">
      <x:c r="A291" s="64" t="n">
        <x:v>286</x:v>
      </x:c>
      <x:c r="B291" s="59" t="str">
        <x:v>Bennett Stirtz</x:v>
      </x:c>
      <x:c r="C291" s="65" t="str">
        <x:v>OKC</x:v>
      </x:c>
      <x:c r="D291" s="65" t="str">
        <x:v>PG</x:v>
      </x:c>
      <x:c r="E291" s="65" t="str">
        <x:v>PG</x:v>
      </x:c>
      <x:c r="F291" s="66"/>
      <x:c r="G291" s="67"/>
      <x:c r="H291" s="67" t="n">
        <x:v>11.75</x:v>
      </x:c>
      <x:c r="I291" s="67" t="n">
        <x:v>20.89</x:v>
      </x:c>
      <x:c r="J291" s="67" t="n">
        <x:v>55</x:v>
      </x:c>
      <x:c r="K291" s="67" t="str">
        <x:v>VERY_DEEP</x:v>
      </x:c>
      <x:c r="L291" s="67" t="n">
        <x:v>16.32</x:v>
      </x:c>
      <x:c r="M291" s="68" t="n">
        <x:v>897.6</x:v>
      </x:c>
      <x:c r="N291" s="69" t="str">
        <x:v>Available</x:v>
      </x:c>
      <x:c r="O291" s="62" t="str">
        <x:v>Rookie/depth role estimate with a wide band and limited NBA evidence. Treat as a watch-list projection, not a published forecast.</x:v>
      </x:c>
      <x:c r="P291" s="60"/>
      <x:c r="Q291" s="60"/>
      <x:c r="R291" s="60" t="n">
        <x:v>16.32</x:v>
      </x:c>
      <x:c r="S291" s="60" t="n">
        <x:v>0</x:v>
      </x:c>
      <x:c r="T291" s="72" t="str">
        <x:v>https://github.com/A-V29/NBA.Rosters/blob/main/2026.Summer.League.json</x:v>
      </x:c>
      <x:c r="U291" s="87" t="str">
        <x:v>DEEP</x:v>
      </x:c>
      <x:c r="V291" s="87" t="str">
        <x:v>MEDIUM</x:v>
      </x:c>
      <x:c r="W291" s="87" t="str">
        <x:v>MODEL-ROOKIE</x:v>
      </x:c>
      <x:c r="X291" s="87" t="str">
        <x:v>CAMP/SUMMER</x:v>
      </x:c>
      <x:c r="Y291" s="87" t="str">
        <x:v>2026-09-28 master / roster context 2026-09-03+</x:v>
      </x:c>
      <x:c r="Z291" s="72" t="str">
        <x:v>https://github.com/A-V29/NBA.Rosters/blob/main/2026.Summer.League.json</x:v>
      </x:c>
      <x:c r="AA291" s="72" t="str">
        <x:v>https://github.com/ballacademy/NBA-head-to-head-/blob/5b1decfc31ffb645469c7ffbd01aaca4b18181bd/data/nba-stats/nba-player-stats-202526-regular-season-per-game.csv</x:v>
      </x:c>
    </x:row>
    <x:row r="292" ht="21" customHeight="1">
      <x:c r="A292" s="64" t="n">
        <x:v>287</x:v>
      </x:c>
      <x:c r="B292" s="59" t="str">
        <x:v>Ebuka Okorie</x:v>
      </x:c>
      <x:c r="C292" s="65" t="str">
        <x:v>DET</x:v>
      </x:c>
      <x:c r="D292" s="65" t="str">
        <x:v>PG</x:v>
      </x:c>
      <x:c r="E292" s="65" t="str">
        <x:v>PG</x:v>
      </x:c>
      <x:c r="F292" s="66"/>
      <x:c r="G292" s="67"/>
      <x:c r="H292" s="67" t="n">
        <x:v>11.695</x:v>
      </x:c>
      <x:c r="I292" s="67" t="n">
        <x:v>20.805</x:v>
      </x:c>
      <x:c r="J292" s="67" t="n">
        <x:v>55</x:v>
      </x:c>
      <x:c r="K292" s="67" t="str">
        <x:v>VERY_DEEP</x:v>
      </x:c>
      <x:c r="L292" s="67" t="n">
        <x:v>16.25</x:v>
      </x:c>
      <x:c r="M292" s="68" t="n">
        <x:v>893.75</x:v>
      </x:c>
      <x:c r="N292" s="69" t="str">
        <x:v>Available</x:v>
      </x:c>
      <x:c r="O292" s="62" t="str">
        <x:v>Rookie/depth role estimate with a wide band and limited NBA evidence. Treat as a watch-list projection, not a published forecast.</x:v>
      </x:c>
      <x:c r="P292" s="60"/>
      <x:c r="Q292" s="60"/>
      <x:c r="R292" s="60" t="n">
        <x:v>16.25</x:v>
      </x:c>
      <x:c r="S292" s="60" t="n">
        <x:v>0</x:v>
      </x:c>
      <x:c r="T292" s="72" t="str">
        <x:v>https://github.com/A-V29/NBA.Rosters/blob/main/2026.Summer.League.json</x:v>
      </x:c>
      <x:c r="U292" s="87" t="str">
        <x:v>DEEP</x:v>
      </x:c>
      <x:c r="V292" s="87" t="str">
        <x:v>MEDIUM</x:v>
      </x:c>
      <x:c r="W292" s="87" t="str">
        <x:v>MODEL-ROOKIE</x:v>
      </x:c>
      <x:c r="X292" s="87" t="str">
        <x:v>CAMP/SUMMER</x:v>
      </x:c>
      <x:c r="Y292" s="87" t="str">
        <x:v>2026-09-28 master / roster context 2026-09-03+</x:v>
      </x:c>
      <x:c r="Z292" s="72" t="str">
        <x:v>https://github.com/A-V29/NBA.Rosters/blob/main/2026.Summer.League.json</x:v>
      </x:c>
      <x:c r="AA292" s="72" t="str">
        <x:v>https://github.com/ballacademy/NBA-head-to-head-/blob/5b1decfc31ffb645469c7ffbd01aaca4b18181bd/data/nba-stats/nba-player-stats-202526-regular-season-per-game.csv</x:v>
      </x:c>
    </x:row>
    <x:row r="293" ht="21" customHeight="1">
      <x:c r="A293" s="64" t="n">
        <x:v>288</x:v>
      </x:c>
      <x:c r="B293" s="59" t="str">
        <x:v>Scotty Pippen Jr.</x:v>
      </x:c>
      <x:c r="C293" s="65" t="str">
        <x:v>MEM</x:v>
      </x:c>
      <x:c r="D293" s="65" t="str">
        <x:v>PG</x:v>
      </x:c>
      <x:c r="E293" s="65" t="str">
        <x:v>PG</x:v>
      </x:c>
      <x:c r="F293" s="66" t="n">
        <x:v>10</x:v>
      </x:c>
      <x:c r="G293" s="67" t="n">
        <x:v>22.55</x:v>
      </x:c>
      <x:c r="H293" s="67" t="n">
        <x:v>11.555000000000001</x:v>
      </x:c>
      <x:c r="I293" s="67" t="n">
        <x:v>20.545</x:v>
      </x:c>
      <x:c r="J293" s="67" t="n">
        <x:v>60</x:v>
      </x:c>
      <x:c r="K293" s="67" t="str">
        <x:v>VERY_DEEP</x:v>
      </x:c>
      <x:c r="L293" s="67" t="n">
        <x:v>16.05</x:v>
      </x:c>
      <x:c r="M293" s="68" t="n">
        <x:v>963</x:v>
      </x:c>
      <x:c r="N293" s="69" t="str">
        <x:v>Available</x:v>
      </x:c>
      <x:c r="O293" s="62" t="str">
        <x:v>Very-deep model estimate with limited sample/role certainty. Use as a search/watch-list value and refresh once final rotations are known.</x:v>
      </x:c>
      <x:c r="P293" s="60"/>
      <x:c r="Q293" s="60"/>
      <x:c r="R293" s="60" t="n">
        <x:v>16.05</x:v>
      </x:c>
      <x:c r="S293" s="60" t="n">
        <x:v>0</x:v>
      </x:c>
      <x:c r="T293" s="72" t="str">
        <x:v>https://github.com/plourr03/wolves-front-office/blob/5d152a169188fb9b210186a7a0d3403d4081ed38/kuminga/data/roster_snapshot_2026_27_v3.csv</x:v>
      </x:c>
      <x:c r="U293" s="87" t="str">
        <x:v>DEEP</x:v>
      </x:c>
      <x:c r="V293" s="87" t="str">
        <x:v>MEDIUM</x:v>
      </x:c>
      <x:c r="W293" s="87" t="str">
        <x:v>MODEL</x:v>
      </x:c>
      <x:c r="X293" s="87" t="str">
        <x:v>STANDARD</x:v>
      </x:c>
      <x:c r="Y293" s="87" t="str">
        <x:v>2026-09-28 master / roster context 2026-09-03+</x:v>
      </x:c>
      <x:c r="Z293" s="72" t="str">
        <x:v>https://github.com/plourr03/wolves-front-office/blob/5d152a169188fb9b210186a7a0d3403d4081ed38/kuminga/data/roster_snapshot_2026_27_v3.csv</x:v>
      </x:c>
      <x:c r="AA293" s="72" t="str">
        <x:v>https://github.com/ballacademy/NBA-head-to-head-/blob/5b1decfc31ffb645469c7ffbd01aaca4b18181bd/data/nba-stats/nba-player-stats-202526-regular-season-per-game.csv</x:v>
      </x:c>
    </x:row>
    <x:row r="294" ht="21" customHeight="1">
      <x:c r="A294" s="64" t="n">
        <x:v>289</x:v>
      </x:c>
      <x:c r="B294" s="59" t="str">
        <x:v>Allen Graves</x:v>
      </x:c>
      <x:c r="C294" s="65" t="str">
        <x:v>TOR</x:v>
      </x:c>
      <x:c r="D294" s="65" t="str">
        <x:v>PF</x:v>
      </x:c>
      <x:c r="E294" s="65" t="str">
        <x:v>F</x:v>
      </x:c>
      <x:c r="F294" s="66"/>
      <x:c r="G294" s="67"/>
      <x:c r="H294" s="67" t="n">
        <x:v>11.614999999999998</x:v>
      </x:c>
      <x:c r="I294" s="67" t="n">
        <x:v>20.645</x:v>
      </x:c>
      <x:c r="J294" s="67" t="n">
        <x:v>55</x:v>
      </x:c>
      <x:c r="K294" s="67" t="str">
        <x:v>VERY_DEEP</x:v>
      </x:c>
      <x:c r="L294" s="67" t="n">
        <x:v>16.13</x:v>
      </x:c>
      <x:c r="M294" s="68" t="n">
        <x:v>887.15</x:v>
      </x:c>
      <x:c r="N294" s="69" t="str">
        <x:v>Available</x:v>
      </x:c>
      <x:c r="O294" s="62" t="str">
        <x:v>Rookie/depth role estimate with a wide band and limited NBA evidence. Treat as a watch-list projection, not a published forecast.</x:v>
      </x:c>
      <x:c r="P294" s="60"/>
      <x:c r="Q294" s="60"/>
      <x:c r="R294" s="60" t="n">
        <x:v>16.13</x:v>
      </x:c>
      <x:c r="S294" s="60" t="n">
        <x:v>0</x:v>
      </x:c>
      <x:c r="T294" s="72" t="str">
        <x:v>https://github.com/A-V29/NBA.Rosters/blob/main/2026.Summer.League.json</x:v>
      </x:c>
      <x:c r="U294" s="87" t="str">
        <x:v>DEEP</x:v>
      </x:c>
      <x:c r="V294" s="87" t="str">
        <x:v>MEDIUM</x:v>
      </x:c>
      <x:c r="W294" s="87" t="str">
        <x:v>MODEL-ROOKIE</x:v>
      </x:c>
      <x:c r="X294" s="87" t="str">
        <x:v>CAMP/SUMMER</x:v>
      </x:c>
      <x:c r="Y294" s="87" t="str">
        <x:v>2026-09-28 master / roster context 2026-09-03+</x:v>
      </x:c>
      <x:c r="Z294" s="72" t="str">
        <x:v>https://github.com/A-V29/NBA.Rosters/blob/main/2026.Summer.League.json</x:v>
      </x:c>
      <x:c r="AA294" s="72" t="str">
        <x:v>https://github.com/ballacademy/NBA-head-to-head-/blob/5b1decfc31ffb645469c7ffbd01aaca4b18181bd/data/nba-stats/nba-player-stats-202526-regular-season-per-game.csv</x:v>
      </x:c>
    </x:row>
    <x:row r="295" ht="21" customHeight="1">
      <x:c r="A295" s="64" t="n">
        <x:v>290</x:v>
      </x:c>
      <x:c r="B295" s="59" t="str">
        <x:v>Jayden Quaintance</x:v>
      </x:c>
      <x:c r="C295" s="65" t="str">
        <x:v>SAS</x:v>
      </x:c>
      <x:c r="D295" s="65" t="str">
        <x:v>C</x:v>
      </x:c>
      <x:c r="E295" s="65" t="str">
        <x:v>FC</x:v>
      </x:c>
      <x:c r="F295" s="66"/>
      <x:c r="G295" s="67"/>
      <x:c r="H295" s="67" t="n">
        <x:v>11.57</x:v>
      </x:c>
      <x:c r="I295" s="67" t="n">
        <x:v>20.57</x:v>
      </x:c>
      <x:c r="J295" s="67" t="n">
        <x:v>55</x:v>
      </x:c>
      <x:c r="K295" s="67" t="str">
        <x:v>VERY_DEEP</x:v>
      </x:c>
      <x:c r="L295" s="67" t="n">
        <x:v>16.07</x:v>
      </x:c>
      <x:c r="M295" s="68" t="n">
        <x:v>883.85</x:v>
      </x:c>
      <x:c r="N295" s="69" t="str">
        <x:v>Available</x:v>
      </x:c>
      <x:c r="O295" s="62" t="str">
        <x:v>Rookie/depth role estimate with a wide band and limited NBA evidence. Treat as a watch-list projection, not a published forecast.</x:v>
      </x:c>
      <x:c r="P295" s="60"/>
      <x:c r="Q295" s="60"/>
      <x:c r="R295" s="60" t="n">
        <x:v>16.07</x:v>
      </x:c>
      <x:c r="S295" s="60" t="n">
        <x:v>0</x:v>
      </x:c>
      <x:c r="T295" s="72" t="str">
        <x:v>https://github.com/A-V29/NBA.Rosters/blob/main/2026.Summer.League.json</x:v>
      </x:c>
      <x:c r="U295" s="87" t="str">
        <x:v>DEEP</x:v>
      </x:c>
      <x:c r="V295" s="87" t="str">
        <x:v>MEDIUM</x:v>
      </x:c>
      <x:c r="W295" s="87" t="str">
        <x:v>MODEL-ROOKIE</x:v>
      </x:c>
      <x:c r="X295" s="87" t="str">
        <x:v>CAMP/SUMMER</x:v>
      </x:c>
      <x:c r="Y295" s="87" t="str">
        <x:v>2026-09-28 master / roster context 2026-09-03+</x:v>
      </x:c>
      <x:c r="Z295" s="72" t="str">
        <x:v>https://github.com/A-V29/NBA.Rosters/blob/main/2026.Summer.League.json</x:v>
      </x:c>
      <x:c r="AA295" s="72" t="str">
        <x:v>https://github.com/ballacademy/NBA-head-to-head-/blob/5b1decfc31ffb645469c7ffbd01aaca4b18181bd/data/nba-stats/nba-player-stats-202526-regular-season-per-game.csv</x:v>
      </x:c>
    </x:row>
    <x:row r="296" ht="21" customHeight="1">
      <x:c r="A296" s="64" t="n">
        <x:v>291</x:v>
      </x:c>
      <x:c r="B296" s="59" t="str">
        <x:v>Karim Lopez</x:v>
      </x:c>
      <x:c r="C296" s="65" t="str">
        <x:v>MEM</x:v>
      </x:c>
      <x:c r="D296" s="65" t="str">
        <x:v>PF</x:v>
      </x:c>
      <x:c r="E296" s="65" t="str">
        <x:v>F</x:v>
      </x:c>
      <x:c r="F296" s="66"/>
      <x:c r="G296" s="67"/>
      <x:c r="H296" s="67" t="n">
        <x:v>11.534999999999998</x:v>
      </x:c>
      <x:c r="I296" s="67" t="n">
        <x:v>20.505000000000003</x:v>
      </x:c>
      <x:c r="J296" s="67" t="n">
        <x:v>55</x:v>
      </x:c>
      <x:c r="K296" s="67" t="str">
        <x:v>VERY_DEEP</x:v>
      </x:c>
      <x:c r="L296" s="67" t="n">
        <x:v>16.02</x:v>
      </x:c>
      <x:c r="M296" s="68" t="n">
        <x:v>881.1</x:v>
      </x:c>
      <x:c r="N296" s="69" t="str">
        <x:v>Available</x:v>
      </x:c>
      <x:c r="O296" s="62" t="str">
        <x:v>Rookie/depth role estimate with a wide band and limited NBA evidence. Treat as a watch-list projection, not a published forecast.</x:v>
      </x:c>
      <x:c r="P296" s="60"/>
      <x:c r="Q296" s="60"/>
      <x:c r="R296" s="60" t="n">
        <x:v>16.02</x:v>
      </x:c>
      <x:c r="S296" s="60" t="n">
        <x:v>0</x:v>
      </x:c>
      <x:c r="T296" s="72" t="str">
        <x:v>https://github.com/A-V29/NBA.Rosters/blob/main/2026.Summer.League.json</x:v>
      </x:c>
      <x:c r="U296" s="87" t="str">
        <x:v>DEEP</x:v>
      </x:c>
      <x:c r="V296" s="87" t="str">
        <x:v>MEDIUM</x:v>
      </x:c>
      <x:c r="W296" s="87" t="str">
        <x:v>MODEL-ROOKIE</x:v>
      </x:c>
      <x:c r="X296" s="87" t="str">
        <x:v>CAMP/SUMMER</x:v>
      </x:c>
      <x:c r="Y296" s="87" t="str">
        <x:v>2026-09-28 master / roster context 2026-09-03+</x:v>
      </x:c>
      <x:c r="Z296" s="72" t="str">
        <x:v>https://github.com/A-V29/NBA.Rosters/blob/main/2026.Summer.League.json</x:v>
      </x:c>
      <x:c r="AA296" s="72" t="str">
        <x:v>https://github.com/ballacademy/NBA-head-to-head-/blob/5b1decfc31ffb645469c7ffbd01aaca4b18181bd/data/nba-stats/nba-player-stats-202526-regular-season-per-game.csv</x:v>
      </x:c>
    </x:row>
    <x:row r="297" ht="21" customHeight="1">
      <x:c r="A297" s="64" t="n">
        <x:v>292</x:v>
      </x:c>
      <x:c r="B297" s="59" t="str">
        <x:v>Labaron Philon Jr.</x:v>
      </x:c>
      <x:c r="C297" s="65" t="str">
        <x:v>PHI</x:v>
      </x:c>
      <x:c r="D297" s="65" t="str">
        <x:v>PG</x:v>
      </x:c>
      <x:c r="E297" s="65" t="str">
        <x:v>PG</x:v>
      </x:c>
      <x:c r="F297" s="66"/>
      <x:c r="G297" s="67"/>
      <x:c r="H297" s="67" t="n">
        <x:v>11.5</x:v>
      </x:c>
      <x:c r="I297" s="67" t="n">
        <x:v>20.44</x:v>
      </x:c>
      <x:c r="J297" s="67" t="n">
        <x:v>55</x:v>
      </x:c>
      <x:c r="K297" s="67" t="str">
        <x:v>VERY_DEEP</x:v>
      </x:c>
      <x:c r="L297" s="67" t="n">
        <x:v>15.97</x:v>
      </x:c>
      <x:c r="M297" s="68" t="n">
        <x:v>878.35</x:v>
      </x:c>
      <x:c r="N297" s="69" t="str">
        <x:v>Available</x:v>
      </x:c>
      <x:c r="O297" s="62" t="str">
        <x:v>Rookie/depth role estimate with a wide band and limited NBA evidence. Treat as a watch-list projection, not a published forecast.</x:v>
      </x:c>
      <x:c r="P297" s="60"/>
      <x:c r="Q297" s="60"/>
      <x:c r="R297" s="60" t="n">
        <x:v>15.97</x:v>
      </x:c>
      <x:c r="S297" s="60" t="n">
        <x:v>0</x:v>
      </x:c>
      <x:c r="T297" s="72" t="str">
        <x:v>https://github.com/A-V29/NBA.Rosters/blob/main/2026.Summer.League.json</x:v>
      </x:c>
      <x:c r="U297" s="87" t="str">
        <x:v>DEEP</x:v>
      </x:c>
      <x:c r="V297" s="87" t="str">
        <x:v>MEDIUM</x:v>
      </x:c>
      <x:c r="W297" s="87" t="str">
        <x:v>MODEL-ROOKIE</x:v>
      </x:c>
      <x:c r="X297" s="87" t="str">
        <x:v>CAMP/SUMMER</x:v>
      </x:c>
      <x:c r="Y297" s="87" t="str">
        <x:v>2026-09-28 master / roster context 2026-09-03+</x:v>
      </x:c>
      <x:c r="Z297" s="72" t="str">
        <x:v>https://github.com/A-V29/NBA.Rosters/blob/main/2026.Summer.League.json</x:v>
      </x:c>
      <x:c r="AA297" s="72" t="str">
        <x:v>https://github.com/ballacademy/NBA-head-to-head-/blob/5b1decfc31ffb645469c7ffbd01aaca4b18181bd/data/nba-stats/nba-player-stats-202526-regular-season-per-game.csv</x:v>
      </x:c>
    </x:row>
    <x:row r="298" ht="21" customHeight="1">
      <x:c r="A298" s="64" t="n">
        <x:v>293</x:v>
      </x:c>
      <x:c r="B298" s="59" t="str">
        <x:v>Ziaire Williams</x:v>
      </x:c>
      <x:c r="C298" s="65" t="str">
        <x:v>LAL</x:v>
      </x:c>
      <x:c r="D298" s="65" t="str">
        <x:v>SF</x:v>
      </x:c>
      <x:c r="E298" s="65" t="str">
        <x:v>SF</x:v>
      </x:c>
      <x:c r="F298" s="66" t="n">
        <x:v>56</x:v>
      </x:c>
      <x:c r="G298" s="67" t="n">
        <x:v>18.55</x:v>
      </x:c>
      <x:c r="H298" s="67" t="n">
        <x:v>12.29</x:v>
      </x:c>
      <x:c r="I298" s="67" t="n">
        <x:v>19.29</x:v>
      </x:c>
      <x:c r="J298" s="67" t="n">
        <x:v>60</x:v>
      </x:c>
      <x:c r="K298" s="67" t="str">
        <x:v>DEEP</x:v>
      </x:c>
      <x:c r="L298" s="67" t="n">
        <x:v>15.79</x:v>
      </x:c>
      <x:c r="M298" s="68" t="n">
        <x:v>947.4</x:v>
      </x:c>
      <x:c r="N298" s="69" t="str">
        <x:v>Available</x:v>
      </x:c>
      <x:c r="O298" s="62" t="str">
        <x:v>Deep-pool model: 2025-26 custom-score production shrunk toward a conservative 2026-27 role estimate; not a published projection.</x:v>
      </x:c>
      <x:c r="P298" s="60"/>
      <x:c r="Q298" s="60"/>
      <x:c r="R298" s="60" t="n">
        <x:v>15.79</x:v>
      </x:c>
      <x:c r="S298" s="60" t="n">
        <x:v>0</x:v>
      </x:c>
      <x:c r="T298" s="72" t="str">
        <x:v>https://github.com/plourr03/wolves-front-office/blob/5d152a169188fb9b210186a7a0d3403d4081ed38/kuminga/data/roster_snapshot_2026_27_v3.csv</x:v>
      </x:c>
      <x:c r="U298" s="87" t="str">
        <x:v>DEEP</x:v>
      </x:c>
      <x:c r="V298" s="87" t="str">
        <x:v>HIGH</x:v>
      </x:c>
      <x:c r="W298" s="87" t="str">
        <x:v>MODEL</x:v>
      </x:c>
      <x:c r="X298" s="87" t="str">
        <x:v>STANDARD</x:v>
      </x:c>
      <x:c r="Y298" s="87" t="str">
        <x:v>2026-09-28 master / roster context 2026-09-03+</x:v>
      </x:c>
      <x:c r="Z298" s="72" t="str">
        <x:v>https://github.com/plourr03/wolves-front-office/blob/5d152a169188fb9b210186a7a0d3403d4081ed38/kuminga/data/roster_snapshot_2026_27_v3.csv</x:v>
      </x:c>
      <x:c r="AA298" s="72" t="str">
        <x:v>https://github.com/ballacademy/NBA-head-to-head-/blob/5b1decfc31ffb645469c7ffbd01aaca4b18181bd/data/nba-stats/nba-player-stats-202526-regular-season-per-game.csv</x:v>
      </x:c>
    </x:row>
    <x:row r="299" ht="21" customHeight="1">
      <x:c r="A299" s="64" t="n">
        <x:v>294</x:v>
      </x:c>
      <x:c r="B299" s="59" t="str">
        <x:v>Zuby Ejiofor</x:v>
      </x:c>
      <x:c r="C299" s="65" t="str">
        <x:v>ATL</x:v>
      </x:c>
      <x:c r="D299" s="65" t="str">
        <x:v>C</x:v>
      </x:c>
      <x:c r="E299" s="65" t="str">
        <x:v>FC</x:v>
      </x:c>
      <x:c r="F299" s="66"/>
      <x:c r="G299" s="67"/>
      <x:c r="H299" s="67" t="n">
        <x:v>11.455</x:v>
      </x:c>
      <x:c r="I299" s="67" t="n">
        <x:v>20.365000000000002</x:v>
      </x:c>
      <x:c r="J299" s="67" t="n">
        <x:v>55</x:v>
      </x:c>
      <x:c r="K299" s="67" t="str">
        <x:v>VERY_DEEP</x:v>
      </x:c>
      <x:c r="L299" s="67" t="n">
        <x:v>15.91</x:v>
      </x:c>
      <x:c r="M299" s="68" t="n">
        <x:v>875.05</x:v>
      </x:c>
      <x:c r="N299" s="69" t="str">
        <x:v>Available</x:v>
      </x:c>
      <x:c r="O299" s="62" t="str">
        <x:v>Rookie/depth role estimate with a wide band and limited NBA evidence. Treat as a watch-list projection, not a published forecast.</x:v>
      </x:c>
      <x:c r="P299" s="60"/>
      <x:c r="Q299" s="60"/>
      <x:c r="R299" s="60" t="n">
        <x:v>15.91</x:v>
      </x:c>
      <x:c r="S299" s="60" t="n">
        <x:v>0</x:v>
      </x:c>
      <x:c r="T299" s="72" t="str">
        <x:v>https://github.com/A-V29/NBA.Rosters/blob/main/2026.Summer.League.json</x:v>
      </x:c>
      <x:c r="U299" s="87" t="str">
        <x:v>DEEP</x:v>
      </x:c>
      <x:c r="V299" s="87" t="str">
        <x:v>MEDIUM</x:v>
      </x:c>
      <x:c r="W299" s="87" t="str">
        <x:v>MODEL-ROOKIE</x:v>
      </x:c>
      <x:c r="X299" s="87" t="str">
        <x:v>CAMP/SUMMER</x:v>
      </x:c>
      <x:c r="Y299" s="87" t="str">
        <x:v>2026-09-28 master / roster context 2026-09-03+</x:v>
      </x:c>
      <x:c r="Z299" s="72" t="str">
        <x:v>https://github.com/A-V29/NBA.Rosters/blob/main/2026.Summer.League.json</x:v>
      </x:c>
      <x:c r="AA299" s="72" t="str">
        <x:v>https://github.com/ballacademy/NBA-head-to-head-/blob/5b1decfc31ffb645469c7ffbd01aaca4b18181bd/data/nba-stats/nba-player-stats-202526-regular-season-per-game.csv</x:v>
      </x:c>
    </x:row>
    <x:row r="300" ht="21" customHeight="1">
      <x:c r="A300" s="64" t="n">
        <x:v>295</x:v>
      </x:c>
      <x:c r="B300" s="59" t="str">
        <x:v>Taylor Hendricks</x:v>
      </x:c>
      <x:c r="C300" s="65" t="str">
        <x:v>MEM</x:v>
      </x:c>
      <x:c r="D300" s="65" t="str">
        <x:v>PF</x:v>
      </x:c>
      <x:c r="E300" s="65" t="str">
        <x:v>F</x:v>
      </x:c>
      <x:c r="F300" s="66" t="n">
        <x:v>59</x:v>
      </x:c>
      <x:c r="G300" s="67" t="n">
        <x:v>16.5</x:v>
      </x:c>
      <x:c r="H300" s="67" t="n">
        <x:v>12.09</x:v>
      </x:c>
      <x:c r="I300" s="67" t="n">
        <x:v>19.09</x:v>
      </x:c>
      <x:c r="J300" s="67" t="n">
        <x:v>64</x:v>
      </x:c>
      <x:c r="K300" s="67" t="str">
        <x:v>DEEP</x:v>
      </x:c>
      <x:c r="L300" s="67" t="n">
        <x:v>15.59</x:v>
      </x:c>
      <x:c r="M300" s="68" t="n">
        <x:v>997.76</x:v>
      </x:c>
      <x:c r="N300" s="69" t="str">
        <x:v>Available</x:v>
      </x:c>
      <x:c r="O300" s="62" t="str">
        <x:v>Deep-pool model: 2025-26 custom-score production shrunk toward a conservative 2026-27 role estimate; not a published projection.</x:v>
      </x:c>
      <x:c r="P300" s="60"/>
      <x:c r="Q300" s="60"/>
      <x:c r="R300" s="60" t="n">
        <x:v>15.59</x:v>
      </x:c>
      <x:c r="S300" s="60" t="n">
        <x:v>0</x:v>
      </x:c>
      <x:c r="T300" s="72" t="str">
        <x:v>https://github.com/A-V29/NBA.Rosters/blob/main/2026.Summer.League.json</x:v>
      </x:c>
      <x:c r="U300" s="87" t="str">
        <x:v>DEEP</x:v>
      </x:c>
      <x:c r="V300" s="87" t="str">
        <x:v>HIGH</x:v>
      </x:c>
      <x:c r="W300" s="87" t="str">
        <x:v>MODEL</x:v>
      </x:c>
      <x:c r="X300" s="87" t="str">
        <x:v>CAMP/SUMMER</x:v>
      </x:c>
      <x:c r="Y300" s="87" t="str">
        <x:v>2026-09-28 master / roster context 2026-09-03+</x:v>
      </x:c>
      <x:c r="Z300" s="72" t="str">
        <x:v>https://github.com/A-V29/NBA.Rosters/blob/main/2026.Summer.League.json</x:v>
      </x:c>
      <x:c r="AA300" s="72" t="str">
        <x:v>https://github.com/ballacademy/NBA-head-to-head-/blob/5b1decfc31ffb645469c7ffbd01aaca4b18181bd/data/nba-stats/nba-player-stats-202526-regular-season-per-game.csv</x:v>
      </x:c>
    </x:row>
    <x:row r="301" ht="21" customHeight="1">
      <x:c r="A301" s="64" t="n">
        <x:v>296</x:v>
      </x:c>
      <x:c r="B301" s="59" t="str">
        <x:v>Cameron Carr</x:v>
      </x:c>
      <x:c r="C301" s="65" t="str">
        <x:v>LAL</x:v>
      </x:c>
      <x:c r="D301" s="65" t="str">
        <x:v>SG</x:v>
      </x:c>
      <x:c r="E301" s="65" t="str">
        <x:v>SG</x:v>
      </x:c>
      <x:c r="F301" s="66"/>
      <x:c r="G301" s="67"/>
      <x:c r="H301" s="67" t="n">
        <x:v>11.419999999999998</x:v>
      </x:c>
      <x:c r="I301" s="67" t="n">
        <x:v>20.3</x:v>
      </x:c>
      <x:c r="J301" s="67" t="n">
        <x:v>55</x:v>
      </x:c>
      <x:c r="K301" s="67" t="str">
        <x:v>VERY_DEEP</x:v>
      </x:c>
      <x:c r="L301" s="67" t="n">
        <x:v>15.86</x:v>
      </x:c>
      <x:c r="M301" s="68" t="n">
        <x:v>872.3</x:v>
      </x:c>
      <x:c r="N301" s="69" t="str">
        <x:v>Available</x:v>
      </x:c>
      <x:c r="O301" s="62" t="str">
        <x:v>Rookie/depth role estimate with a wide band and limited NBA evidence. Treat as a watch-list projection, not a published forecast.</x:v>
      </x:c>
      <x:c r="P301" s="60"/>
      <x:c r="Q301" s="60"/>
      <x:c r="R301" s="60" t="n">
        <x:v>15.86</x:v>
      </x:c>
      <x:c r="S301" s="60" t="n">
        <x:v>0</x:v>
      </x:c>
      <x:c r="T301" s="72" t="str">
        <x:v>https://github.com/A-V29/NBA.Rosters/blob/main/2026.Summer.League.json</x:v>
      </x:c>
      <x:c r="U301" s="87" t="str">
        <x:v>DEEP</x:v>
      </x:c>
      <x:c r="V301" s="87" t="str">
        <x:v>MEDIUM</x:v>
      </x:c>
      <x:c r="W301" s="87" t="str">
        <x:v>MODEL-ROOKIE</x:v>
      </x:c>
      <x:c r="X301" s="87" t="str">
        <x:v>CAMP/SUMMER</x:v>
      </x:c>
      <x:c r="Y301" s="87" t="str">
        <x:v>2026-09-28 master / roster context 2026-09-03+</x:v>
      </x:c>
      <x:c r="Z301" s="72" t="str">
        <x:v>https://github.com/A-V29/NBA.Rosters/blob/main/2026.Summer.League.json</x:v>
      </x:c>
      <x:c r="AA301" s="72" t="str">
        <x:v>https://github.com/ballacademy/NBA-head-to-head-/blob/5b1decfc31ffb645469c7ffbd01aaca4b18181bd/data/nba-stats/nba-player-stats-202526-regular-season-per-game.csv</x:v>
      </x:c>
    </x:row>
    <x:row r="302" ht="21" customHeight="1">
      <x:c r="A302" s="64" t="n">
        <x:v>297</x:v>
      </x:c>
      <x:c r="B302" s="59" t="str">
        <x:v>Kadary Richmond</x:v>
      </x:c>
      <x:c r="C302" s="65" t="str">
        <x:v>WAS</x:v>
      </x:c>
      <x:c r="D302" s="65" t="str">
        <x:v>SG</x:v>
      </x:c>
      <x:c r="E302" s="65" t="str">
        <x:v>SG</x:v>
      </x:c>
      <x:c r="F302" s="66" t="n">
        <x:v>3</x:v>
      </x:c>
      <x:c r="G302" s="67" t="n">
        <x:v>23.7</x:v>
      </x:c>
      <x:c r="H302" s="67" t="n">
        <x:v>11.21</x:v>
      </x:c>
      <x:c r="I302" s="67" t="n">
        <x:v>19.93</x:v>
      </x:c>
      <x:c r="J302" s="67" t="n">
        <x:v>64</x:v>
      </x:c>
      <x:c r="K302" s="67" t="str">
        <x:v>VERY_DEEP</x:v>
      </x:c>
      <x:c r="L302" s="67" t="n">
        <x:v>15.57</x:v>
      </x:c>
      <x:c r="M302" s="68" t="n">
        <x:v>996.48</x:v>
      </x:c>
      <x:c r="N302" s="69" t="str">
        <x:v>Available</x:v>
      </x:c>
      <x:c r="O302" s="62" t="str">
        <x:v>Very-deep model estimate with limited sample/role certainty. Use as a search/watch-list value and refresh once final rotations are known.</x:v>
      </x:c>
      <x:c r="P302" s="60"/>
      <x:c r="Q302" s="60"/>
      <x:c r="R302" s="60" t="n">
        <x:v>15.57</x:v>
      </x:c>
      <x:c r="S302" s="60" t="n">
        <x:v>0</x:v>
      </x:c>
      <x:c r="T302" s="72" t="str">
        <x:v>https://github.com/A-V29/NBA.Rosters/blob/main/2026.Summer.League.json</x:v>
      </x:c>
      <x:c r="U302" s="87" t="str">
        <x:v>VERY_DEEP</x:v>
      </x:c>
      <x:c r="V302" s="87" t="str">
        <x:v>MEDIUM</x:v>
      </x:c>
      <x:c r="W302" s="87" t="str">
        <x:v>MODEL</x:v>
      </x:c>
      <x:c r="X302" s="87" t="str">
        <x:v>CAMP/SUMMER</x:v>
      </x:c>
      <x:c r="Y302" s="87" t="str">
        <x:v>2026-09-28 master / roster context 2026-09-03+</x:v>
      </x:c>
      <x:c r="Z302" s="72" t="str">
        <x:v>https://github.com/A-V29/NBA.Rosters/blob/main/2026.Summer.League.json</x:v>
      </x:c>
      <x:c r="AA302" s="72" t="str">
        <x:v>https://github.com/ballacademy/NBA-head-to-head-/blob/5b1decfc31ffb645469c7ffbd01aaca4b18181bd/data/nba-stats/nba-player-stats-202526-regular-season-per-game.csv</x:v>
      </x:c>
    </x:row>
    <x:row r="303" ht="21" customHeight="1">
      <x:c r="A303" s="64" t="n">
        <x:v>298</x:v>
      </x:c>
      <x:c r="B303" s="59" t="str">
        <x:v>Yaxel Lendeborg</x:v>
      </x:c>
      <x:c r="C303" s="65" t="str">
        <x:v>GSW</x:v>
      </x:c>
      <x:c r="D303" s="65" t="str">
        <x:v>C</x:v>
      </x:c>
      <x:c r="E303" s="65" t="str">
        <x:v>FC</x:v>
      </x:c>
      <x:c r="F303" s="66"/>
      <x:c r="G303" s="67"/>
      <x:c r="H303" s="67" t="n">
        <x:v>11.425</x:v>
      </x:c>
      <x:c r="I303" s="67" t="n">
        <x:v>20.294999999999998</x:v>
      </x:c>
      <x:c r="J303" s="67" t="n">
        <x:v>55</x:v>
      </x:c>
      <x:c r="K303" s="67" t="str">
        <x:v>VERY_DEEP</x:v>
      </x:c>
      <x:c r="L303" s="67" t="n">
        <x:v>15.86</x:v>
      </x:c>
      <x:c r="M303" s="68" t="n">
        <x:v>872.3</x:v>
      </x:c>
      <x:c r="N303" s="69" t="str">
        <x:v>Available</x:v>
      </x:c>
      <x:c r="O303" s="62" t="str">
        <x:v>Rookie/depth role estimate with a wide band and limited NBA evidence. Treat as a watch-list projection, not a published forecast.</x:v>
      </x:c>
      <x:c r="P303" s="60"/>
      <x:c r="Q303" s="60"/>
      <x:c r="R303" s="60" t="n">
        <x:v>15.86</x:v>
      </x:c>
      <x:c r="S303" s="60" t="n">
        <x:v>0</x:v>
      </x:c>
      <x:c r="T303" s="72" t="str">
        <x:v>https://github.com/A-V29/NBA.Rosters/blob/main/2026.Summer.League.json</x:v>
      </x:c>
      <x:c r="U303" s="87" t="str">
        <x:v>DEEP</x:v>
      </x:c>
      <x:c r="V303" s="87" t="str">
        <x:v>MEDIUM</x:v>
      </x:c>
      <x:c r="W303" s="87" t="str">
        <x:v>MODEL-ROOKIE</x:v>
      </x:c>
      <x:c r="X303" s="87" t="str">
        <x:v>CAMP/SUMMER</x:v>
      </x:c>
      <x:c r="Y303" s="87" t="str">
        <x:v>2026-09-28 master / roster context 2026-09-03+</x:v>
      </x:c>
      <x:c r="Z303" s="72" t="str">
        <x:v>https://github.com/A-V29/NBA.Rosters/blob/main/2026.Summer.League.json</x:v>
      </x:c>
      <x:c r="AA303" s="72" t="str">
        <x:v>https://github.com/ballacademy/NBA-head-to-head-/blob/5b1decfc31ffb645469c7ffbd01aaca4b18181bd/data/nba-stats/nba-player-stats-202526-regular-season-per-game.csv</x:v>
      </x:c>
    </x:row>
    <x:row r="304" ht="21" customHeight="1">
      <x:c r="A304" s="64" t="n">
        <x:v>299</x:v>
      </x:c>
      <x:c r="B304" s="59" t="str">
        <x:v>Koa Peat</x:v>
      </x:c>
      <x:c r="C304" s="65" t="str">
        <x:v>PHX</x:v>
      </x:c>
      <x:c r="D304" s="65" t="str">
        <x:v>PF</x:v>
      </x:c>
      <x:c r="E304" s="65" t="str">
        <x:v>F</x:v>
      </x:c>
      <x:c r="F304" s="66"/>
      <x:c r="G304" s="67"/>
      <x:c r="H304" s="67" t="n">
        <x:v>11.305</x:v>
      </x:c>
      <x:c r="I304" s="67" t="n">
        <x:v>20.095</x:v>
      </x:c>
      <x:c r="J304" s="67" t="n">
        <x:v>55</x:v>
      </x:c>
      <x:c r="K304" s="67" t="str">
        <x:v>VERY_DEEP</x:v>
      </x:c>
      <x:c r="L304" s="67" t="n">
        <x:v>15.7</x:v>
      </x:c>
      <x:c r="M304" s="68" t="n">
        <x:v>863.5</x:v>
      </x:c>
      <x:c r="N304" s="69" t="str">
        <x:v>Available</x:v>
      </x:c>
      <x:c r="O304" s="62" t="str">
        <x:v>Rookie/depth role estimate with a wide band and limited NBA evidence. Treat as a watch-list projection, not a published forecast.</x:v>
      </x:c>
      <x:c r="P304" s="60"/>
      <x:c r="Q304" s="60"/>
      <x:c r="R304" s="60" t="n">
        <x:v>15.7</x:v>
      </x:c>
      <x:c r="S304" s="60" t="n">
        <x:v>0</x:v>
      </x:c>
      <x:c r="T304" s="72" t="str">
        <x:v>https://github.com/A-V29/NBA.Rosters/blob/main/2026.Summer.League.json</x:v>
      </x:c>
      <x:c r="U304" s="87" t="str">
        <x:v>DEEP</x:v>
      </x:c>
      <x:c r="V304" s="87" t="str">
        <x:v>MEDIUM</x:v>
      </x:c>
      <x:c r="W304" s="87" t="str">
        <x:v>MODEL-ROOKIE</x:v>
      </x:c>
      <x:c r="X304" s="87" t="str">
        <x:v>CAMP/SUMMER</x:v>
      </x:c>
      <x:c r="Y304" s="87" t="str">
        <x:v>2026-09-28 master / roster context 2026-09-03+</x:v>
      </x:c>
      <x:c r="Z304" s="72" t="str">
        <x:v>https://github.com/A-V29/NBA.Rosters/blob/main/2026.Summer.League.json</x:v>
      </x:c>
      <x:c r="AA304" s="72" t="str">
        <x:v>https://github.com/ballacademy/NBA-head-to-head-/blob/5b1decfc31ffb645469c7ffbd01aaca4b18181bd/data/nba-stats/nba-player-stats-202526-regular-season-per-game.csv</x:v>
      </x:c>
    </x:row>
    <x:row r="305" ht="21" customHeight="1">
      <x:c r="A305" s="64" t="n">
        <x:v>300</x:v>
      </x:c>
      <x:c r="B305" s="59" t="str">
        <x:v>Jericho Sims</x:v>
      </x:c>
      <x:c r="C305" s="65" t="str">
        <x:v>MIL</x:v>
      </x:c>
      <x:c r="D305" s="65" t="str">
        <x:v>C</x:v>
      </x:c>
      <x:c r="E305" s="65" t="str">
        <x:v>C</x:v>
      </x:c>
      <x:c r="F305" s="66" t="n">
        <x:v>67</x:v>
      </x:c>
      <x:c r="G305" s="67" t="n">
        <x:v>18.05</x:v>
      </x:c>
      <x:c r="H305" s="67" t="n">
        <x:v>11.96</x:v>
      </x:c>
      <x:c r="I305" s="67" t="n">
        <x:v>18.96</x:v>
      </x:c>
      <x:c r="J305" s="67" t="n">
        <x:v>60</x:v>
      </x:c>
      <x:c r="K305" s="67" t="str">
        <x:v>DEEP</x:v>
      </x:c>
      <x:c r="L305" s="67" t="n">
        <x:v>15.46</x:v>
      </x:c>
      <x:c r="M305" s="68" t="n">
        <x:v>927.6</x:v>
      </x:c>
      <x:c r="N305" s="69" t="str">
        <x:v>Available</x:v>
      </x:c>
      <x:c r="O305" s="62" t="str">
        <x:v>Deep-pool model: 2025-26 custom-score production shrunk toward a conservative 2026-27 role estimate; not a published projection.</x:v>
      </x:c>
      <x:c r="P305" s="60"/>
      <x:c r="Q305" s="60"/>
      <x:c r="R305" s="60" t="n">
        <x:v>15.46</x:v>
      </x:c>
      <x:c r="S305" s="60" t="n">
        <x:v>0</x:v>
      </x:c>
      <x:c r="T305" s="72" t="str">
        <x:v>https://github.com/plourr03/wolves-front-office/blob/5d152a169188fb9b210186a7a0d3403d4081ed38/kuminga/data/roster_snapshot_2026_27_v3.csv</x:v>
      </x:c>
      <x:c r="U305" s="87" t="str">
        <x:v>VERY_DEEP</x:v>
      </x:c>
      <x:c r="V305" s="87" t="str">
        <x:v>HIGH</x:v>
      </x:c>
      <x:c r="W305" s="87" t="str">
        <x:v>MODEL</x:v>
      </x:c>
      <x:c r="X305" s="87" t="str">
        <x:v>STANDARD</x:v>
      </x:c>
      <x:c r="Y305" s="87" t="str">
        <x:v>2026-09-28 master / roster context 2026-09-03+</x:v>
      </x:c>
      <x:c r="Z305" s="72" t="str">
        <x:v>https://github.com/plourr03/wolves-front-office/blob/5d152a169188fb9b210186a7a0d3403d4081ed38/kuminga/data/roster_snapshot_2026_27_v3.csv</x:v>
      </x:c>
      <x:c r="AA305" s="72" t="str">
        <x:v>https://github.com/ballacademy/NBA-head-to-head-/blob/5b1decfc31ffb645469c7ffbd01aaca4b18181bd/data/nba-stats/nba-player-stats-202526-regular-season-per-game.csv</x:v>
      </x:c>
    </x:row>
    <x:row r="306" ht="21" customHeight="1">
      <x:c r="A306" s="64" t="n">
        <x:v>301</x:v>
      </x:c>
      <x:c r="B306" s="59" t="str">
        <x:v>Daeqwon Plowden</x:v>
      </x:c>
      <x:c r="C306" s="65" t="str">
        <x:v>SAC</x:v>
      </x:c>
      <x:c r="D306" s="65" t="str">
        <x:v>PG</x:v>
      </x:c>
      <x:c r="E306" s="65" t="str">
        <x:v>G</x:v>
      </x:c>
      <x:c r="F306" s="66" t="n">
        <x:v>32</x:v>
      </x:c>
      <x:c r="G306" s="67" t="n">
        <x:v>19.75</x:v>
      </x:c>
      <x:c r="H306" s="67" t="n">
        <x:v>11.93</x:v>
      </x:c>
      <x:c r="I306" s="67" t="n">
        <x:v>18.93</x:v>
      </x:c>
      <x:c r="J306" s="67" t="n">
        <x:v>60</x:v>
      </x:c>
      <x:c r="K306" s="67" t="str">
        <x:v>DEEP</x:v>
      </x:c>
      <x:c r="L306" s="67" t="n">
        <x:v>15.43</x:v>
      </x:c>
      <x:c r="M306" s="68" t="n">
        <x:v>925.8</x:v>
      </x:c>
      <x:c r="N306" s="69" t="str">
        <x:v>Available</x:v>
      </x:c>
      <x:c r="O306" s="62" t="str">
        <x:v>Deep-pool model: 2025-26 custom-score production shrunk toward a conservative 2026-27 role estimate; not a published projection.</x:v>
      </x:c>
      <x:c r="P306" s="60"/>
      <x:c r="Q306" s="60"/>
      <x:c r="R306" s="60" t="n">
        <x:v>15.43</x:v>
      </x:c>
      <x:c r="S306" s="60" t="n">
        <x:v>0</x:v>
      </x:c>
      <x:c r="T306" s="72" t="str">
        <x:v>https://github.com/plourr03/wolves-front-office/blob/5d152a169188fb9b210186a7a0d3403d4081ed38/kuminga/data/roster_snapshot_2026_27_v3.csv</x:v>
      </x:c>
      <x:c r="U306" s="87" t="str">
        <x:v>VERY_DEEP</x:v>
      </x:c>
      <x:c r="V306" s="87" t="str">
        <x:v>HIGH</x:v>
      </x:c>
      <x:c r="W306" s="87" t="str">
        <x:v>MODEL</x:v>
      </x:c>
      <x:c r="X306" s="87" t="str">
        <x:v>STANDARD</x:v>
      </x:c>
      <x:c r="Y306" s="87" t="str">
        <x:v>2026-09-28 master / roster context 2026-09-03+</x:v>
      </x:c>
      <x:c r="Z306" s="72" t="str">
        <x:v>https://github.com/plourr03/wolves-front-office/blob/5d152a169188fb9b210186a7a0d3403d4081ed38/kuminga/data/roster_snapshot_2026_27_v3.csv</x:v>
      </x:c>
      <x:c r="AA306" s="72" t="str">
        <x:v>https://github.com/ballacademy/NBA-head-to-head-/blob/5b1decfc31ffb645469c7ffbd01aaca4b18181bd/data/nba-stats/nba-player-stats-202526-regular-season-per-game.csv</x:v>
      </x:c>
    </x:row>
    <x:row r="307" ht="21" customHeight="1">
      <x:c r="A307" s="64" t="n">
        <x:v>302</x:v>
      </x:c>
      <x:c r="B307" s="59" t="str">
        <x:v>Luguentz Dort</x:v>
      </x:c>
      <x:c r="C307" s="65" t="str">
        <x:v>ATL</x:v>
      </x:c>
      <x:c r="D307" s="65" t="str">
        <x:v>SG</x:v>
      </x:c>
      <x:c r="E307" s="65" t="str">
        <x:v>SG</x:v>
      </x:c>
      <x:c r="F307" s="66" t="n">
        <x:v>69</x:v>
      </x:c>
      <x:c r="G307" s="67" t="n">
        <x:v>16.6</x:v>
      </x:c>
      <x:c r="H307" s="67" t="n">
        <x:v>11.83</x:v>
      </x:c>
      <x:c r="I307" s="67" t="n">
        <x:v>18.83</x:v>
      </x:c>
      <x:c r="J307" s="67" t="n">
        <x:v>60</x:v>
      </x:c>
      <x:c r="K307" s="67" t="str">
        <x:v>DEEP</x:v>
      </x:c>
      <x:c r="L307" s="67" t="n">
        <x:v>15.33</x:v>
      </x:c>
      <x:c r="M307" s="68" t="n">
        <x:v>919.8</x:v>
      </x:c>
      <x:c r="N307" s="69" t="str">
        <x:v>Available</x:v>
      </x:c>
      <x:c r="O307" s="62" t="str">
        <x:v>Deep-pool model: 2025-26 custom-score production shrunk toward a conservative 2026-27 role estimate; not a published projection.</x:v>
      </x:c>
      <x:c r="P307" s="60"/>
      <x:c r="Q307" s="60"/>
      <x:c r="R307" s="60" t="n">
        <x:v>15.33</x:v>
      </x:c>
      <x:c r="S307" s="60" t="n">
        <x:v>0</x:v>
      </x:c>
      <x:c r="T307" s="72" t="str">
        <x:v>https://github.com/plourr03/wolves-front-office/blob/5d152a169188fb9b210186a7a0d3403d4081ed38/kuminga/data/roster_snapshot_2026_27_v3.csv</x:v>
      </x:c>
      <x:c r="U307" s="87" t="str">
        <x:v>VERY_DEEP</x:v>
      </x:c>
      <x:c r="V307" s="87" t="str">
        <x:v>HIGH</x:v>
      </x:c>
      <x:c r="W307" s="87" t="str">
        <x:v>MODEL</x:v>
      </x:c>
      <x:c r="X307" s="87" t="str">
        <x:v>STANDARD</x:v>
      </x:c>
      <x:c r="Y307" s="87" t="str">
        <x:v>2026-09-28 master / roster context 2026-09-03+</x:v>
      </x:c>
      <x:c r="Z307" s="72" t="str">
        <x:v>https://github.com/plourr03/wolves-front-office/blob/5d152a169188fb9b210186a7a0d3403d4081ed38/kuminga/data/roster_snapshot_2026_27_v3.csv</x:v>
      </x:c>
      <x:c r="AA307" s="72" t="str">
        <x:v>https://github.com/ballacademy/NBA-head-to-head-/blob/5b1decfc31ffb645469c7ffbd01aaca4b18181bd/data/nba-stats/nba-player-stats-202526-regular-season-per-game.csv</x:v>
      </x:c>
    </x:row>
    <x:row r="308" ht="21" customHeight="1">
      <x:c r="A308" s="64" t="n">
        <x:v>303</x:v>
      </x:c>
      <x:c r="B308" s="59" t="str">
        <x:v>Jay Huff</x:v>
      </x:c>
      <x:c r="C308" s="65" t="str">
        <x:v>IND</x:v>
      </x:c>
      <x:c r="D308" s="65" t="str">
        <x:v>C</x:v>
      </x:c>
      <x:c r="E308" s="65" t="str">
        <x:v>C</x:v>
      </x:c>
      <x:c r="F308" s="66" t="n">
        <x:v>82</x:v>
      </x:c>
      <x:c r="G308" s="67" t="n">
        <x:v>21.4</x:v>
      </x:c>
      <x:c r="H308" s="67" t="n">
        <x:v>11.405000000000001</x:v>
      </x:c>
      <x:c r="I308" s="67" t="n">
        <x:v>20.275</x:v>
      </x:c>
      <x:c r="J308" s="67" t="n">
        <x:v>42</x:v>
      </x:c>
      <x:c r="K308" s="67" t="str">
        <x:v>VERY_DEEP</x:v>
      </x:c>
      <x:c r="L308" s="67" t="n">
        <x:v>15.84</x:v>
      </x:c>
      <x:c r="M308" s="68" t="n">
        <x:v>665.28</x:v>
      </x:c>
      <x:c r="N308" s="69" t="str">
        <x:v>Available</x:v>
      </x:c>
      <x:c r="O308" s="62" t="str">
        <x:v>Very-deep roster candidate. Non-guaranteed status and role uncertainty are discounted; verify final roster before draft use.</x:v>
      </x:c>
      <x:c r="P308" s="60"/>
      <x:c r="Q308" s="60"/>
      <x:c r="R308" s="60" t="n">
        <x:v>15.84</x:v>
      </x:c>
      <x:c r="S308" s="60" t="n">
        <x:v>0</x:v>
      </x:c>
      <x:c r="T308" s="72" t="str">
        <x:v>https://github.com/plourr03/wolves-front-office/blob/5d152a169188fb9b210186a7a0d3403d4081ed38/kuminga/data/roster_snapshot_2026_27_v3.csv</x:v>
      </x:c>
      <x:c r="U308" s="87" t="str">
        <x:v>DEEP</x:v>
      </x:c>
      <x:c r="V308" s="87" t="str">
        <x:v>MEDIUM</x:v>
      </x:c>
      <x:c r="W308" s="87" t="str">
        <x:v>MODEL</x:v>
      </x:c>
      <x:c r="X308" s="87" t="str">
        <x:v>NON GUARANTEED</x:v>
      </x:c>
      <x:c r="Y308" s="87" t="str">
        <x:v>2026-09-28 master / roster context 2026-09-03+</x:v>
      </x:c>
      <x:c r="Z308" s="72" t="str">
        <x:v>https://github.com/plourr03/wolves-front-office/blob/5d152a169188fb9b210186a7a0d3403d4081ed38/kuminga/data/roster_snapshot_2026_27_v3.csv</x:v>
      </x:c>
      <x:c r="AA308" s="72" t="str">
        <x:v>https://github.com/ballacademy/NBA-head-to-head-/blob/5b1decfc31ffb645469c7ffbd01aaca4b18181bd/data/nba-stats/nba-player-stats-202526-regular-season-per-game.csv</x:v>
      </x:c>
    </x:row>
    <x:row r="309" ht="21" customHeight="1">
      <x:c r="A309" s="64" t="n">
        <x:v>304</x:v>
      </x:c>
      <x:c r="B309" s="59" t="str">
        <x:v>Gary Payton II</x:v>
      </x:c>
      <x:c r="C309" s="65" t="str">
        <x:v>GSW</x:v>
      </x:c>
      <x:c r="D309" s="65" t="str">
        <x:v>PG</x:v>
      </x:c>
      <x:c r="E309" s="65" t="str">
        <x:v>PG</x:v>
      </x:c>
      <x:c r="F309" s="66" t="n">
        <x:v>73</x:v>
      </x:c>
      <x:c r="G309" s="67" t="n">
        <x:v>18.8</x:v>
      </x:c>
      <x:c r="H309" s="67" t="n">
        <x:v>11.79</x:v>
      </x:c>
      <x:c r="I309" s="67" t="n">
        <x:v>18.79</x:v>
      </x:c>
      <x:c r="J309" s="67" t="n">
        <x:v>60</x:v>
      </x:c>
      <x:c r="K309" s="67" t="str">
        <x:v>DEEP</x:v>
      </x:c>
      <x:c r="L309" s="67" t="n">
        <x:v>15.29</x:v>
      </x:c>
      <x:c r="M309" s="68" t="n">
        <x:v>917.4</x:v>
      </x:c>
      <x:c r="N309" s="69" t="str">
        <x:v>Available</x:v>
      </x:c>
      <x:c r="O309" s="62" t="str">
        <x:v>Deep-pool model: 2025-26 custom-score production shrunk toward a conservative 2026-27 role estimate; not a published projection.</x:v>
      </x:c>
      <x:c r="P309" s="60"/>
      <x:c r="Q309" s="60"/>
      <x:c r="R309" s="60" t="n">
        <x:v>15.29</x:v>
      </x:c>
      <x:c r="S309" s="60" t="n">
        <x:v>0</x:v>
      </x:c>
      <x:c r="T309" s="72" t="str">
        <x:v>https://github.com/plourr03/wolves-front-office/blob/5d152a169188fb9b210186a7a0d3403d4081ed38/kuminga/data/roster_snapshot_2026_27_v3.csv</x:v>
      </x:c>
      <x:c r="U309" s="87" t="str">
        <x:v>VERY_DEEP</x:v>
      </x:c>
      <x:c r="V309" s="87" t="str">
        <x:v>HIGH</x:v>
      </x:c>
      <x:c r="W309" s="87" t="str">
        <x:v>MODEL</x:v>
      </x:c>
      <x:c r="X309" s="87" t="str">
        <x:v>STANDARD</x:v>
      </x:c>
      <x:c r="Y309" s="87" t="str">
        <x:v>2026-09-28 master / roster context 2026-09-03+</x:v>
      </x:c>
      <x:c r="Z309" s="72" t="str">
        <x:v>https://github.com/plourr03/wolves-front-office/blob/5d152a169188fb9b210186a7a0d3403d4081ed38/kuminga/data/roster_snapshot_2026_27_v3.csv</x:v>
      </x:c>
      <x:c r="AA309" s="72" t="str">
        <x:v>https://github.com/ballacademy/NBA-head-to-head-/blob/5b1decfc31ffb645469c7ffbd01aaca4b18181bd/data/nba-stats/nba-player-stats-202526-regular-season-per-game.csv</x:v>
      </x:c>
    </x:row>
    <x:row r="310" ht="21" customHeight="1">
      <x:c r="A310" s="64" t="n">
        <x:v>305</x:v>
      </x:c>
      <x:c r="B310" s="59" t="str">
        <x:v>Luke Kennard</x:v>
      </x:c>
      <x:c r="C310" s="65" t="str">
        <x:v>PHX</x:v>
      </x:c>
      <x:c r="D310" s="65" t="str">
        <x:v>SG</x:v>
      </x:c>
      <x:c r="E310" s="65" t="str">
        <x:v>SG</x:v>
      </x:c>
      <x:c r="F310" s="66" t="n">
        <x:v>78</x:v>
      </x:c>
      <x:c r="G310" s="67" t="n">
        <x:v>17.25</x:v>
      </x:c>
      <x:c r="H310" s="67" t="n">
        <x:v>11.75</x:v>
      </x:c>
      <x:c r="I310" s="67" t="n">
        <x:v>18.75</x:v>
      </x:c>
      <x:c r="J310" s="67" t="n">
        <x:v>60</x:v>
      </x:c>
      <x:c r="K310" s="67" t="str">
        <x:v>DEEP</x:v>
      </x:c>
      <x:c r="L310" s="67" t="n">
        <x:v>15.25</x:v>
      </x:c>
      <x:c r="M310" s="68" t="n">
        <x:v>915</x:v>
      </x:c>
      <x:c r="N310" s="69" t="str">
        <x:v>Available</x:v>
      </x:c>
      <x:c r="O310" s="62" t="str">
        <x:v>Deep-pool model: 2025-26 custom-score production shrunk toward a conservative 2026-27 role estimate; not a published projection.</x:v>
      </x:c>
      <x:c r="P310" s="60"/>
      <x:c r="Q310" s="60"/>
      <x:c r="R310" s="60" t="n">
        <x:v>15.25</x:v>
      </x:c>
      <x:c r="S310" s="60" t="n">
        <x:v>0</x:v>
      </x:c>
      <x:c r="T310" s="72" t="str">
        <x:v>https://github.com/plourr03/wolves-front-office/blob/5d152a169188fb9b210186a7a0d3403d4081ed38/kuminga/data/roster_snapshot_2026_27_v3.csv</x:v>
      </x:c>
      <x:c r="U310" s="87" t="str">
        <x:v>VERY_DEEP</x:v>
      </x:c>
      <x:c r="V310" s="87" t="str">
        <x:v>HIGH</x:v>
      </x:c>
      <x:c r="W310" s="87" t="str">
        <x:v>MODEL</x:v>
      </x:c>
      <x:c r="X310" s="87" t="str">
        <x:v>STANDARD</x:v>
      </x:c>
      <x:c r="Y310" s="87" t="str">
        <x:v>2026-09-28 master / roster context 2026-09-03+</x:v>
      </x:c>
      <x:c r="Z310" s="72" t="str">
        <x:v>https://github.com/plourr03/wolves-front-office/blob/5d152a169188fb9b210186a7a0d3403d4081ed38/kuminga/data/roster_snapshot_2026_27_v3.csv</x:v>
      </x:c>
      <x:c r="AA310" s="72" t="str">
        <x:v>https://github.com/ballacademy/NBA-head-to-head-/blob/5b1decfc31ffb645469c7ffbd01aaca4b18181bd/data/nba-stats/nba-player-stats-202526-regular-season-per-game.csv</x:v>
      </x:c>
    </x:row>
    <x:row r="311" ht="21" customHeight="1">
      <x:c r="A311" s="64" t="n">
        <x:v>306</x:v>
      </x:c>
      <x:c r="B311" s="59" t="str">
        <x:v>Shaedon Sharpe</x:v>
      </x:c>
      <x:c r="C311" s="65" t="str">
        <x:v>POR</x:v>
      </x:c>
      <x:c r="D311" s="65" t="str">
        <x:v>SG</x:v>
      </x:c>
      <x:c r="E311" s="65" t="str">
        <x:v>PG/SF/SG</x:v>
      </x:c>
      <x:c r="F311" s="66" t="n">
        <x:v>50</x:v>
      </x:c>
      <x:c r="G311" s="67" t="n">
        <x:v>30.750000000000004</x:v>
      </x:c>
      <x:c r="H311" s="67" t="n">
        <x:v>13.020038530670725</x:v>
      </x:c>
      <x:c r="I311" s="67" t="n">
        <x:v>29.020038530670725</x:v>
      </x:c>
      <x:c r="J311" s="67" t="n">
        <x:v>18</x:v>
      </x:c>
      <x:c r="K311" s="67" t="str">
        <x:v>HIGH</x:v>
      </x:c>
      <x:c r="L311" s="67" t="n">
        <x:v>21.020038530670725</x:v>
      </x:c>
      <x:c r="M311" s="68" t="n">
        <x:v>378.36069355207303</x:v>
      </x:c>
      <x:c r="N311" s="69" t="str">
        <x:v>Available</x:v>
      </x:c>
      <x:c r="O311" s="62" t="str">
        <x:v>Long-term knee recovery remains a major availability issue. Late IR stash only.</x:v>
      </x:c>
      <x:c r="P311" s="60" t="n">
        <x:v>21.020038530670725</x:v>
      </x:c>
      <x:c r="Q311" s="60"/>
      <x:c r="R311" s="60" t="n">
        <x:v>21.020038530670725</x:v>
      </x:c>
      <x:c r="S311" s="60" t="n">
        <x:v>0</x:v>
      </x:c>
      <x:c r="T311" s="72" t="str">
        <x:v>https://www.reuters.com/sports/blazers-shaedon-sharpe-out-6-months-after-knee-surgery--flm-2026-08-27/</x:v>
      </x:c>
      <x:c r="U311" s="87" t="str">
        <x:v>CORE</x:v>
      </x:c>
      <x:c r="V311" s="87" t="str">
        <x:v>HIGH</x:v>
      </x:c>
      <x:c r="W311" s="87" t="str">
        <x:v>DRAFT_DAY_FP</x:v>
      </x:c>
      <x:c r="X311" s="87" t="str">
        <x:v>TOP-200 RESEARCH</x:v>
      </x:c>
      <x:c r="Y311" s="87" t="str">
        <x:v>2026-10-10</x:v>
      </x:c>
      <x:c r="Z311" s="72" t="str">
        <x:v>https://www.nba.com/players</x:v>
      </x:c>
      <x:c r="AA311" s="72" t="str">
        <x:v>https://basketball.realgm.com/nba/stats/2026/Averages/All/points/All/desc/1/Regular_Season</x:v>
      </x:c>
    </x:row>
    <x:row r="312" ht="21" customHeight="1">
      <x:c r="A312" s="64" t="n">
        <x:v>307</x:v>
      </x:c>
      <x:c r="B312" s="59" t="str">
        <x:v>Tristen Newton</x:v>
      </x:c>
      <x:c r="C312" s="65" t="str">
        <x:v>HOU</x:v>
      </x:c>
      <x:c r="D312" s="65" t="str">
        <x:v>PG</x:v>
      </x:c>
      <x:c r="E312" s="65" t="str">
        <x:v>PG</x:v>
      </x:c>
      <x:c r="F312" s="66" t="n">
        <x:v>1</x:v>
      </x:c>
      <x:c r="G312" s="67" t="n">
        <x:v>23</x:v>
      </x:c>
      <x:c r="H312" s="67" t="n">
        <x:v>10.780000000000001</x:v>
      </x:c>
      <x:c r="I312" s="67" t="n">
        <x:v>19.16</x:v>
      </x:c>
      <x:c r="J312" s="67" t="n">
        <x:v>64</x:v>
      </x:c>
      <x:c r="K312" s="67" t="str">
        <x:v>VERY_DEEP</x:v>
      </x:c>
      <x:c r="L312" s="67" t="n">
        <x:v>14.97</x:v>
      </x:c>
      <x:c r="M312" s="68" t="n">
        <x:v>958.08</x:v>
      </x:c>
      <x:c r="N312" s="69" t="str">
        <x:v>Available</x:v>
      </x:c>
      <x:c r="O312" s="62" t="str">
        <x:v>Very-deep model estimate with limited sample/role certainty. Use as a search/watch-list value and refresh once final rotations are known.</x:v>
      </x:c>
      <x:c r="P312" s="60"/>
      <x:c r="Q312" s="60"/>
      <x:c r="R312" s="60" t="n">
        <x:v>14.97</x:v>
      </x:c>
      <x:c r="S312" s="60" t="n">
        <x:v>0</x:v>
      </x:c>
      <x:c r="T312" s="72" t="str">
        <x:v>https://github.com/A-V29/NBA.Rosters/blob/main/2026.Summer.League.json</x:v>
      </x:c>
      <x:c r="U312" s="87" t="str">
        <x:v>VERY_DEEP</x:v>
      </x:c>
      <x:c r="V312" s="87" t="str">
        <x:v>MEDIUM</x:v>
      </x:c>
      <x:c r="W312" s="87" t="str">
        <x:v>MODEL</x:v>
      </x:c>
      <x:c r="X312" s="87" t="str">
        <x:v>CAMP/SUMMER</x:v>
      </x:c>
      <x:c r="Y312" s="87" t="str">
        <x:v>2026-09-28 master / roster context 2026-09-03+</x:v>
      </x:c>
      <x:c r="Z312" s="72" t="str">
        <x:v>https://github.com/A-V29/NBA.Rosters/blob/main/2026.Summer.League.json</x:v>
      </x:c>
      <x:c r="AA312" s="72" t="str">
        <x:v>https://github.com/ballacademy/NBA-head-to-head-/blob/5b1decfc31ffb645469c7ffbd01aaca4b18181bd/data/nba-stats/nba-player-stats-202526-regular-season-per-game.csv</x:v>
      </x:c>
    </x:row>
    <x:row r="313" ht="21" customHeight="1">
      <x:c r="A313" s="64" t="n">
        <x:v>308</x:v>
      </x:c>
      <x:c r="B313" s="59" t="str">
        <x:v>Ja'Kobe Walter</x:v>
      </x:c>
      <x:c r="C313" s="65" t="str">
        <x:v>TOR</x:v>
      </x:c>
      <x:c r="D313" s="65" t="str">
        <x:v>SG</x:v>
      </x:c>
      <x:c r="E313" s="65" t="str">
        <x:v>SG</x:v>
      </x:c>
      <x:c r="F313" s="66" t="n">
        <x:v>72</x:v>
      </x:c>
      <x:c r="G313" s="67" t="n">
        <x:v>16.4</x:v>
      </x:c>
      <x:c r="H313" s="67" t="n">
        <x:v>11.6</x:v>
      </x:c>
      <x:c r="I313" s="67" t="n">
        <x:v>18.6</x:v>
      </x:c>
      <x:c r="J313" s="67" t="n">
        <x:v>60</x:v>
      </x:c>
      <x:c r="K313" s="67" t="str">
        <x:v>DEEP</x:v>
      </x:c>
      <x:c r="L313" s="67" t="n">
        <x:v>15.1</x:v>
      </x:c>
      <x:c r="M313" s="68" t="n">
        <x:v>906</x:v>
      </x:c>
      <x:c r="N313" s="69" t="str">
        <x:v>Available</x:v>
      </x:c>
      <x:c r="O313" s="62" t="str">
        <x:v>Deep-pool model: 2025-26 custom-score production shrunk toward a conservative 2026-27 role estimate; not a published projection.</x:v>
      </x:c>
      <x:c r="P313" s="60"/>
      <x:c r="Q313" s="60"/>
      <x:c r="R313" s="60" t="n">
        <x:v>15.1</x:v>
      </x:c>
      <x:c r="S313" s="60" t="n">
        <x:v>0</x:v>
      </x:c>
      <x:c r="T313" s="72" t="str">
        <x:v>https://github.com/plourr03/wolves-front-office/blob/5d152a169188fb9b210186a7a0d3403d4081ed38/kuminga/data/roster_snapshot_2026_27_v3.csv</x:v>
      </x:c>
      <x:c r="U313" s="87" t="str">
        <x:v>VERY_DEEP</x:v>
      </x:c>
      <x:c r="V313" s="87" t="str">
        <x:v>HIGH</x:v>
      </x:c>
      <x:c r="W313" s="87" t="str">
        <x:v>MODEL</x:v>
      </x:c>
      <x:c r="X313" s="87" t="str">
        <x:v>STANDARD</x:v>
      </x:c>
      <x:c r="Y313" s="87" t="str">
        <x:v>2026-09-28 master / roster context 2026-09-03+</x:v>
      </x:c>
      <x:c r="Z313" s="72" t="str">
        <x:v>https://github.com/plourr03/wolves-front-office/blob/5d152a169188fb9b210186a7a0d3403d4081ed38/kuminga/data/roster_snapshot_2026_27_v3.csv</x:v>
      </x:c>
      <x:c r="AA313" s="72" t="str">
        <x:v>https://github.com/ballacademy/NBA-head-to-head-/blob/5b1decfc31ffb645469c7ffbd01aaca4b18181bd/data/nba-stats/nba-player-stats-202526-regular-season-per-game.csv</x:v>
      </x:c>
    </x:row>
    <x:row r="314" ht="21" customHeight="1">
      <x:c r="A314" s="64" t="n">
        <x:v>309</x:v>
      </x:c>
      <x:c r="B314" s="59" t="str">
        <x:v>Quinten Post</x:v>
      </x:c>
      <x:c r="C314" s="65" t="str">
        <x:v>MEM</x:v>
      </x:c>
      <x:c r="D314" s="65" t="str">
        <x:v>C</x:v>
      </x:c>
      <x:c r="E314" s="65" t="str">
        <x:v>C</x:v>
      </x:c>
      <x:c r="F314" s="66" t="n">
        <x:v>67</x:v>
      </x:c>
      <x:c r="G314" s="67" t="n">
        <x:v>16.75</x:v>
      </x:c>
      <x:c r="H314" s="67" t="n">
        <x:v>11.57</x:v>
      </x:c>
      <x:c r="I314" s="67" t="n">
        <x:v>18.57</x:v>
      </x:c>
      <x:c r="J314" s="67" t="n">
        <x:v>60</x:v>
      </x:c>
      <x:c r="K314" s="67" t="str">
        <x:v>DEEP</x:v>
      </x:c>
      <x:c r="L314" s="67" t="n">
        <x:v>15.07</x:v>
      </x:c>
      <x:c r="M314" s="68" t="n">
        <x:v>904.2</x:v>
      </x:c>
      <x:c r="N314" s="69" t="str">
        <x:v>Available</x:v>
      </x:c>
      <x:c r="O314" s="62" t="str">
        <x:v>Deep-pool model: 2025-26 custom-score production shrunk toward a conservative 2026-27 role estimate; not a published projection.</x:v>
      </x:c>
      <x:c r="P314" s="60"/>
      <x:c r="Q314" s="60"/>
      <x:c r="R314" s="60" t="n">
        <x:v>15.07</x:v>
      </x:c>
      <x:c r="S314" s="60" t="n">
        <x:v>0</x:v>
      </x:c>
      <x:c r="T314" s="72" t="str">
        <x:v>https://github.com/plourr03/wolves-front-office/blob/5d152a169188fb9b210186a7a0d3403d4081ed38/kuminga/data/roster_snapshot_2026_27_v3.csv</x:v>
      </x:c>
      <x:c r="U314" s="87" t="str">
        <x:v>VERY_DEEP</x:v>
      </x:c>
      <x:c r="V314" s="87" t="str">
        <x:v>HIGH</x:v>
      </x:c>
      <x:c r="W314" s="87" t="str">
        <x:v>MODEL</x:v>
      </x:c>
      <x:c r="X314" s="87" t="str">
        <x:v>STANDARD</x:v>
      </x:c>
      <x:c r="Y314" s="87" t="str">
        <x:v>2026-09-28 master / roster context 2026-09-03+</x:v>
      </x:c>
      <x:c r="Z314" s="72" t="str">
        <x:v>https://github.com/plourr03/wolves-front-office/blob/5d152a169188fb9b210186a7a0d3403d4081ed38/kuminga/data/roster_snapshot_2026_27_v3.csv</x:v>
      </x:c>
      <x:c r="AA314" s="72" t="str">
        <x:v>https://github.com/ballacademy/NBA-head-to-head-/blob/5b1decfc31ffb645469c7ffbd01aaca4b18181bd/data/nba-stats/nba-player-stats-202526-regular-season-per-game.csv</x:v>
      </x:c>
    </x:row>
    <x:row r="315" ht="21" customHeight="1">
      <x:c r="A315" s="64" t="n">
        <x:v>310</x:v>
      </x:c>
      <x:c r="B315" s="59" t="str">
        <x:v>Grant Williams</x:v>
      </x:c>
      <x:c r="C315" s="65" t="str">
        <x:v>CHA</x:v>
      </x:c>
      <x:c r="D315" s="65" t="str">
        <x:v>PF</x:v>
      </x:c>
      <x:c r="E315" s="65" t="str">
        <x:v>PF</x:v>
      </x:c>
      <x:c r="F315" s="66" t="n">
        <x:v>36</x:v>
      </x:c>
      <x:c r="G315" s="67" t="n">
        <x:v>17.45</x:v>
      </x:c>
      <x:c r="H315" s="67" t="n">
        <x:v>11.42</x:v>
      </x:c>
      <x:c r="I315" s="67" t="n">
        <x:v>18.42</x:v>
      </x:c>
      <x:c r="J315" s="67" t="n">
        <x:v>60</x:v>
      </x:c>
      <x:c r="K315" s="67" t="str">
        <x:v>DEEP</x:v>
      </x:c>
      <x:c r="L315" s="67" t="n">
        <x:v>14.92</x:v>
      </x:c>
      <x:c r="M315" s="68" t="n">
        <x:v>895.2</x:v>
      </x:c>
      <x:c r="N315" s="69" t="str">
        <x:v>Available</x:v>
      </x:c>
      <x:c r="O315" s="62" t="str">
        <x:v>Deep-pool model: 2025-26 custom-score production shrunk toward a conservative 2026-27 role estimate; not a published projection.</x:v>
      </x:c>
      <x:c r="P315" s="60"/>
      <x:c r="Q315" s="60"/>
      <x:c r="R315" s="60" t="n">
        <x:v>14.92</x:v>
      </x:c>
      <x:c r="S315" s="60" t="n">
        <x:v>0</x:v>
      </x:c>
      <x:c r="T315" s="72" t="str">
        <x:v>https://github.com/plourr03/wolves-front-office/blob/5d152a169188fb9b210186a7a0d3403d4081ed38/kuminga/data/roster_snapshot_2026_27_v3.csv</x:v>
      </x:c>
      <x:c r="U315" s="87" t="str">
        <x:v>VERY_DEEP</x:v>
      </x:c>
      <x:c r="V315" s="87" t="str">
        <x:v>HIGH</x:v>
      </x:c>
      <x:c r="W315" s="87" t="str">
        <x:v>MODEL</x:v>
      </x:c>
      <x:c r="X315" s="87" t="str">
        <x:v>STANDARD</x:v>
      </x:c>
      <x:c r="Y315" s="87" t="str">
        <x:v>2026-09-28 master / roster context 2026-09-03+</x:v>
      </x:c>
      <x:c r="Z315" s="72" t="str">
        <x:v>https://github.com/plourr03/wolves-front-office/blob/5d152a169188fb9b210186a7a0d3403d4081ed38/kuminga/data/roster_snapshot_2026_27_v3.csv</x:v>
      </x:c>
      <x:c r="AA315" s="72" t="str">
        <x:v>https://github.com/ballacademy/NBA-head-to-head-/blob/5b1decfc31ffb645469c7ffbd01aaca4b18181bd/data/nba-stats/nba-player-stats-202526-regular-season-per-game.csv</x:v>
      </x:c>
    </x:row>
    <x:row r="316" ht="21" customHeight="1">
      <x:c r="A316" s="64" t="n">
        <x:v>311</x:v>
      </x:c>
      <x:c r="B316" s="59" t="str">
        <x:v>Dean Wade</x:v>
      </x:c>
      <x:c r="C316" s="65" t="str">
        <x:v>PHI</x:v>
      </x:c>
      <x:c r="D316" s="65" t="str">
        <x:v>PF</x:v>
      </x:c>
      <x:c r="E316" s="65" t="str">
        <x:v>PF</x:v>
      </x:c>
      <x:c r="F316" s="66" t="n">
        <x:v>59</x:v>
      </x:c>
      <x:c r="G316" s="67" t="n">
        <x:v>16.55</x:v>
      </x:c>
      <x:c r="H316" s="67" t="n">
        <x:v>11.41</x:v>
      </x:c>
      <x:c r="I316" s="67" t="n">
        <x:v>18.41</x:v>
      </x:c>
      <x:c r="J316" s="67" t="n">
        <x:v>60</x:v>
      </x:c>
      <x:c r="K316" s="67" t="str">
        <x:v>DEEP</x:v>
      </x:c>
      <x:c r="L316" s="67" t="n">
        <x:v>14.91</x:v>
      </x:c>
      <x:c r="M316" s="68" t="n">
        <x:v>894.6</x:v>
      </x:c>
      <x:c r="N316" s="69" t="str">
        <x:v>Available</x:v>
      </x:c>
      <x:c r="O316" s="62" t="str">
        <x:v>Deep-pool model: 2025-26 custom-score production shrunk toward a conservative 2026-27 role estimate; not a published projection.</x:v>
      </x:c>
      <x:c r="P316" s="60"/>
      <x:c r="Q316" s="60"/>
      <x:c r="R316" s="60" t="n">
        <x:v>14.91</x:v>
      </x:c>
      <x:c r="S316" s="60" t="n">
        <x:v>0</x:v>
      </x:c>
      <x:c r="T316" s="72" t="str">
        <x:v>https://github.com/plourr03/wolves-front-office/blob/5d152a169188fb9b210186a7a0d3403d4081ed38/kuminga/data/roster_snapshot_2026_27_v3.csv</x:v>
      </x:c>
      <x:c r="U316" s="87" t="str">
        <x:v>VERY_DEEP</x:v>
      </x:c>
      <x:c r="V316" s="87" t="str">
        <x:v>HIGH</x:v>
      </x:c>
      <x:c r="W316" s="87" t="str">
        <x:v>MODEL</x:v>
      </x:c>
      <x:c r="X316" s="87" t="str">
        <x:v>STANDARD</x:v>
      </x:c>
      <x:c r="Y316" s="87" t="str">
        <x:v>2026-09-28 master / roster context 2026-09-03+</x:v>
      </x:c>
      <x:c r="Z316" s="72" t="str">
        <x:v>https://github.com/plourr03/wolves-front-office/blob/5d152a169188fb9b210186a7a0d3403d4081ed38/kuminga/data/roster_snapshot_2026_27_v3.csv</x:v>
      </x:c>
      <x:c r="AA316" s="72" t="str">
        <x:v>https://github.com/ballacademy/NBA-head-to-head-/blob/5b1decfc31ffb645469c7ffbd01aaca4b18181bd/data/nba-stats/nba-player-stats-202526-regular-season-per-game.csv</x:v>
      </x:c>
    </x:row>
    <x:row r="317" ht="21" customHeight="1">
      <x:c r="A317" s="64" t="n">
        <x:v>312</x:v>
      </x:c>
      <x:c r="B317" s="59" t="str">
        <x:v>Max Strus</x:v>
      </x:c>
      <x:c r="C317" s="65" t="str">
        <x:v>CLE</x:v>
      </x:c>
      <x:c r="D317" s="65" t="str">
        <x:v>SF</x:v>
      </x:c>
      <x:c r="E317" s="65" t="str">
        <x:v>SG/SF</x:v>
      </x:c>
      <x:c r="F317" s="66"/>
      <x:c r="G317" s="67"/>
      <x:c r="H317" s="67" t="n">
        <x:v>11.030000000000001</x:v>
      </x:c>
      <x:c r="I317" s="67" t="n">
        <x:v>27.03</x:v>
      </x:c>
      <x:c r="J317" s="67" t="n">
        <x:v>50</x:v>
      </x:c>
      <x:c r="K317" s="67" t="str">
        <x:v>HIGH</x:v>
      </x:c>
      <x:c r="L317" s="67" t="n">
        <x:v>19.03</x:v>
      </x:c>
      <x:c r="M317" s="68" t="n">
        <x:v>951.5</x:v>
      </x:c>
      <x:c r="N317" s="69" t="str">
        <x:v>Available</x:v>
      </x:c>
      <x:c r="O317" s="62" t="str">
        <x:v>Partial plantar fascia tear; out at least four weeks and expected to miss the start of the season.</x:v>
      </x:c>
      <x:c r="P317" s="60" t="n">
        <x:v>19.03</x:v>
      </x:c>
      <x:c r="Q317" s="60"/>
      <x:c r="R317" s="60" t="n">
        <x:v>19.03</x:v>
      </x:c>
      <x:c r="S317" s="60" t="n">
        <x:v>0</x:v>
      </x:c>
      <x:c r="T317" s="72" t="str">
        <x:v>https://www.nba.com/news/clippers-max-strus-to-miss-start-of-season-with-foot-injury</x:v>
      </x:c>
      <x:c r="U317" s="87" t="str">
        <x:v>DEEP</x:v>
      </x:c>
      <x:c r="V317" s="87" t="str">
        <x:v>MEDIUM</x:v>
      </x:c>
      <x:c r="W317" s="87" t="str">
        <x:v>DRAFT_DAY_HEALTH</x:v>
      </x:c>
      <x:c r="X317" s="87" t="str">
        <x:v>TOP-200 RESEARCH</x:v>
      </x:c>
      <x:c r="Y317" s="87" t="str">
        <x:v>2026-10-10</x:v>
      </x:c>
      <x:c r="Z317" s="72" t="str">
        <x:v>https://www.nba.com/players</x:v>
      </x:c>
      <x:c r="AA317" s="72" t="str">
        <x:v>https://basketball.realgm.com/nba/stats/2026/Averages/All/points/All/desc/1/Regular_Season</x:v>
      </x:c>
    </x:row>
    <x:row r="318" ht="21" customHeight="1">
      <x:c r="A318" s="64" t="n">
        <x:v>313</x:v>
      </x:c>
      <x:c r="B318" s="59" t="str">
        <x:v>Devin Carter</x:v>
      </x:c>
      <x:c r="C318" s="65" t="str">
        <x:v>ATL</x:v>
      </x:c>
      <x:c r="D318" s="65" t="str">
        <x:v>PG</x:v>
      </x:c>
      <x:c r="E318" s="65" t="str">
        <x:v>PG</x:v>
      </x:c>
      <x:c r="F318" s="66" t="n">
        <x:v>38</x:v>
      </x:c>
      <x:c r="G318" s="67" t="n">
        <x:v>17.95</x:v>
      </x:c>
      <x:c r="H318" s="67" t="n">
        <x:v>11.33</x:v>
      </x:c>
      <x:c r="I318" s="67" t="n">
        <x:v>18.33</x:v>
      </x:c>
      <x:c r="J318" s="67" t="n">
        <x:v>60</x:v>
      </x:c>
      <x:c r="K318" s="67" t="str">
        <x:v>DEEP</x:v>
      </x:c>
      <x:c r="L318" s="67" t="n">
        <x:v>14.83</x:v>
      </x:c>
      <x:c r="M318" s="68" t="n">
        <x:v>889.8</x:v>
      </x:c>
      <x:c r="N318" s="69" t="str">
        <x:v>Available</x:v>
      </x:c>
      <x:c r="O318" s="62" t="str">
        <x:v>Deep-pool model: 2025-26 custom-score production shrunk toward a conservative 2026-27 role estimate; not a published projection.</x:v>
      </x:c>
      <x:c r="P318" s="60"/>
      <x:c r="Q318" s="60"/>
      <x:c r="R318" s="60" t="n">
        <x:v>14.83</x:v>
      </x:c>
      <x:c r="S318" s="60" t="n">
        <x:v>0</x:v>
      </x:c>
      <x:c r="T318" s="72" t="str">
        <x:v>https://github.com/plourr03/wolves-front-office/blob/5d152a169188fb9b210186a7a0d3403d4081ed38/kuminga/data/roster_snapshot_2026_27_v3.csv</x:v>
      </x:c>
      <x:c r="U318" s="87" t="str">
        <x:v>VERY_DEEP</x:v>
      </x:c>
      <x:c r="V318" s="87" t="str">
        <x:v>HIGH</x:v>
      </x:c>
      <x:c r="W318" s="87" t="str">
        <x:v>MODEL</x:v>
      </x:c>
      <x:c r="X318" s="87" t="str">
        <x:v>STANDARD</x:v>
      </x:c>
      <x:c r="Y318" s="87" t="str">
        <x:v>2026-09-28 master / roster context 2026-09-03+</x:v>
      </x:c>
      <x:c r="Z318" s="72" t="str">
        <x:v>https://github.com/plourr03/wolves-front-office/blob/5d152a169188fb9b210186a7a0d3403d4081ed38/kuminga/data/roster_snapshot_2026_27_v3.csv</x:v>
      </x:c>
      <x:c r="AA318" s="72" t="str">
        <x:v>https://github.com/ballacademy/NBA-head-to-head-/blob/5b1decfc31ffb645469c7ffbd01aaca4b18181bd/data/nba-stats/nba-player-stats-202526-regular-season-per-game.csv</x:v>
      </x:c>
    </x:row>
    <x:row r="319" ht="21" customHeight="1">
      <x:c r="A319" s="64" t="n">
        <x:v>314</x:v>
      </x:c>
      <x:c r="B319" s="59" t="str">
        <x:v>Kyle Anderson</x:v>
      </x:c>
      <x:c r="C319" s="65" t="str">
        <x:v>TOR</x:v>
      </x:c>
      <x:c r="D319" s="65" t="str">
        <x:v>PF</x:v>
      </x:c>
      <x:c r="E319" s="65" t="str">
        <x:v>PF</x:v>
      </x:c>
      <x:c r="F319" s="66" t="n">
        <x:v>43</x:v>
      </x:c>
      <x:c r="G319" s="67" t="n">
        <x:v>18.15</x:v>
      </x:c>
      <x:c r="H319" s="67" t="n">
        <x:v>11.33</x:v>
      </x:c>
      <x:c r="I319" s="67" t="n">
        <x:v>18.33</x:v>
      </x:c>
      <x:c r="J319" s="67" t="n">
        <x:v>60</x:v>
      </x:c>
      <x:c r="K319" s="67" t="str">
        <x:v>DEEP</x:v>
      </x:c>
      <x:c r="L319" s="67" t="n">
        <x:v>14.83</x:v>
      </x:c>
      <x:c r="M319" s="68" t="n">
        <x:v>889.8</x:v>
      </x:c>
      <x:c r="N319" s="69" t="str">
        <x:v>Available</x:v>
      </x:c>
      <x:c r="O319" s="62" t="str">
        <x:v>Deep-pool model: 2025-26 custom-score production shrunk toward a conservative 2026-27 role estimate; not a published projection.</x:v>
      </x:c>
      <x:c r="P319" s="60"/>
      <x:c r="Q319" s="60"/>
      <x:c r="R319" s="60" t="n">
        <x:v>14.83</x:v>
      </x:c>
      <x:c r="S319" s="60" t="n">
        <x:v>0</x:v>
      </x:c>
      <x:c r="T319" s="72" t="str">
        <x:v>https://github.com/plourr03/wolves-front-office/blob/5d152a169188fb9b210186a7a0d3403d4081ed38/kuminga/data/roster_snapshot_2026_27_v3.csv</x:v>
      </x:c>
      <x:c r="U319" s="87" t="str">
        <x:v>VERY_DEEP</x:v>
      </x:c>
      <x:c r="V319" s="87" t="str">
        <x:v>HIGH</x:v>
      </x:c>
      <x:c r="W319" s="87" t="str">
        <x:v>MODEL</x:v>
      </x:c>
      <x:c r="X319" s="87" t="str">
        <x:v>STANDARD</x:v>
      </x:c>
      <x:c r="Y319" s="87" t="str">
        <x:v>2026-09-28 master / roster context 2026-09-03+</x:v>
      </x:c>
      <x:c r="Z319" s="72" t="str">
        <x:v>https://github.com/plourr03/wolves-front-office/blob/5d152a169188fb9b210186a7a0d3403d4081ed38/kuminga/data/roster_snapshot_2026_27_v3.csv</x:v>
      </x:c>
      <x:c r="AA319" s="72" t="str">
        <x:v>https://github.com/ballacademy/NBA-head-to-head-/blob/5b1decfc31ffb645469c7ffbd01aaca4b18181bd/data/nba-stats/nba-player-stats-202526-regular-season-per-game.csv</x:v>
      </x:c>
    </x:row>
    <x:row r="320" ht="21" customHeight="1">
      <x:c r="A320" s="64" t="n">
        <x:v>315</x:v>
      </x:c>
      <x:c r="B320" s="59" t="str">
        <x:v>Quenton Jackson</x:v>
      </x:c>
      <x:c r="C320" s="65" t="str">
        <x:v>IND</x:v>
      </x:c>
      <x:c r="D320" s="65" t="str">
        <x:v>PG</x:v>
      </x:c>
      <x:c r="E320" s="65" t="str">
        <x:v>G</x:v>
      </x:c>
      <x:c r="F320" s="66" t="n">
        <x:v>49</x:v>
      </x:c>
      <x:c r="G320" s="67" t="n">
        <x:v>17.7</x:v>
      </x:c>
      <x:c r="H320" s="67" t="n">
        <x:v>11.32</x:v>
      </x:c>
      <x:c r="I320" s="67" t="n">
        <x:v>18.32</x:v>
      </x:c>
      <x:c r="J320" s="67" t="n">
        <x:v>60</x:v>
      </x:c>
      <x:c r="K320" s="67" t="str">
        <x:v>DEEP</x:v>
      </x:c>
      <x:c r="L320" s="67" t="n">
        <x:v>14.82</x:v>
      </x:c>
      <x:c r="M320" s="68" t="n">
        <x:v>889.2</x:v>
      </x:c>
      <x:c r="N320" s="69" t="str">
        <x:v>Available</x:v>
      </x:c>
      <x:c r="O320" s="62" t="str">
        <x:v>Deep-pool model: 2025-26 custom-score production shrunk toward a conservative 2026-27 role estimate; not a published projection.</x:v>
      </x:c>
      <x:c r="P320" s="60"/>
      <x:c r="Q320" s="60"/>
      <x:c r="R320" s="60" t="n">
        <x:v>14.82</x:v>
      </x:c>
      <x:c r="S320" s="60" t="n">
        <x:v>0</x:v>
      </x:c>
      <x:c r="T320" s="72" t="str">
        <x:v>https://github.com/plourr03/wolves-front-office/blob/5d152a169188fb9b210186a7a0d3403d4081ed38/kuminga/data/roster_snapshot_2026_27_v3.csv</x:v>
      </x:c>
      <x:c r="U320" s="87" t="str">
        <x:v>VERY_DEEP</x:v>
      </x:c>
      <x:c r="V320" s="87" t="str">
        <x:v>HIGH</x:v>
      </x:c>
      <x:c r="W320" s="87" t="str">
        <x:v>MODEL</x:v>
      </x:c>
      <x:c r="X320" s="87" t="str">
        <x:v>STANDARD</x:v>
      </x:c>
      <x:c r="Y320" s="87" t="str">
        <x:v>2026-09-28 master / roster context 2026-09-03+</x:v>
      </x:c>
      <x:c r="Z320" s="72" t="str">
        <x:v>https://github.com/plourr03/wolves-front-office/blob/5d152a169188fb9b210186a7a0d3403d4081ed38/kuminga/data/roster_snapshot_2026_27_v3.csv</x:v>
      </x:c>
      <x:c r="AA320" s="72" t="str">
        <x:v>https://github.com/ballacademy/NBA-head-to-head-/blob/5b1decfc31ffb645469c7ffbd01aaca4b18181bd/data/nba-stats/nba-player-stats-202526-regular-season-per-game.csv</x:v>
      </x:c>
    </x:row>
    <x:row r="321" ht="21" customHeight="1">
      <x:c r="A321" s="64" t="n">
        <x:v>316</x:v>
      </x:c>
      <x:c r="B321" s="59" t="str">
        <x:v>Leonard Miller</x:v>
      </x:c>
      <x:c r="C321" s="65" t="str">
        <x:v>CHI</x:v>
      </x:c>
      <x:c r="D321" s="65" t="str">
        <x:v>SF</x:v>
      </x:c>
      <x:c r="E321" s="65" t="str">
        <x:v>SF</x:v>
      </x:c>
      <x:c r="F321" s="66" t="n">
        <x:v>46</x:v>
      </x:c>
      <x:c r="G321" s="67" t="n">
        <x:v>16.9</x:v>
      </x:c>
      <x:c r="H321" s="67" t="n">
        <x:v>11.3</x:v>
      </x:c>
      <x:c r="I321" s="67" t="n">
        <x:v>18.3</x:v>
      </x:c>
      <x:c r="J321" s="67" t="n">
        <x:v>60</x:v>
      </x:c>
      <x:c r="K321" s="67" t="str">
        <x:v>DEEP</x:v>
      </x:c>
      <x:c r="L321" s="67" t="n">
        <x:v>14.8</x:v>
      </x:c>
      <x:c r="M321" s="68" t="n">
        <x:v>888</x:v>
      </x:c>
      <x:c r="N321" s="69" t="str">
        <x:v>Available</x:v>
      </x:c>
      <x:c r="O321" s="62" t="str">
        <x:v>Deep-pool model: 2025-26 custom-score production shrunk toward a conservative 2026-27 role estimate; not a published projection.</x:v>
      </x:c>
      <x:c r="P321" s="60"/>
      <x:c r="Q321" s="60"/>
      <x:c r="R321" s="60" t="n">
        <x:v>14.8</x:v>
      </x:c>
      <x:c r="S321" s="60" t="n">
        <x:v>0</x:v>
      </x:c>
      <x:c r="T321" s="72" t="str">
        <x:v>https://github.com/plourr03/wolves-front-office/blob/5d152a169188fb9b210186a7a0d3403d4081ed38/kuminga/data/roster_snapshot_2026_27_v3.csv</x:v>
      </x:c>
      <x:c r="U321" s="87" t="str">
        <x:v>VERY_DEEP</x:v>
      </x:c>
      <x:c r="V321" s="87" t="str">
        <x:v>HIGH</x:v>
      </x:c>
      <x:c r="W321" s="87" t="str">
        <x:v>MODEL</x:v>
      </x:c>
      <x:c r="X321" s="87" t="str">
        <x:v>STANDARD</x:v>
      </x:c>
      <x:c r="Y321" s="87" t="str">
        <x:v>2026-09-28 master / roster context 2026-09-03+</x:v>
      </x:c>
      <x:c r="Z321" s="72" t="str">
        <x:v>https://github.com/plourr03/wolves-front-office/blob/5d152a169188fb9b210186a7a0d3403d4081ed38/kuminga/data/roster_snapshot_2026_27_v3.csv</x:v>
      </x:c>
      <x:c r="AA321" s="72" t="str">
        <x:v>https://github.com/ballacademy/NBA-head-to-head-/blob/5b1decfc31ffb645469c7ffbd01aaca4b18181bd/data/nba-stats/nba-player-stats-202526-regular-season-per-game.csv</x:v>
      </x:c>
    </x:row>
    <x:row r="322" ht="21" customHeight="1">
      <x:c r="A322" s="64" t="n">
        <x:v>317</x:v>
      </x:c>
      <x:c r="B322" s="59" t="str">
        <x:v>Alex Karaban</x:v>
      </x:c>
      <x:c r="C322" s="65" t="str">
        <x:v>SAC</x:v>
      </x:c>
      <x:c r="D322" s="65" t="str">
        <x:v>PF</x:v>
      </x:c>
      <x:c r="E322" s="65" t="str">
        <x:v>F</x:v>
      </x:c>
      <x:c r="F322" s="66"/>
      <x:c r="G322" s="67"/>
      <x:c r="H322" s="67" t="n">
        <x:v>10.735000000000001</x:v>
      </x:c>
      <x:c r="I322" s="67" t="n">
        <x:v>19.085</x:v>
      </x:c>
      <x:c r="J322" s="67" t="n">
        <x:v>55</x:v>
      </x:c>
      <x:c r="K322" s="67" t="str">
        <x:v>VERY_DEEP</x:v>
      </x:c>
      <x:c r="L322" s="67" t="n">
        <x:v>14.91</x:v>
      </x:c>
      <x:c r="M322" s="68" t="n">
        <x:v>820.05</x:v>
      </x:c>
      <x:c r="N322" s="69" t="str">
        <x:v>Available</x:v>
      </x:c>
      <x:c r="O322" s="62" t="str">
        <x:v>Rookie/depth role estimate with a wide band and limited NBA evidence. Treat as a watch-list projection, not a published forecast.</x:v>
      </x:c>
      <x:c r="P322" s="60"/>
      <x:c r="Q322" s="60"/>
      <x:c r="R322" s="60" t="n">
        <x:v>14.91</x:v>
      </x:c>
      <x:c r="S322" s="60" t="n">
        <x:v>0</x:v>
      </x:c>
      <x:c r="T322" s="72" t="str">
        <x:v>https://github.com/A-V29/NBA.Rosters/blob/main/2026.Summer.League.json</x:v>
      </x:c>
      <x:c r="U322" s="87" t="str">
        <x:v>VERY_DEEP</x:v>
      </x:c>
      <x:c r="V322" s="87" t="str">
        <x:v>MEDIUM</x:v>
      </x:c>
      <x:c r="W322" s="87" t="str">
        <x:v>MODEL-ROOKIE</x:v>
      </x:c>
      <x:c r="X322" s="87" t="str">
        <x:v>CAMP/SUMMER</x:v>
      </x:c>
      <x:c r="Y322" s="87" t="str">
        <x:v>2026-09-28 master / roster context 2026-09-03+</x:v>
      </x:c>
      <x:c r="Z322" s="72" t="str">
        <x:v>https://github.com/A-V29/NBA.Rosters/blob/main/2026.Summer.League.json</x:v>
      </x:c>
      <x:c r="AA322" s="72" t="str">
        <x:v>https://github.com/ballacademy/NBA-head-to-head-/blob/5b1decfc31ffb645469c7ffbd01aaca4b18181bd/data/nba-stats/nba-player-stats-202526-regular-season-per-game.csv</x:v>
      </x:c>
    </x:row>
    <x:row r="323" ht="21" customHeight="1">
      <x:c r="A323" s="64" t="n">
        <x:v>318</x:v>
      </x:c>
      <x:c r="B323" s="59" t="str">
        <x:v>Tristan Vukcevic</x:v>
      </x:c>
      <x:c r="C323" s="65" t="str">
        <x:v>WAS</x:v>
      </x:c>
      <x:c r="D323" s="65" t="str">
        <x:v>C</x:v>
      </x:c>
      <x:c r="E323" s="65" t="str">
        <x:v>C</x:v>
      </x:c>
      <x:c r="F323" s="66" t="n">
        <x:v>49</x:v>
      </x:c>
      <x:c r="G323" s="67" t="n">
        <x:v>16.5</x:v>
      </x:c>
      <x:c r="H323" s="67" t="n">
        <x:v>11.25</x:v>
      </x:c>
      <x:c r="I323" s="67" t="n">
        <x:v>18.25</x:v>
      </x:c>
      <x:c r="J323" s="67" t="n">
        <x:v>60</x:v>
      </x:c>
      <x:c r="K323" s="67" t="str">
        <x:v>DEEP</x:v>
      </x:c>
      <x:c r="L323" s="67" t="n">
        <x:v>14.75</x:v>
      </x:c>
      <x:c r="M323" s="68" t="n">
        <x:v>885</x:v>
      </x:c>
      <x:c r="N323" s="69" t="str">
        <x:v>Available</x:v>
      </x:c>
      <x:c r="O323" s="62" t="str">
        <x:v>Deep-pool model: 2025-26 custom-score production shrunk toward a conservative 2026-27 role estimate; not a published projection.</x:v>
      </x:c>
      <x:c r="P323" s="60"/>
      <x:c r="Q323" s="60"/>
      <x:c r="R323" s="60" t="n">
        <x:v>14.75</x:v>
      </x:c>
      <x:c r="S323" s="60" t="n">
        <x:v>0</x:v>
      </x:c>
      <x:c r="T323" s="72" t="str">
        <x:v>https://github.com/plourr03/wolves-front-office/blob/5d152a169188fb9b210186a7a0d3403d4081ed38/kuminga/data/roster_snapshot_2026_27_v3.csv</x:v>
      </x:c>
      <x:c r="U323" s="87" t="str">
        <x:v>VERY_DEEP</x:v>
      </x:c>
      <x:c r="V323" s="87" t="str">
        <x:v>HIGH</x:v>
      </x:c>
      <x:c r="W323" s="87" t="str">
        <x:v>MODEL</x:v>
      </x:c>
      <x:c r="X323" s="87" t="str">
        <x:v>STANDARD</x:v>
      </x:c>
      <x:c r="Y323" s="87" t="str">
        <x:v>2026-09-28 master / roster context 2026-09-03+</x:v>
      </x:c>
      <x:c r="Z323" s="72" t="str">
        <x:v>https://github.com/plourr03/wolves-front-office/blob/5d152a169188fb9b210186a7a0d3403d4081ed38/kuminga/data/roster_snapshot_2026_27_v3.csv</x:v>
      </x:c>
      <x:c r="AA323" s="72" t="str">
        <x:v>https://github.com/ballacademy/NBA-head-to-head-/blob/5b1decfc31ffb645469c7ffbd01aaca4b18181bd/data/nba-stats/nba-player-stats-202526-regular-season-per-game.csv</x:v>
      </x:c>
    </x:row>
    <x:row r="324" ht="21" customHeight="1">
      <x:c r="A324" s="64" t="n">
        <x:v>319</x:v>
      </x:c>
      <x:c r="B324" s="59" t="str">
        <x:v>Blake Hinson</x:v>
      </x:c>
      <x:c r="C324" s="65" t="str">
        <x:v>UTA</x:v>
      </x:c>
      <x:c r="D324" s="65" t="str">
        <x:v>SF</x:v>
      </x:c>
      <x:c r="E324" s="65" t="str">
        <x:v>SF</x:v>
      </x:c>
      <x:c r="F324" s="66" t="n">
        <x:v>14</x:v>
      </x:c>
      <x:c r="G324" s="67" t="n">
        <x:v>21.2</x:v>
      </x:c>
      <x:c r="H324" s="67" t="n">
        <x:v>10.52</x:v>
      </x:c>
      <x:c r="I324" s="67" t="n">
        <x:v>18.7</x:v>
      </x:c>
      <x:c r="J324" s="67" t="n">
        <x:v>64</x:v>
      </x:c>
      <x:c r="K324" s="67" t="str">
        <x:v>VERY_DEEP</x:v>
      </x:c>
      <x:c r="L324" s="67" t="n">
        <x:v>14.61</x:v>
      </x:c>
      <x:c r="M324" s="68" t="n">
        <x:v>935.04</x:v>
      </x:c>
      <x:c r="N324" s="69" t="str">
        <x:v>Available</x:v>
      </x:c>
      <x:c r="O324" s="62" t="str">
        <x:v>Very-deep model estimate with limited sample/role certainty. Use as a search/watch-list value and refresh once final rotations are known.</x:v>
      </x:c>
      <x:c r="P324" s="60"/>
      <x:c r="Q324" s="60"/>
      <x:c r="R324" s="60" t="n">
        <x:v>14.61</x:v>
      </x:c>
      <x:c r="S324" s="60" t="n">
        <x:v>0</x:v>
      </x:c>
      <x:c r="T324" s="72" t="str">
        <x:v>https://github.com/A-V29/NBA.Rosters/blob/main/2026.Summer.League.json</x:v>
      </x:c>
      <x:c r="U324" s="87" t="str">
        <x:v>VERY_DEEP</x:v>
      </x:c>
      <x:c r="V324" s="87" t="str">
        <x:v>MEDIUM</x:v>
      </x:c>
      <x:c r="W324" s="87" t="str">
        <x:v>MODEL</x:v>
      </x:c>
      <x:c r="X324" s="87" t="str">
        <x:v>CAMP/SUMMER</x:v>
      </x:c>
      <x:c r="Y324" s="87" t="str">
        <x:v>2026-09-28 master / roster context 2026-09-03+</x:v>
      </x:c>
      <x:c r="Z324" s="72" t="str">
        <x:v>https://github.com/A-V29/NBA.Rosters/blob/main/2026.Summer.League.json</x:v>
      </x:c>
      <x:c r="AA324" s="72" t="str">
        <x:v>https://github.com/ballacademy/NBA-head-to-head-/blob/5b1decfc31ffb645469c7ffbd01aaca4b18181bd/data/nba-stats/nba-player-stats-202526-regular-season-per-game.csv</x:v>
      </x:c>
    </x:row>
    <x:row r="325" ht="21" customHeight="1">
      <x:c r="A325" s="64" t="n">
        <x:v>320</x:v>
      </x:c>
      <x:c r="B325" s="59" t="str">
        <x:v>Dereck Lively II</x:v>
      </x:c>
      <x:c r="C325" s="65" t="str">
        <x:v>DAL</x:v>
      </x:c>
      <x:c r="D325" s="65" t="str">
        <x:v>C</x:v>
      </x:c>
      <x:c r="E325" s="65" t="str">
        <x:v>C</x:v>
      </x:c>
      <x:c r="F325" s="66" t="n">
        <x:v>7</x:v>
      </x:c>
      <x:c r="G325" s="67" t="n">
        <x:v>18.65</x:v>
      </x:c>
      <x:c r="H325" s="67" t="n">
        <x:v>10.55</x:v>
      </x:c>
      <x:c r="I325" s="67" t="n">
        <x:v>18.75</x:v>
      </x:c>
      <x:c r="J325" s="67" t="n">
        <x:v>60</x:v>
      </x:c>
      <x:c r="K325" s="67" t="str">
        <x:v>VERY_DEEP</x:v>
      </x:c>
      <x:c r="L325" s="67" t="n">
        <x:v>14.65</x:v>
      </x:c>
      <x:c r="M325" s="68" t="n">
        <x:v>879</x:v>
      </x:c>
      <x:c r="N325" s="69" t="str">
        <x:v>Available</x:v>
      </x:c>
      <x:c r="O325" s="62" t="str">
        <x:v>Very-deep model estimate with limited sample/role certainty. Use as a search/watch-list value and refresh once final rotations are known.</x:v>
      </x:c>
      <x:c r="P325" s="60"/>
      <x:c r="Q325" s="60"/>
      <x:c r="R325" s="60" t="n">
        <x:v>14.65</x:v>
      </x:c>
      <x:c r="S325" s="60" t="n">
        <x:v>0</x:v>
      </x:c>
      <x:c r="T325" s="72" t="str">
        <x:v>https://github.com/plourr03/wolves-front-office/blob/5d152a169188fb9b210186a7a0d3403d4081ed38/kuminga/data/roster_snapshot_2026_27_v3.csv</x:v>
      </x:c>
      <x:c r="U325" s="87" t="str">
        <x:v>VERY_DEEP</x:v>
      </x:c>
      <x:c r="V325" s="87" t="str">
        <x:v>MEDIUM</x:v>
      </x:c>
      <x:c r="W325" s="87" t="str">
        <x:v>MODEL</x:v>
      </x:c>
      <x:c r="X325" s="87" t="str">
        <x:v>STANDARD</x:v>
      </x:c>
      <x:c r="Y325" s="87" t="str">
        <x:v>2026-09-28 master / roster context 2026-09-03+</x:v>
      </x:c>
      <x:c r="Z325" s="72" t="str">
        <x:v>https://github.com/plourr03/wolves-front-office/blob/5d152a169188fb9b210186a7a0d3403d4081ed38/kuminga/data/roster_snapshot_2026_27_v3.csv</x:v>
      </x:c>
      <x:c r="AA325" s="72" t="str">
        <x:v>https://github.com/ballacademy/NBA-head-to-head-/blob/5b1decfc31ffb645469c7ffbd01aaca4b18181bd/data/nba-stats/nba-player-stats-202526-regular-season-per-game.csv</x:v>
      </x:c>
    </x:row>
    <x:row r="326" ht="21" customHeight="1">
      <x:c r="A326" s="64" t="n">
        <x:v>321</x:v>
      </x:c>
      <x:c r="B326" s="59" t="str">
        <x:v>Josh Minott</x:v>
      </x:c>
      <x:c r="C326" s="65" t="str">
        <x:v>BKN</x:v>
      </x:c>
      <x:c r="D326" s="65" t="str">
        <x:v>SF</x:v>
      </x:c>
      <x:c r="E326" s="65" t="str">
        <x:v>SF</x:v>
      </x:c>
      <x:c r="F326" s="66" t="n">
        <x:v>49</x:v>
      </x:c>
      <x:c r="G326" s="67" t="n">
        <x:v>16.9</x:v>
      </x:c>
      <x:c r="H326" s="67" t="n">
        <x:v>11</x:v>
      </x:c>
      <x:c r="I326" s="67" t="n">
        <x:v>18</x:v>
      </x:c>
      <x:c r="J326" s="67" t="n">
        <x:v>60</x:v>
      </x:c>
      <x:c r="K326" s="67" t="str">
        <x:v>DEEP</x:v>
      </x:c>
      <x:c r="L326" s="67" t="n">
        <x:v>14.5</x:v>
      </x:c>
      <x:c r="M326" s="68" t="n">
        <x:v>870</x:v>
      </x:c>
      <x:c r="N326" s="69" t="str">
        <x:v>Available</x:v>
      </x:c>
      <x:c r="O326" s="62" t="str">
        <x:v>Deep-pool model: 2025-26 custom-score production shrunk toward a conservative 2026-27 role estimate; not a published projection.</x:v>
      </x:c>
      <x:c r="P326" s="60"/>
      <x:c r="Q326" s="60"/>
      <x:c r="R326" s="60" t="n">
        <x:v>14.5</x:v>
      </x:c>
      <x:c r="S326" s="60" t="n">
        <x:v>0</x:v>
      </x:c>
      <x:c r="T326" s="72" t="str">
        <x:v>https://github.com/plourr03/wolves-front-office/blob/5d152a169188fb9b210186a7a0d3403d4081ed38/kuminga/data/roster_snapshot_2026_27_v3.csv</x:v>
      </x:c>
      <x:c r="U326" s="87" t="str">
        <x:v>VERY_DEEP</x:v>
      </x:c>
      <x:c r="V326" s="87" t="str">
        <x:v>HIGH</x:v>
      </x:c>
      <x:c r="W326" s="87" t="str">
        <x:v>MODEL</x:v>
      </x:c>
      <x:c r="X326" s="87" t="str">
        <x:v>STANDARD</x:v>
      </x:c>
      <x:c r="Y326" s="87" t="str">
        <x:v>2026-09-28 master / roster context 2026-09-03+</x:v>
      </x:c>
      <x:c r="Z326" s="72" t="str">
        <x:v>https://github.com/plourr03/wolves-front-office/blob/5d152a169188fb9b210186a7a0d3403d4081ed38/kuminga/data/roster_snapshot_2026_27_v3.csv</x:v>
      </x:c>
      <x:c r="AA326" s="72" t="str">
        <x:v>https://github.com/ballacademy/NBA-head-to-head-/blob/5b1decfc31ffb645469c7ffbd01aaca4b18181bd/data/nba-stats/nba-player-stats-202526-regular-season-per-game.csv</x:v>
      </x:c>
    </x:row>
    <x:row r="327" ht="21" customHeight="1">
      <x:c r="A327" s="64" t="n">
        <x:v>322</x:v>
      </x:c>
      <x:c r="B327" s="59" t="str">
        <x:v>Kris Murray</x:v>
      </x:c>
      <x:c r="C327" s="65" t="str">
        <x:v>MEM</x:v>
      </x:c>
      <x:c r="D327" s="65" t="str">
        <x:v>PF</x:v>
      </x:c>
      <x:c r="E327" s="65" t="str">
        <x:v>PF</x:v>
      </x:c>
      <x:c r="F327" s="66" t="n">
        <x:v>57</x:v>
      </x:c>
      <x:c r="G327" s="67" t="n">
        <x:v>16.3</x:v>
      </x:c>
      <x:c r="H327" s="67" t="n">
        <x:v>10.91</x:v>
      </x:c>
      <x:c r="I327" s="67" t="n">
        <x:v>17.91</x:v>
      </x:c>
      <x:c r="J327" s="67" t="n">
        <x:v>60</x:v>
      </x:c>
      <x:c r="K327" s="67" t="str">
        <x:v>DEEP</x:v>
      </x:c>
      <x:c r="L327" s="67" t="n">
        <x:v>14.41</x:v>
      </x:c>
      <x:c r="M327" s="68" t="n">
        <x:v>864.6</x:v>
      </x:c>
      <x:c r="N327" s="69" t="str">
        <x:v>Available</x:v>
      </x:c>
      <x:c r="O327" s="62" t="str">
        <x:v>Deep-pool model: 2025-26 custom-score production shrunk toward a conservative 2026-27 role estimate; not a published projection.</x:v>
      </x:c>
      <x:c r="P327" s="60"/>
      <x:c r="Q327" s="60"/>
      <x:c r="R327" s="60" t="n">
        <x:v>14.41</x:v>
      </x:c>
      <x:c r="S327" s="60" t="n">
        <x:v>0</x:v>
      </x:c>
      <x:c r="T327" s="72" t="str">
        <x:v>https://github.com/plourr03/wolves-front-office/blob/5d152a169188fb9b210186a7a0d3403d4081ed38/kuminga/data/roster_snapshot_2026_27_v3.csv</x:v>
      </x:c>
      <x:c r="U327" s="87" t="str">
        <x:v>VERY_DEEP</x:v>
      </x:c>
      <x:c r="V327" s="87" t="str">
        <x:v>HIGH</x:v>
      </x:c>
      <x:c r="W327" s="87" t="str">
        <x:v>MODEL</x:v>
      </x:c>
      <x:c r="X327" s="87" t="str">
        <x:v>STANDARD</x:v>
      </x:c>
      <x:c r="Y327" s="87" t="str">
        <x:v>2026-09-28 master / roster context 2026-09-03+</x:v>
      </x:c>
      <x:c r="Z327" s="72" t="str">
        <x:v>https://github.com/plourr03/wolves-front-office/blob/5d152a169188fb9b210186a7a0d3403d4081ed38/kuminga/data/roster_snapshot_2026_27_v3.csv</x:v>
      </x:c>
      <x:c r="AA327" s="72" t="str">
        <x:v>https://github.com/ballacademy/NBA-head-to-head-/blob/5b1decfc31ffb645469c7ffbd01aaca4b18181bd/data/nba-stats/nba-player-stats-202526-regular-season-per-game.csv</x:v>
      </x:c>
    </x:row>
    <x:row r="328" ht="21" customHeight="1">
      <x:c r="A328" s="64" t="n">
        <x:v>323</x:v>
      </x:c>
      <x:c r="B328" s="59" t="str">
        <x:v>Morez Johnson Jr.</x:v>
      </x:c>
      <x:c r="C328" s="65" t="str">
        <x:v>DAL</x:v>
      </x:c>
      <x:c r="D328" s="65" t="str">
        <x:v>C</x:v>
      </x:c>
      <x:c r="E328" s="65" t="str">
        <x:v>C</x:v>
      </x:c>
      <x:c r="F328" s="66"/>
      <x:c r="G328" s="67"/>
      <x:c r="H328" s="67" t="n">
        <x:v>8.575</x:v>
      </x:c>
      <x:c r="I328" s="67" t="n">
        <x:v>20.005</x:v>
      </x:c>
      <x:c r="J328" s="67" t="n">
        <x:v>60</x:v>
      </x:c>
      <x:c r="K328" s="67" t="str">
        <x:v>WATCH</x:v>
      </x:c>
      <x:c r="L328" s="67" t="n">
        <x:v>14.29</x:v>
      </x:c>
      <x:c r="M328" s="68" t="n">
        <x:v>857.4</x:v>
      </x:c>
      <x:c r="N328" s="69" t="str">
        <x:v>Available</x:v>
      </x:c>
      <x:c r="O328" s="62" t="str">
        <x:v>Rookie/depth role estimate with a wide band and limited NBA evidence. Treat as a watch-list projection, not a published forecast.</x:v>
      </x:c>
      <x:c r="P328" s="60"/>
      <x:c r="Q328" s="60"/>
      <x:c r="R328" s="60" t="n">
        <x:v>14.29</x:v>
      </x:c>
      <x:c r="S328" s="60" t="n">
        <x:v>0</x:v>
      </x:c>
      <x:c r="T328" s="72" t="str">
        <x:v>https://github.com/plourr03/wolves-front-office/blob/5d152a169188fb9b210186a7a0d3403d4081ed38/kuminga/data/roster_snapshot_2026_27_v3.csv</x:v>
      </x:c>
      <x:c r="U328" s="87" t="str">
        <x:v>VERY_DEEP</x:v>
      </x:c>
      <x:c r="V328" s="87" t="str">
        <x:v>LOW</x:v>
      </x:c>
      <x:c r="W328" s="87" t="str">
        <x:v>MODEL-ROOKIE</x:v>
      </x:c>
      <x:c r="X328" s="87" t="str">
        <x:v>STANDARD</x:v>
      </x:c>
      <x:c r="Y328" s="87" t="str">
        <x:v>2026-09-28 master / roster context 2026-09-03+</x:v>
      </x:c>
      <x:c r="Z328" s="72" t="str">
        <x:v>https://github.com/plourr03/wolves-front-office/blob/5d152a169188fb9b210186a7a0d3403d4081ed38/kuminga/data/roster_snapshot_2026_27_v3.csv</x:v>
      </x:c>
      <x:c r="AA328" s="72" t="str">
        <x:v>https://github.com/ballacademy/NBA-head-to-head-/blob/5b1decfc31ffb645469c7ffbd01aaca4b18181bd/data/nba-stats/nba-player-stats-202526-regular-season-per-game.csv</x:v>
      </x:c>
    </x:row>
    <x:row r="329" ht="21" customHeight="1">
      <x:c r="A329" s="64" t="n">
        <x:v>324</x:v>
      </x:c>
      <x:c r="B329" s="59" t="str">
        <x:v>Kasparas Jakucionis</x:v>
      </x:c>
      <x:c r="C329" s="65" t="str">
        <x:v>MIL</x:v>
      </x:c>
      <x:c r="D329" s="65" t="str">
        <x:v>PG</x:v>
      </x:c>
      <x:c r="E329" s="65" t="str">
        <x:v>PG</x:v>
      </x:c>
      <x:c r="F329" s="66" t="n">
        <x:v>53</x:v>
      </x:c>
      <x:c r="G329" s="67" t="n">
        <x:v>15.35</x:v>
      </x:c>
      <x:c r="H329" s="67" t="n">
        <x:v>10.66</x:v>
      </x:c>
      <x:c r="I329" s="67" t="n">
        <x:v>17.66</x:v>
      </x:c>
      <x:c r="J329" s="67" t="n">
        <x:v>64</x:v>
      </x:c>
      <x:c r="K329" s="67" t="str">
        <x:v>DEEP</x:v>
      </x:c>
      <x:c r="L329" s="67" t="n">
        <x:v>14.16</x:v>
      </x:c>
      <x:c r="M329" s="68" t="n">
        <x:v>906.24</x:v>
      </x:c>
      <x:c r="N329" s="69" t="str">
        <x:v>Available</x:v>
      </x:c>
      <x:c r="O329" s="62" t="str">
        <x:v>Deep-pool model: 2025-26 custom-score production shrunk toward a conservative 2026-27 role estimate; not a published projection.</x:v>
      </x:c>
      <x:c r="P329" s="60"/>
      <x:c r="Q329" s="60"/>
      <x:c r="R329" s="60" t="n">
        <x:v>14.16</x:v>
      </x:c>
      <x:c r="S329" s="60" t="n">
        <x:v>0</x:v>
      </x:c>
      <x:c r="T329" s="72" t="str">
        <x:v>https://github.com/A-V29/NBA.Rosters/blob/main/2026.Summer.League.json</x:v>
      </x:c>
      <x:c r="U329" s="87" t="str">
        <x:v>VERY_DEEP</x:v>
      </x:c>
      <x:c r="V329" s="87" t="str">
        <x:v>HIGH</x:v>
      </x:c>
      <x:c r="W329" s="87" t="str">
        <x:v>MODEL</x:v>
      </x:c>
      <x:c r="X329" s="87" t="str">
        <x:v>CAMP/SUMMER</x:v>
      </x:c>
      <x:c r="Y329" s="87" t="str">
        <x:v>2026-09-28 master / roster context 2026-09-03+</x:v>
      </x:c>
      <x:c r="Z329" s="72" t="str">
        <x:v>https://github.com/A-V29/NBA.Rosters/blob/main/2026.Summer.League.json</x:v>
      </x:c>
      <x:c r="AA329" s="72" t="str">
        <x:v>https://github.com/ballacademy/NBA-head-to-head-/blob/5b1decfc31ffb645469c7ffbd01aaca4b18181bd/data/nba-stats/nba-player-stats-202526-regular-season-per-game.csv</x:v>
      </x:c>
    </x:row>
    <x:row r="330" ht="21" customHeight="1">
      <x:c r="A330" s="64" t="n">
        <x:v>325</x:v>
      </x:c>
      <x:c r="B330" s="59" t="str">
        <x:v>Landry Shamet</x:v>
      </x:c>
      <x:c r="C330" s="65" t="str">
        <x:v>NYK</x:v>
      </x:c>
      <x:c r="D330" s="65" t="str">
        <x:v>SG</x:v>
      </x:c>
      <x:c r="E330" s="65" t="str">
        <x:v>SG</x:v>
      </x:c>
      <x:c r="F330" s="66" t="n">
        <x:v>51</x:v>
      </x:c>
      <x:c r="G330" s="67" t="n">
        <x:v>16.3</x:v>
      </x:c>
      <x:c r="H330" s="67" t="n">
        <x:v>10.73</x:v>
      </x:c>
      <x:c r="I330" s="67" t="n">
        <x:v>17.73</x:v>
      </x:c>
      <x:c r="J330" s="67" t="n">
        <x:v>60</x:v>
      </x:c>
      <x:c r="K330" s="67" t="str">
        <x:v>DEEP</x:v>
      </x:c>
      <x:c r="L330" s="67" t="n">
        <x:v>14.23</x:v>
      </x:c>
      <x:c r="M330" s="68" t="n">
        <x:v>853.8000000000001</x:v>
      </x:c>
      <x:c r="N330" s="69" t="str">
        <x:v>Available</x:v>
      </x:c>
      <x:c r="O330" s="62" t="str">
        <x:v>Deep-pool model: 2025-26 custom-score production shrunk toward a conservative 2026-27 role estimate; not a published projection.</x:v>
      </x:c>
      <x:c r="P330" s="60"/>
      <x:c r="Q330" s="60"/>
      <x:c r="R330" s="60" t="n">
        <x:v>14.23</x:v>
      </x:c>
      <x:c r="S330" s="60" t="n">
        <x:v>0</x:v>
      </x:c>
      <x:c r="T330" s="72" t="str">
        <x:v>https://github.com/plourr03/wolves-front-office/blob/5d152a169188fb9b210186a7a0d3403d4081ed38/kuminga/data/roster_snapshot_2026_27_v3.csv</x:v>
      </x:c>
      <x:c r="U330" s="87" t="str">
        <x:v>VERY_DEEP</x:v>
      </x:c>
      <x:c r="V330" s="87" t="str">
        <x:v>HIGH</x:v>
      </x:c>
      <x:c r="W330" s="87" t="str">
        <x:v>MODEL</x:v>
      </x:c>
      <x:c r="X330" s="87" t="str">
        <x:v>STANDARD</x:v>
      </x:c>
      <x:c r="Y330" s="87" t="str">
        <x:v>2026-09-28 master / roster context 2026-09-03+</x:v>
      </x:c>
      <x:c r="Z330" s="72" t="str">
        <x:v>https://github.com/plourr03/wolves-front-office/blob/5d152a169188fb9b210186a7a0d3403d4081ed38/kuminga/data/roster_snapshot_2026_27_v3.csv</x:v>
      </x:c>
      <x:c r="AA330" s="72" t="str">
        <x:v>https://github.com/ballacademy/NBA-head-to-head-/blob/5b1decfc31ffb645469c7ffbd01aaca4b18181bd/data/nba-stats/nba-player-stats-202526-regular-season-per-game.csv</x:v>
      </x:c>
    </x:row>
    <x:row r="331" ht="21" customHeight="1">
      <x:c r="A331" s="64" t="n">
        <x:v>326</x:v>
      </x:c>
      <x:c r="B331" s="59" t="str">
        <x:v>Jamal Shead</x:v>
      </x:c>
      <x:c r="C331" s="65" t="str">
        <x:v>TOR</x:v>
      </x:c>
      <x:c r="D331" s="65" t="str">
        <x:v>PG</x:v>
      </x:c>
      <x:c r="E331" s="65" t="str">
        <x:v>PG</x:v>
      </x:c>
      <x:c r="F331" s="66" t="n">
        <x:v>82</x:v>
      </x:c>
      <x:c r="G331" s="67" t="n">
        <x:v>16.6</x:v>
      </x:c>
      <x:c r="H331" s="67" t="n">
        <x:v>10.68</x:v>
      </x:c>
      <x:c r="I331" s="67" t="n">
        <x:v>17.68</x:v>
      </x:c>
      <x:c r="J331" s="67" t="n">
        <x:v>60</x:v>
      </x:c>
      <x:c r="K331" s="67" t="str">
        <x:v>DEEP</x:v>
      </x:c>
      <x:c r="L331" s="67" t="n">
        <x:v>14.18</x:v>
      </x:c>
      <x:c r="M331" s="68" t="n">
        <x:v>850.8</x:v>
      </x:c>
      <x:c r="N331" s="69" t="str">
        <x:v>Available</x:v>
      </x:c>
      <x:c r="O331" s="62" t="str">
        <x:v>Deep-pool model: 2025-26 custom-score production shrunk toward a conservative 2026-27 role estimate; not a published projection.</x:v>
      </x:c>
      <x:c r="P331" s="60"/>
      <x:c r="Q331" s="60"/>
      <x:c r="R331" s="60" t="n">
        <x:v>14.18</x:v>
      </x:c>
      <x:c r="S331" s="60" t="n">
        <x:v>0</x:v>
      </x:c>
      <x:c r="T331" s="72" t="str">
        <x:v>https://github.com/plourr03/wolves-front-office/blob/5d152a169188fb9b210186a7a0d3403d4081ed38/kuminga/data/roster_snapshot_2026_27_v3.csv</x:v>
      </x:c>
      <x:c r="U331" s="87" t="str">
        <x:v>VERY_DEEP</x:v>
      </x:c>
      <x:c r="V331" s="87" t="str">
        <x:v>HIGH</x:v>
      </x:c>
      <x:c r="W331" s="87" t="str">
        <x:v>MODEL</x:v>
      </x:c>
      <x:c r="X331" s="87" t="str">
        <x:v>STANDARD</x:v>
      </x:c>
      <x:c r="Y331" s="87" t="str">
        <x:v>2026-09-28 master / roster context 2026-09-03+</x:v>
      </x:c>
      <x:c r="Z331" s="72" t="str">
        <x:v>https://github.com/plourr03/wolves-front-office/blob/5d152a169188fb9b210186a7a0d3403d4081ed38/kuminga/data/roster_snapshot_2026_27_v3.csv</x:v>
      </x:c>
      <x:c r="AA331" s="72" t="str">
        <x:v>https://github.com/ballacademy/NBA-head-to-head-/blob/5b1decfc31ffb645469c7ffbd01aaca4b18181bd/data/nba-stats/nba-player-stats-202526-regular-season-per-game.csv</x:v>
      </x:c>
    </x:row>
    <x:row r="332" ht="21" customHeight="1">
      <x:c r="A332" s="64" t="n">
        <x:v>327</x:v>
      </x:c>
      <x:c r="B332" s="59" t="str">
        <x:v>Simone Fontecchio</x:v>
      </x:c>
      <x:c r="C332" s="65" t="str">
        <x:v>MIA</x:v>
      </x:c>
      <x:c r="D332" s="65" t="str">
        <x:v>SF</x:v>
      </x:c>
      <x:c r="E332" s="65" t="str">
        <x:v>SF</x:v>
      </x:c>
      <x:c r="F332" s="66" t="n">
        <x:v>70</x:v>
      </x:c>
      <x:c r="G332" s="67" t="n">
        <x:v>16.55</x:v>
      </x:c>
      <x:c r="H332" s="67" t="n">
        <x:v>10.67</x:v>
      </x:c>
      <x:c r="I332" s="67" t="n">
        <x:v>17.67</x:v>
      </x:c>
      <x:c r="J332" s="67" t="n">
        <x:v>60</x:v>
      </x:c>
      <x:c r="K332" s="67" t="str">
        <x:v>DEEP</x:v>
      </x:c>
      <x:c r="L332" s="67" t="n">
        <x:v>14.17</x:v>
      </x:c>
      <x:c r="M332" s="68" t="n">
        <x:v>850.2</x:v>
      </x:c>
      <x:c r="N332" s="69" t="str">
        <x:v>Available</x:v>
      </x:c>
      <x:c r="O332" s="62" t="str">
        <x:v>Deep-pool model: 2025-26 custom-score production shrunk toward a conservative 2026-27 role estimate; not a published projection.</x:v>
      </x:c>
      <x:c r="P332" s="60"/>
      <x:c r="Q332" s="60"/>
      <x:c r="R332" s="60" t="n">
        <x:v>14.17</x:v>
      </x:c>
      <x:c r="S332" s="60" t="n">
        <x:v>0</x:v>
      </x:c>
      <x:c r="T332" s="72" t="str">
        <x:v>https://github.com/plourr03/wolves-front-office/blob/5d152a169188fb9b210186a7a0d3403d4081ed38/kuminga/data/roster_snapshot_2026_27_v3.csv</x:v>
      </x:c>
      <x:c r="U332" s="87" t="str">
        <x:v>VERY_DEEP</x:v>
      </x:c>
      <x:c r="V332" s="87" t="str">
        <x:v>HIGH</x:v>
      </x:c>
      <x:c r="W332" s="87" t="str">
        <x:v>MODEL</x:v>
      </x:c>
      <x:c r="X332" s="87" t="str">
        <x:v>STANDARD</x:v>
      </x:c>
      <x:c r="Y332" s="87" t="str">
        <x:v>2026-09-28 master / roster context 2026-09-03+</x:v>
      </x:c>
      <x:c r="Z332" s="72" t="str">
        <x:v>https://github.com/plourr03/wolves-front-office/blob/5d152a169188fb9b210186a7a0d3403d4081ed38/kuminga/data/roster_snapshot_2026_27_v3.csv</x:v>
      </x:c>
      <x:c r="AA332" s="72" t="str">
        <x:v>https://github.com/ballacademy/NBA-head-to-head-/blob/5b1decfc31ffb645469c7ffbd01aaca4b18181bd/data/nba-stats/nba-player-stats-202526-regular-season-per-game.csv</x:v>
      </x:c>
    </x:row>
    <x:row r="333" ht="21" customHeight="1">
      <x:c r="A333" s="64" t="n">
        <x:v>328</x:v>
      </x:c>
      <x:c r="B333" s="59" t="str">
        <x:v>Jordan Walsh</x:v>
      </x:c>
      <x:c r="C333" s="65" t="str">
        <x:v>BOS</x:v>
      </x:c>
      <x:c r="D333" s="65" t="str">
        <x:v>SF</x:v>
      </x:c>
      <x:c r="E333" s="65" t="str">
        <x:v>SF</x:v>
      </x:c>
      <x:c r="F333" s="66" t="n">
        <x:v>68</x:v>
      </x:c>
      <x:c r="G333" s="67" t="n">
        <x:v>15.55</x:v>
      </x:c>
      <x:c r="H333" s="67" t="n">
        <x:v>10.65</x:v>
      </x:c>
      <x:c r="I333" s="67" t="n">
        <x:v>17.65</x:v>
      </x:c>
      <x:c r="J333" s="67" t="n">
        <x:v>60</x:v>
      </x:c>
      <x:c r="K333" s="67" t="str">
        <x:v>DEEP</x:v>
      </x:c>
      <x:c r="L333" s="67" t="n">
        <x:v>14.15</x:v>
      </x:c>
      <x:c r="M333" s="68" t="n">
        <x:v>849</x:v>
      </x:c>
      <x:c r="N333" s="69" t="str">
        <x:v>Available</x:v>
      </x:c>
      <x:c r="O333" s="62" t="str">
        <x:v>Deep-pool model: 2025-26 custom-score production shrunk toward a conservative 2026-27 role estimate; not a published projection.</x:v>
      </x:c>
      <x:c r="P333" s="60"/>
      <x:c r="Q333" s="60"/>
      <x:c r="R333" s="60" t="n">
        <x:v>14.15</x:v>
      </x:c>
      <x:c r="S333" s="60" t="n">
        <x:v>0</x:v>
      </x:c>
      <x:c r="T333" s="72" t="str">
        <x:v>https://github.com/plourr03/wolves-front-office/blob/5d152a169188fb9b210186a7a0d3403d4081ed38/kuminga/data/roster_snapshot_2026_27_v3.csv</x:v>
      </x:c>
      <x:c r="U333" s="87" t="str">
        <x:v>VERY_DEEP</x:v>
      </x:c>
      <x:c r="V333" s="87" t="str">
        <x:v>HIGH</x:v>
      </x:c>
      <x:c r="W333" s="87" t="str">
        <x:v>MODEL</x:v>
      </x:c>
      <x:c r="X333" s="87" t="str">
        <x:v>STANDARD</x:v>
      </x:c>
      <x:c r="Y333" s="87" t="str">
        <x:v>2026-09-28 master / roster context 2026-09-03+</x:v>
      </x:c>
      <x:c r="Z333" s="72" t="str">
        <x:v>https://github.com/plourr03/wolves-front-office/blob/5d152a169188fb9b210186a7a0d3403d4081ed38/kuminga/data/roster_snapshot_2026_27_v3.csv</x:v>
      </x:c>
      <x:c r="AA333" s="72" t="str">
        <x:v>https://github.com/ballacademy/NBA-head-to-head-/blob/5b1decfc31ffb645469c7ffbd01aaca4b18181bd/data/nba-stats/nba-player-stats-202526-regular-season-per-game.csv</x:v>
      </x:c>
    </x:row>
    <x:row r="334" ht="21" customHeight="1">
      <x:c r="A334" s="64" t="n">
        <x:v>329</x:v>
      </x:c>
      <x:c r="B334" s="59" t="str">
        <x:v>Adem Bona</x:v>
      </x:c>
      <x:c r="C334" s="65" t="str">
        <x:v>PHI</x:v>
      </x:c>
      <x:c r="D334" s="65" t="str">
        <x:v>C</x:v>
      </x:c>
      <x:c r="E334" s="65" t="str">
        <x:v>C</x:v>
      </x:c>
      <x:c r="F334" s="66" t="n">
        <x:v>71</x:v>
      </x:c>
      <x:c r="G334" s="67" t="n">
        <x:v>15.55</x:v>
      </x:c>
      <x:c r="H334" s="67" t="n">
        <x:v>10.62</x:v>
      </x:c>
      <x:c r="I334" s="67" t="n">
        <x:v>17.619999999999997</x:v>
      </x:c>
      <x:c r="J334" s="67" t="n">
        <x:v>60</x:v>
      </x:c>
      <x:c r="K334" s="67" t="str">
        <x:v>DEEP</x:v>
      </x:c>
      <x:c r="L334" s="67" t="n">
        <x:v>14.12</x:v>
      </x:c>
      <x:c r="M334" s="68" t="n">
        <x:v>847.1999999999999</x:v>
      </x:c>
      <x:c r="N334" s="69" t="str">
        <x:v>Available</x:v>
      </x:c>
      <x:c r="O334" s="62" t="str">
        <x:v>Deep-pool model: 2025-26 custom-score production shrunk toward a conservative 2026-27 role estimate; not a published projection.</x:v>
      </x:c>
      <x:c r="P334" s="60"/>
      <x:c r="Q334" s="60"/>
      <x:c r="R334" s="60" t="n">
        <x:v>14.12</x:v>
      </x:c>
      <x:c r="S334" s="60" t="n">
        <x:v>0</x:v>
      </x:c>
      <x:c r="T334" s="72" t="str">
        <x:v>https://github.com/plourr03/wolves-front-office/blob/5d152a169188fb9b210186a7a0d3403d4081ed38/kuminga/data/roster_snapshot_2026_27_v3.csv</x:v>
      </x:c>
      <x:c r="U334" s="87" t="str">
        <x:v>VERY_DEEP</x:v>
      </x:c>
      <x:c r="V334" s="87" t="str">
        <x:v>HIGH</x:v>
      </x:c>
      <x:c r="W334" s="87" t="str">
        <x:v>MODEL</x:v>
      </x:c>
      <x:c r="X334" s="87" t="str">
        <x:v>STANDARD</x:v>
      </x:c>
      <x:c r="Y334" s="87" t="str">
        <x:v>2026-09-28 master / roster context 2026-09-03+</x:v>
      </x:c>
      <x:c r="Z334" s="72" t="str">
        <x:v>https://github.com/plourr03/wolves-front-office/blob/5d152a169188fb9b210186a7a0d3403d4081ed38/kuminga/data/roster_snapshot_2026_27_v3.csv</x:v>
      </x:c>
      <x:c r="AA334" s="72" t="str">
        <x:v>https://github.com/ballacademy/NBA-head-to-head-/blob/5b1decfc31ffb645469c7ffbd01aaca4b18181bd/data/nba-stats/nba-player-stats-202526-regular-season-per-game.csv</x:v>
      </x:c>
    </x:row>
    <x:row r="335" ht="21" customHeight="1">
      <x:c r="A335" s="64" t="n">
        <x:v>330</x:v>
      </x:c>
      <x:c r="B335" s="59" t="str">
        <x:v>Craig Porter Jr.</x:v>
      </x:c>
      <x:c r="C335" s="65" t="str">
        <x:v>CLE</x:v>
      </x:c>
      <x:c r="D335" s="65" t="str">
        <x:v>PG</x:v>
      </x:c>
      <x:c r="E335" s="65" t="str">
        <x:v>G</x:v>
      </x:c>
      <x:c r="F335" s="66" t="n">
        <x:v>64</x:v>
      </x:c>
      <x:c r="G335" s="67" t="n">
        <x:v>16.5</x:v>
      </x:c>
      <x:c r="H335" s="67" t="n">
        <x:v>10.62</x:v>
      </x:c>
      <x:c r="I335" s="67" t="n">
        <x:v>17.619999999999997</x:v>
      </x:c>
      <x:c r="J335" s="67" t="n">
        <x:v>60</x:v>
      </x:c>
      <x:c r="K335" s="67" t="str">
        <x:v>DEEP</x:v>
      </x:c>
      <x:c r="L335" s="67" t="n">
        <x:v>14.12</x:v>
      </x:c>
      <x:c r="M335" s="68" t="n">
        <x:v>847.1999999999999</x:v>
      </x:c>
      <x:c r="N335" s="69" t="str">
        <x:v>Available</x:v>
      </x:c>
      <x:c r="O335" s="62" t="str">
        <x:v>Deep-pool model: 2025-26 custom-score production shrunk toward a conservative 2026-27 role estimate; not a published projection.</x:v>
      </x:c>
      <x:c r="P335" s="60"/>
      <x:c r="Q335" s="60"/>
      <x:c r="R335" s="60" t="n">
        <x:v>14.12</x:v>
      </x:c>
      <x:c r="S335" s="60" t="n">
        <x:v>0</x:v>
      </x:c>
      <x:c r="T335" s="72" t="str">
        <x:v>https://github.com/plourr03/wolves-front-office/blob/5d152a169188fb9b210186a7a0d3403d4081ed38/kuminga/data/roster_snapshot_2026_27_v3.csv</x:v>
      </x:c>
      <x:c r="U335" s="87" t="str">
        <x:v>VERY_DEEP</x:v>
      </x:c>
      <x:c r="V335" s="87" t="str">
        <x:v>HIGH</x:v>
      </x:c>
      <x:c r="W335" s="87" t="str">
        <x:v>MODEL</x:v>
      </x:c>
      <x:c r="X335" s="87" t="str">
        <x:v>STANDARD</x:v>
      </x:c>
      <x:c r="Y335" s="87" t="str">
        <x:v>2026-09-28 master / roster context 2026-09-03+</x:v>
      </x:c>
      <x:c r="Z335" s="72" t="str">
        <x:v>https://github.com/plourr03/wolves-front-office/blob/5d152a169188fb9b210186a7a0d3403d4081ed38/kuminga/data/roster_snapshot_2026_27_v3.csv</x:v>
      </x:c>
      <x:c r="AA335" s="72" t="str">
        <x:v>https://github.com/ballacademy/NBA-head-to-head-/blob/5b1decfc31ffb645469c7ffbd01aaca4b18181bd/data/nba-stats/nba-player-stats-202526-regular-season-per-game.csv</x:v>
      </x:c>
    </x:row>
    <x:row r="336" ht="21" customHeight="1">
      <x:c r="A336" s="64" t="n">
        <x:v>331</x:v>
      </x:c>
      <x:c r="B336" s="59" t="str">
        <x:v>Javonte Green</x:v>
      </x:c>
      <x:c r="C336" s="65" t="str">
        <x:v>DET</x:v>
      </x:c>
      <x:c r="D336" s="65" t="str">
        <x:v>SG</x:v>
      </x:c>
      <x:c r="E336" s="65" t="str">
        <x:v>SG</x:v>
      </x:c>
      <x:c r="F336" s="66" t="n">
        <x:v>82</x:v>
      </x:c>
      <x:c r="G336" s="67" t="n">
        <x:v>16</x:v>
      </x:c>
      <x:c r="H336" s="67" t="n">
        <x:v>10.49</x:v>
      </x:c>
      <x:c r="I336" s="67" t="n">
        <x:v>17.490000000000002</x:v>
      </x:c>
      <x:c r="J336" s="67" t="n">
        <x:v>60</x:v>
      </x:c>
      <x:c r="K336" s="67" t="str">
        <x:v>DEEP</x:v>
      </x:c>
      <x:c r="L336" s="67" t="n">
        <x:v>13.99</x:v>
      </x:c>
      <x:c r="M336" s="68" t="n">
        <x:v>839.4</x:v>
      </x:c>
      <x:c r="N336" s="69" t="str">
        <x:v>Available</x:v>
      </x:c>
      <x:c r="O336" s="62" t="str">
        <x:v>Deep-pool model: 2025-26 custom-score production shrunk toward a conservative 2026-27 role estimate; not a published projection.</x:v>
      </x:c>
      <x:c r="P336" s="60"/>
      <x:c r="Q336" s="60"/>
      <x:c r="R336" s="60" t="n">
        <x:v>13.99</x:v>
      </x:c>
      <x:c r="S336" s="60" t="n">
        <x:v>0</x:v>
      </x:c>
      <x:c r="T336" s="72" t="str">
        <x:v>https://github.com/plourr03/wolves-front-office/blob/5d152a169188fb9b210186a7a0d3403d4081ed38/kuminga/data/roster_snapshot_2026_27_v3.csv</x:v>
      </x:c>
      <x:c r="U336" s="87" t="str">
        <x:v>VERY_DEEP</x:v>
      </x:c>
      <x:c r="V336" s="87" t="str">
        <x:v>HIGH</x:v>
      </x:c>
      <x:c r="W336" s="87" t="str">
        <x:v>MODEL</x:v>
      </x:c>
      <x:c r="X336" s="87" t="str">
        <x:v>STANDARD</x:v>
      </x:c>
      <x:c r="Y336" s="87" t="str">
        <x:v>2026-09-28 master / roster context 2026-09-03+</x:v>
      </x:c>
      <x:c r="Z336" s="72" t="str">
        <x:v>https://github.com/plourr03/wolves-front-office/blob/5d152a169188fb9b210186a7a0d3403d4081ed38/kuminga/data/roster_snapshot_2026_27_v3.csv</x:v>
      </x:c>
      <x:c r="AA336" s="72" t="str">
        <x:v>https://github.com/ballacademy/NBA-head-to-head-/blob/5b1decfc31ffb645469c7ffbd01aaca4b18181bd/data/nba-stats/nba-player-stats-202526-regular-season-per-game.csv</x:v>
      </x:c>
    </x:row>
    <x:row r="337" ht="21" customHeight="1">
      <x:c r="A337" s="64" t="n">
        <x:v>332</x:v>
      </x:c>
      <x:c r="B337" s="59" t="str">
        <x:v>Jamir Watkins</x:v>
      </x:c>
      <x:c r="C337" s="65" t="str">
        <x:v>WAS</x:v>
      </x:c>
      <x:c r="D337" s="65" t="str">
        <x:v>SF</x:v>
      </x:c>
      <x:c r="E337" s="65" t="str">
        <x:v>SF</x:v>
      </x:c>
      <x:c r="F337" s="66" t="n">
        <x:v>50</x:v>
      </x:c>
      <x:c r="G337" s="67" t="n">
        <x:v>17.4</x:v>
      </x:c>
      <x:c r="H337" s="67" t="n">
        <x:v>10.34</x:v>
      </x:c>
      <x:c r="I337" s="67" t="n">
        <x:v>17.34</x:v>
      </x:c>
      <x:c r="J337" s="67" t="n">
        <x:v>64</x:v>
      </x:c>
      <x:c r="K337" s="67" t="str">
        <x:v>DEEP</x:v>
      </x:c>
      <x:c r="L337" s="67" t="n">
        <x:v>13.84</x:v>
      </x:c>
      <x:c r="M337" s="68" t="n">
        <x:v>885.76</x:v>
      </x:c>
      <x:c r="N337" s="69" t="str">
        <x:v>Available</x:v>
      </x:c>
      <x:c r="O337" s="62" t="str">
        <x:v>Deep-pool model: 2025-26 custom-score production shrunk toward a conservative 2026-27 role estimate; not a published projection.</x:v>
      </x:c>
      <x:c r="P337" s="60"/>
      <x:c r="Q337" s="60"/>
      <x:c r="R337" s="60" t="n">
        <x:v>13.84</x:v>
      </x:c>
      <x:c r="S337" s="60" t="n">
        <x:v>0</x:v>
      </x:c>
      <x:c r="T337" s="72" t="str">
        <x:v>https://github.com/A-V29/NBA.Rosters/blob/main/2026.Summer.League.json</x:v>
      </x:c>
      <x:c r="U337" s="87" t="str">
        <x:v>VERY_DEEP</x:v>
      </x:c>
      <x:c r="V337" s="87" t="str">
        <x:v>HIGH</x:v>
      </x:c>
      <x:c r="W337" s="87" t="str">
        <x:v>MODEL</x:v>
      </x:c>
      <x:c r="X337" s="87" t="str">
        <x:v>CAMP/SUMMER</x:v>
      </x:c>
      <x:c r="Y337" s="87" t="str">
        <x:v>2026-09-28 master / roster context 2026-09-03+</x:v>
      </x:c>
      <x:c r="Z337" s="72" t="str">
        <x:v>https://github.com/A-V29/NBA.Rosters/blob/main/2026.Summer.League.json</x:v>
      </x:c>
      <x:c r="AA337" s="72" t="str">
        <x:v>https://github.com/ballacademy/NBA-head-to-head-/blob/5b1decfc31ffb645469c7ffbd01aaca4b18181bd/data/nba-stats/nba-player-stats-202526-regular-season-per-game.csv</x:v>
      </x:c>
    </x:row>
    <x:row r="338" ht="21" customHeight="1">
      <x:c r="A338" s="64" t="n">
        <x:v>333</x:v>
      </x:c>
      <x:c r="B338" s="59" t="str">
        <x:v>Alex Caruso</x:v>
      </x:c>
      <x:c r="C338" s="65" t="str">
        <x:v>OKC</x:v>
      </x:c>
      <x:c r="D338" s="65" t="str">
        <x:v>SG</x:v>
      </x:c>
      <x:c r="E338" s="65" t="str">
        <x:v>SG</x:v>
      </x:c>
      <x:c r="F338" s="66" t="n">
        <x:v>56</x:v>
      </x:c>
      <x:c r="G338" s="67" t="n">
        <x:v>14.85</x:v>
      </x:c>
      <x:c r="H338" s="67" t="n">
        <x:v>10.47</x:v>
      </x:c>
      <x:c r="I338" s="67" t="n">
        <x:v>17.47</x:v>
      </x:c>
      <x:c r="J338" s="67" t="n">
        <x:v>60</x:v>
      </x:c>
      <x:c r="K338" s="67" t="str">
        <x:v>DEEP</x:v>
      </x:c>
      <x:c r="L338" s="67" t="n">
        <x:v>13.97</x:v>
      </x:c>
      <x:c r="M338" s="68" t="n">
        <x:v>838.2</x:v>
      </x:c>
      <x:c r="N338" s="69" t="str">
        <x:v>Available</x:v>
      </x:c>
      <x:c r="O338" s="62" t="str">
        <x:v>Deep-pool model: 2025-26 custom-score production shrunk toward a conservative 2026-27 role estimate; not a published projection.</x:v>
      </x:c>
      <x:c r="P338" s="60"/>
      <x:c r="Q338" s="60"/>
      <x:c r="R338" s="60" t="n">
        <x:v>13.97</x:v>
      </x:c>
      <x:c r="S338" s="60" t="n">
        <x:v>0</x:v>
      </x:c>
      <x:c r="T338" s="72" t="str">
        <x:v>https://github.com/plourr03/wolves-front-office/blob/5d152a169188fb9b210186a7a0d3403d4081ed38/kuminga/data/roster_snapshot_2026_27_v3.csv</x:v>
      </x:c>
      <x:c r="U338" s="87" t="str">
        <x:v>VERY_DEEP</x:v>
      </x:c>
      <x:c r="V338" s="87" t="str">
        <x:v>HIGH</x:v>
      </x:c>
      <x:c r="W338" s="87" t="str">
        <x:v>MODEL</x:v>
      </x:c>
      <x:c r="X338" s="87" t="str">
        <x:v>STANDARD</x:v>
      </x:c>
      <x:c r="Y338" s="87" t="str">
        <x:v>2026-09-28 master / roster context 2026-09-03+</x:v>
      </x:c>
      <x:c r="Z338" s="72" t="str">
        <x:v>https://github.com/plourr03/wolves-front-office/blob/5d152a169188fb9b210186a7a0d3403d4081ed38/kuminga/data/roster_snapshot_2026_27_v3.csv</x:v>
      </x:c>
      <x:c r="AA338" s="72" t="str">
        <x:v>https://github.com/ballacademy/NBA-head-to-head-/blob/5b1decfc31ffb645469c7ffbd01aaca4b18181bd/data/nba-stats/nba-player-stats-202526-regular-season-per-game.csv</x:v>
      </x:c>
    </x:row>
    <x:row r="339" ht="21" customHeight="1">
      <x:c r="A339" s="64" t="n">
        <x:v>334</x:v>
      </x:c>
      <x:c r="B339" s="59" t="str">
        <x:v>Thomas Sorber</x:v>
      </x:c>
      <x:c r="C339" s="65" t="str">
        <x:v>OKC</x:v>
      </x:c>
      <x:c r="D339" s="65" t="str">
        <x:v>C</x:v>
      </x:c>
      <x:c r="E339" s="65" t="str">
        <x:v>C</x:v>
      </x:c>
      <x:c r="F339" s="66"/>
      <x:c r="G339" s="67"/>
      <x:c r="H339" s="67" t="n">
        <x:v>8.325</x:v>
      </x:c>
      <x:c r="I339" s="67" t="n">
        <x:v>19.415</x:v>
      </x:c>
      <x:c r="J339" s="67" t="n">
        <x:v>60</x:v>
      </x:c>
      <x:c r="K339" s="67" t="str">
        <x:v>WATCH</x:v>
      </x:c>
      <x:c r="L339" s="67" t="n">
        <x:v>13.87</x:v>
      </x:c>
      <x:c r="M339" s="68" t="n">
        <x:v>832.1999999999999</x:v>
      </x:c>
      <x:c r="N339" s="69" t="str">
        <x:v>Available</x:v>
      </x:c>
      <x:c r="O339" s="62" t="str">
        <x:v>Rookie/depth role estimate with a wide band and limited NBA evidence. Treat as a watch-list projection, not a published forecast.</x:v>
      </x:c>
      <x:c r="P339" s="60"/>
      <x:c r="Q339" s="60"/>
      <x:c r="R339" s="60" t="n">
        <x:v>13.87</x:v>
      </x:c>
      <x:c r="S339" s="60" t="n">
        <x:v>0</x:v>
      </x:c>
      <x:c r="T339" s="72" t="str">
        <x:v>https://github.com/plourr03/wolves-front-office/blob/5d152a169188fb9b210186a7a0d3403d4081ed38/kuminga/data/roster_snapshot_2026_27_v3.csv</x:v>
      </x:c>
      <x:c r="U339" s="87" t="str">
        <x:v>VERY_DEEP</x:v>
      </x:c>
      <x:c r="V339" s="87" t="str">
        <x:v>LOW</x:v>
      </x:c>
      <x:c r="W339" s="87" t="str">
        <x:v>MODEL-ROOKIE</x:v>
      </x:c>
      <x:c r="X339" s="87" t="str">
        <x:v>STANDARD</x:v>
      </x:c>
      <x:c r="Y339" s="87" t="str">
        <x:v>2026-09-28 master / roster context 2026-09-03+</x:v>
      </x:c>
      <x:c r="Z339" s="72" t="str">
        <x:v>https://github.com/plourr03/wolves-front-office/blob/5d152a169188fb9b210186a7a0d3403d4081ed38/kuminga/data/roster_snapshot_2026_27_v3.csv</x:v>
      </x:c>
      <x:c r="AA339" s="72" t="str">
        <x:v>https://github.com/ballacademy/NBA-head-to-head-/blob/5b1decfc31ffb645469c7ffbd01aaca4b18181bd/data/nba-stats/nba-player-stats-202526-regular-season-per-game.csv</x:v>
      </x:c>
    </x:row>
    <x:row r="340" ht="21" customHeight="1">
      <x:c r="A340" s="64" t="n">
        <x:v>335</x:v>
      </x:c>
      <x:c r="B340" s="59" t="str">
        <x:v>Ryan Nembhard</x:v>
      </x:c>
      <x:c r="C340" s="65" t="str">
        <x:v>DAL</x:v>
      </x:c>
      <x:c r="D340" s="65" t="str">
        <x:v>PG</x:v>
      </x:c>
      <x:c r="E340" s="65" t="str">
        <x:v>PG</x:v>
      </x:c>
      <x:c r="F340" s="66" t="n">
        <x:v>60</x:v>
      </x:c>
      <x:c r="G340" s="67" t="n">
        <x:v>15.15</x:v>
      </x:c>
      <x:c r="H340" s="67" t="n">
        <x:v>10.26</x:v>
      </x:c>
      <x:c r="I340" s="67" t="n">
        <x:v>17.259999999999998</x:v>
      </x:c>
      <x:c r="J340" s="67" t="n">
        <x:v>64</x:v>
      </x:c>
      <x:c r="K340" s="67" t="str">
        <x:v>DEEP</x:v>
      </x:c>
      <x:c r="L340" s="67" t="n">
        <x:v>13.76</x:v>
      </x:c>
      <x:c r="M340" s="68" t="n">
        <x:v>880.64</x:v>
      </x:c>
      <x:c r="N340" s="69" t="str">
        <x:v>Available</x:v>
      </x:c>
      <x:c r="O340" s="62" t="str">
        <x:v>Deep-pool model: 2025-26 custom-score production shrunk toward a conservative 2026-27 role estimate; not a published projection.</x:v>
      </x:c>
      <x:c r="P340" s="60"/>
      <x:c r="Q340" s="60"/>
      <x:c r="R340" s="60" t="n">
        <x:v>13.76</x:v>
      </x:c>
      <x:c r="S340" s="60" t="n">
        <x:v>0</x:v>
      </x:c>
      <x:c r="T340" s="72" t="str">
        <x:v>https://github.com/A-V29/NBA.Rosters/blob/main/2026.Summer.League.json</x:v>
      </x:c>
      <x:c r="U340" s="87" t="str">
        <x:v>VERY_DEEP</x:v>
      </x:c>
      <x:c r="V340" s="87" t="str">
        <x:v>HIGH</x:v>
      </x:c>
      <x:c r="W340" s="87" t="str">
        <x:v>MODEL</x:v>
      </x:c>
      <x:c r="X340" s="87" t="str">
        <x:v>CAMP/SUMMER</x:v>
      </x:c>
      <x:c r="Y340" s="87" t="str">
        <x:v>2026-09-28 master / roster context 2026-09-03+</x:v>
      </x:c>
      <x:c r="Z340" s="72" t="str">
        <x:v>https://github.com/A-V29/NBA.Rosters/blob/main/2026.Summer.League.json</x:v>
      </x:c>
      <x:c r="AA340" s="72" t="str">
        <x:v>https://github.com/ballacademy/NBA-head-to-head-/blob/5b1decfc31ffb645469c7ffbd01aaca4b18181bd/data/nba-stats/nba-player-stats-202526-regular-season-per-game.csv</x:v>
      </x:c>
    </x:row>
    <x:row r="341" ht="21" customHeight="1">
      <x:c r="A341" s="64" t="n">
        <x:v>336</x:v>
      </x:c>
      <x:c r="B341" s="59" t="str">
        <x:v>Dru Smith</x:v>
      </x:c>
      <x:c r="C341" s="65" t="str">
        <x:v>MIA</x:v>
      </x:c>
      <x:c r="D341" s="65" t="str">
        <x:v>SG</x:v>
      </x:c>
      <x:c r="E341" s="65" t="str">
        <x:v>SG</x:v>
      </x:c>
      <x:c r="F341" s="66" t="n">
        <x:v>70</x:v>
      </x:c>
      <x:c r="G341" s="67" t="n">
        <x:v>16.05</x:v>
      </x:c>
      <x:c r="H341" s="67" t="n">
        <x:v>10.3</x:v>
      </x:c>
      <x:c r="I341" s="67" t="n">
        <x:v>17.3</x:v>
      </x:c>
      <x:c r="J341" s="67" t="n">
        <x:v>60</x:v>
      </x:c>
      <x:c r="K341" s="67" t="str">
        <x:v>DEEP</x:v>
      </x:c>
      <x:c r="L341" s="67" t="n">
        <x:v>13.8</x:v>
      </x:c>
      <x:c r="M341" s="68" t="n">
        <x:v>828</x:v>
      </x:c>
      <x:c r="N341" s="69" t="str">
        <x:v>Available</x:v>
      </x:c>
      <x:c r="O341" s="62" t="str">
        <x:v>Deep-pool model: 2025-26 custom-score production shrunk toward a conservative 2026-27 role estimate; not a published projection.</x:v>
      </x:c>
      <x:c r="P341" s="60"/>
      <x:c r="Q341" s="60"/>
      <x:c r="R341" s="60" t="n">
        <x:v>13.8</x:v>
      </x:c>
      <x:c r="S341" s="60" t="n">
        <x:v>0</x:v>
      </x:c>
      <x:c r="T341" s="72" t="str">
        <x:v>https://github.com/plourr03/wolves-front-office/blob/5d152a169188fb9b210186a7a0d3403d4081ed38/kuminga/data/roster_snapshot_2026_27_v3.csv</x:v>
      </x:c>
      <x:c r="U341" s="87" t="str">
        <x:v>VERY_DEEP</x:v>
      </x:c>
      <x:c r="V341" s="87" t="str">
        <x:v>HIGH</x:v>
      </x:c>
      <x:c r="W341" s="87" t="str">
        <x:v>MODEL</x:v>
      </x:c>
      <x:c r="X341" s="87" t="str">
        <x:v>STANDARD</x:v>
      </x:c>
      <x:c r="Y341" s="87" t="str">
        <x:v>2026-09-28 master / roster context 2026-09-03+</x:v>
      </x:c>
      <x:c r="Z341" s="72" t="str">
        <x:v>https://github.com/plourr03/wolves-front-office/blob/5d152a169188fb9b210186a7a0d3403d4081ed38/kuminga/data/roster_snapshot_2026_27_v3.csv</x:v>
      </x:c>
      <x:c r="AA341" s="72" t="str">
        <x:v>https://github.com/ballacademy/NBA-head-to-head-/blob/5b1decfc31ffb645469c7ffbd01aaca4b18181bd/data/nba-stats/nba-player-stats-202526-regular-season-per-game.csv</x:v>
      </x:c>
    </x:row>
    <x:row r="342" ht="21" customHeight="1">
      <x:c r="A342" s="64" t="n">
        <x:v>337</x:v>
      </x:c>
      <x:c r="B342" s="59" t="str">
        <x:v>Jalen Slawson</x:v>
      </x:c>
      <x:c r="C342" s="65" t="str">
        <x:v>IND</x:v>
      </x:c>
      <x:c r="D342" s="65" t="str">
        <x:v>PF</x:v>
      </x:c>
      <x:c r="E342" s="65" t="str">
        <x:v>F</x:v>
      </x:c>
      <x:c r="F342" s="66" t="n">
        <x:v>13</x:v>
      </x:c>
      <x:c r="G342" s="67" t="n">
        <x:v>19.95</x:v>
      </x:c>
      <x:c r="H342" s="67" t="n">
        <x:v>9.854999999999999</x:v>
      </x:c>
      <x:c r="I342" s="67" t="n">
        <x:v>17.525</x:v>
      </x:c>
      <x:c r="J342" s="67" t="n">
        <x:v>64</x:v>
      </x:c>
      <x:c r="K342" s="67" t="str">
        <x:v>VERY_DEEP</x:v>
      </x:c>
      <x:c r="L342" s="67" t="n">
        <x:v>13.69</x:v>
      </x:c>
      <x:c r="M342" s="68" t="n">
        <x:v>876.16</x:v>
      </x:c>
      <x:c r="N342" s="69" t="str">
        <x:v>Available</x:v>
      </x:c>
      <x:c r="O342" s="62" t="str">
        <x:v>Very-deep model estimate with limited sample/role certainty. Use as a search/watch-list value and refresh once final rotations are known.</x:v>
      </x:c>
      <x:c r="P342" s="60"/>
      <x:c r="Q342" s="60"/>
      <x:c r="R342" s="60" t="n">
        <x:v>13.69</x:v>
      </x:c>
      <x:c r="S342" s="60" t="n">
        <x:v>0</x:v>
      </x:c>
      <x:c r="T342" s="72" t="str">
        <x:v>https://github.com/A-V29/NBA.Rosters/blob/main/2026.Summer.League.json</x:v>
      </x:c>
      <x:c r="U342" s="87" t="str">
        <x:v>VERY_DEEP</x:v>
      </x:c>
      <x:c r="V342" s="87" t="str">
        <x:v>MEDIUM</x:v>
      </x:c>
      <x:c r="W342" s="87" t="str">
        <x:v>MODEL</x:v>
      </x:c>
      <x:c r="X342" s="87" t="str">
        <x:v>CAMP/SUMMER</x:v>
      </x:c>
      <x:c r="Y342" s="87" t="str">
        <x:v>2026-09-28 master / roster context 2026-09-03+</x:v>
      </x:c>
      <x:c r="Z342" s="72" t="str">
        <x:v>https://github.com/A-V29/NBA.Rosters/blob/main/2026.Summer.League.json</x:v>
      </x:c>
      <x:c r="AA342" s="72" t="str">
        <x:v>https://github.com/ballacademy/NBA-head-to-head-/blob/5b1decfc31ffb645469c7ffbd01aaca4b18181bd/data/nba-stats/nba-player-stats-202526-regular-season-per-game.csv</x:v>
      </x:c>
    </x:row>
    <x:row r="343" ht="21" customHeight="1">
      <x:c r="A343" s="64" t="n">
        <x:v>338</x:v>
      </x:c>
      <x:c r="B343" s="59" t="str">
        <x:v>Ryan Dunn</x:v>
      </x:c>
      <x:c r="C343" s="65" t="str">
        <x:v>PHX</x:v>
      </x:c>
      <x:c r="D343" s="65" t="str">
        <x:v>SF</x:v>
      </x:c>
      <x:c r="E343" s="65" t="str">
        <x:v>SF</x:v>
      </x:c>
      <x:c r="F343" s="66" t="n">
        <x:v>70</x:v>
      </x:c>
      <x:c r="G343" s="67" t="n">
        <x:v>15.95</x:v>
      </x:c>
      <x:c r="H343" s="67" t="n">
        <x:v>10.26</x:v>
      </x:c>
      <x:c r="I343" s="67" t="n">
        <x:v>17.259999999999998</x:v>
      </x:c>
      <x:c r="J343" s="67" t="n">
        <x:v>60</x:v>
      </x:c>
      <x:c r="K343" s="67" t="str">
        <x:v>DEEP</x:v>
      </x:c>
      <x:c r="L343" s="67" t="n">
        <x:v>13.76</x:v>
      </x:c>
      <x:c r="M343" s="68" t="n">
        <x:v>825.6</x:v>
      </x:c>
      <x:c r="N343" s="69" t="str">
        <x:v>Available</x:v>
      </x:c>
      <x:c r="O343" s="62" t="str">
        <x:v>Deep-pool model: 2025-26 custom-score production shrunk toward a conservative 2026-27 role estimate; not a published projection.</x:v>
      </x:c>
      <x:c r="P343" s="60"/>
      <x:c r="Q343" s="60"/>
      <x:c r="R343" s="60" t="n">
        <x:v>13.76</x:v>
      </x:c>
      <x:c r="S343" s="60" t="n">
        <x:v>0</x:v>
      </x:c>
      <x:c r="T343" s="72" t="str">
        <x:v>https://github.com/plourr03/wolves-front-office/blob/5d152a169188fb9b210186a7a0d3403d4081ed38/kuminga/data/roster_snapshot_2026_27_v3.csv</x:v>
      </x:c>
      <x:c r="U343" s="87" t="str">
        <x:v>VERY_DEEP</x:v>
      </x:c>
      <x:c r="V343" s="87" t="str">
        <x:v>HIGH</x:v>
      </x:c>
      <x:c r="W343" s="87" t="str">
        <x:v>MODEL</x:v>
      </x:c>
      <x:c r="X343" s="87" t="str">
        <x:v>STANDARD</x:v>
      </x:c>
      <x:c r="Y343" s="87" t="str">
        <x:v>2026-09-28 master / roster context 2026-09-03+</x:v>
      </x:c>
      <x:c r="Z343" s="72" t="str">
        <x:v>https://github.com/plourr03/wolves-front-office/blob/5d152a169188fb9b210186a7a0d3403d4081ed38/kuminga/data/roster_snapshot_2026_27_v3.csv</x:v>
      </x:c>
      <x:c r="AA343" s="72" t="str">
        <x:v>https://github.com/ballacademy/NBA-head-to-head-/blob/5b1decfc31ffb645469c7ffbd01aaca4b18181bd/data/nba-stats/nba-player-stats-202526-regular-season-per-game.csv</x:v>
      </x:c>
    </x:row>
    <x:row r="344" ht="21" customHeight="1">
      <x:c r="A344" s="64" t="n">
        <x:v>339</x:v>
      </x:c>
      <x:c r="B344" s="59" t="str">
        <x:v>Christian Anderson</x:v>
      </x:c>
      <x:c r="C344" s="65" t="str">
        <x:v>CHA</x:v>
      </x:c>
      <x:c r="D344" s="65" t="str">
        <x:v>PG</x:v>
      </x:c>
      <x:c r="E344" s="65" t="str">
        <x:v>PG</x:v>
      </x:c>
      <x:c r="F344" s="66"/>
      <x:c r="G344" s="67"/>
      <x:c r="H344" s="67" t="n">
        <x:v>8.215</x:v>
      </x:c>
      <x:c r="I344" s="67" t="n">
        <x:v>19.165</x:v>
      </x:c>
      <x:c r="J344" s="67" t="n">
        <x:v>60</x:v>
      </x:c>
      <x:c r="K344" s="67" t="str">
        <x:v>WATCH</x:v>
      </x:c>
      <x:c r="L344" s="67" t="n">
        <x:v>13.69</x:v>
      </x:c>
      <x:c r="M344" s="68" t="n">
        <x:v>821.4</x:v>
      </x:c>
      <x:c r="N344" s="69" t="str">
        <x:v>Available</x:v>
      </x:c>
      <x:c r="O344" s="62" t="str">
        <x:v>Rookie/depth role estimate with a wide band and limited NBA evidence. Treat as a watch-list projection, not a published forecast.</x:v>
      </x:c>
      <x:c r="P344" s="60"/>
      <x:c r="Q344" s="60"/>
      <x:c r="R344" s="60" t="n">
        <x:v>13.69</x:v>
      </x:c>
      <x:c r="S344" s="60" t="n">
        <x:v>0</x:v>
      </x:c>
      <x:c r="T344" s="72" t="str">
        <x:v>https://github.com/plourr03/wolves-front-office/blob/5d152a169188fb9b210186a7a0d3403d4081ed38/kuminga/data/roster_snapshot_2026_27_v3.csv</x:v>
      </x:c>
      <x:c r="U344" s="87" t="str">
        <x:v>VERY_DEEP</x:v>
      </x:c>
      <x:c r="V344" s="87" t="str">
        <x:v>LOW</x:v>
      </x:c>
      <x:c r="W344" s="87" t="str">
        <x:v>MODEL-ROOKIE</x:v>
      </x:c>
      <x:c r="X344" s="87" t="str">
        <x:v>STANDARD</x:v>
      </x:c>
      <x:c r="Y344" s="87" t="str">
        <x:v>2026-09-28 master / roster context 2026-09-03+</x:v>
      </x:c>
      <x:c r="Z344" s="72" t="str">
        <x:v>https://github.com/plourr03/wolves-front-office/blob/5d152a169188fb9b210186a7a0d3403d4081ed38/kuminga/data/roster_snapshot_2026_27_v3.csv</x:v>
      </x:c>
      <x:c r="AA344" s="72" t="str">
        <x:v>https://github.com/ballacademy/NBA-head-to-head-/blob/5b1decfc31ffb645469c7ffbd01aaca4b18181bd/data/nba-stats/nba-player-stats-202526-regular-season-per-game.csv</x:v>
      </x:c>
    </x:row>
    <x:row r="345" ht="21" customHeight="1">
      <x:c r="A345" s="64" t="n">
        <x:v>340</x:v>
      </x:c>
      <x:c r="B345" s="59" t="str">
        <x:v>Ousmane Dieng</x:v>
      </x:c>
      <x:c r="C345" s="65" t="str">
        <x:v>MIL</x:v>
      </x:c>
      <x:c r="D345" s="65" t="str">
        <x:v>SF</x:v>
      </x:c>
      <x:c r="E345" s="65" t="str">
        <x:v>SF</x:v>
      </x:c>
      <x:c r="F345" s="66" t="n">
        <x:v>57</x:v>
      </x:c>
      <x:c r="G345" s="67" t="n">
        <x:v>14.35</x:v>
      </x:c>
      <x:c r="H345" s="67" t="n">
        <x:v>10.17</x:v>
      </x:c>
      <x:c r="I345" s="67" t="n">
        <x:v>17.17</x:v>
      </x:c>
      <x:c r="J345" s="67" t="n">
        <x:v>60</x:v>
      </x:c>
      <x:c r="K345" s="67" t="str">
        <x:v>DEEP</x:v>
      </x:c>
      <x:c r="L345" s="67" t="n">
        <x:v>13.67</x:v>
      </x:c>
      <x:c r="M345" s="68" t="n">
        <x:v>820.2</x:v>
      </x:c>
      <x:c r="N345" s="69" t="str">
        <x:v>Available</x:v>
      </x:c>
      <x:c r="O345" s="62" t="str">
        <x:v>Deep-pool model: 2025-26 custom-score production shrunk toward a conservative 2026-27 role estimate; not a published projection.</x:v>
      </x:c>
      <x:c r="P345" s="60"/>
      <x:c r="Q345" s="60"/>
      <x:c r="R345" s="60" t="n">
        <x:v>13.67</x:v>
      </x:c>
      <x:c r="S345" s="60" t="n">
        <x:v>0</x:v>
      </x:c>
      <x:c r="T345" s="72" t="str">
        <x:v>https://github.com/plourr03/wolves-front-office/blob/5d152a169188fb9b210186a7a0d3403d4081ed38/kuminga/data/roster_snapshot_2026_27_v3.csv</x:v>
      </x:c>
      <x:c r="U345" s="87" t="str">
        <x:v>VERY_DEEP</x:v>
      </x:c>
      <x:c r="V345" s="87" t="str">
        <x:v>HIGH</x:v>
      </x:c>
      <x:c r="W345" s="87" t="str">
        <x:v>MODEL</x:v>
      </x:c>
      <x:c r="X345" s="87" t="str">
        <x:v>STANDARD</x:v>
      </x:c>
      <x:c r="Y345" s="87" t="str">
        <x:v>2026-09-28 master / roster context 2026-09-03+</x:v>
      </x:c>
      <x:c r="Z345" s="72" t="str">
        <x:v>https://github.com/plourr03/wolves-front-office/blob/5d152a169188fb9b210186a7a0d3403d4081ed38/kuminga/data/roster_snapshot_2026_27_v3.csv</x:v>
      </x:c>
      <x:c r="AA345" s="72" t="str">
        <x:v>https://github.com/ballacademy/NBA-head-to-head-/blob/5b1decfc31ffb645469c7ffbd01aaca4b18181bd/data/nba-stats/nba-player-stats-202526-regular-season-per-game.csv</x:v>
      </x:c>
    </x:row>
    <x:row r="346" ht="21" customHeight="1">
      <x:c r="A346" s="64" t="n">
        <x:v>341</x:v>
      </x:c>
      <x:c r="B346" s="59" t="str">
        <x:v>Nolan Traore</x:v>
      </x:c>
      <x:c r="C346" s="65" t="str">
        <x:v>BKN</x:v>
      </x:c>
      <x:c r="D346" s="65" t="str">
        <x:v>PG</x:v>
      </x:c>
      <x:c r="E346" s="65" t="str">
        <x:v>PG</x:v>
      </x:c>
      <x:c r="F346" s="66" t="n">
        <x:v>56</x:v>
      </x:c>
      <x:c r="G346" s="67" t="n">
        <x:v>14.6</x:v>
      </x:c>
      <x:c r="H346" s="67" t="n">
        <x:v>10.17</x:v>
      </x:c>
      <x:c r="I346" s="67" t="n">
        <x:v>17.17</x:v>
      </x:c>
      <x:c r="J346" s="67" t="n">
        <x:v>60</x:v>
      </x:c>
      <x:c r="K346" s="67" t="str">
        <x:v>DEEP</x:v>
      </x:c>
      <x:c r="L346" s="67" t="n">
        <x:v>13.67</x:v>
      </x:c>
      <x:c r="M346" s="68" t="n">
        <x:v>820.2</x:v>
      </x:c>
      <x:c r="N346" s="69" t="str">
        <x:v>Available</x:v>
      </x:c>
      <x:c r="O346" s="62" t="str">
        <x:v>Deep-pool model: 2025-26 custom-score production shrunk toward a conservative 2026-27 role estimate; not a published projection.</x:v>
      </x:c>
      <x:c r="P346" s="60"/>
      <x:c r="Q346" s="60"/>
      <x:c r="R346" s="60" t="n">
        <x:v>13.67</x:v>
      </x:c>
      <x:c r="S346" s="60" t="n">
        <x:v>0</x:v>
      </x:c>
      <x:c r="T346" s="72" t="str">
        <x:v>https://github.com/plourr03/wolves-front-office/blob/5d152a169188fb9b210186a7a0d3403d4081ed38/kuminga/data/roster_snapshot_2026_27_v3.csv</x:v>
      </x:c>
      <x:c r="U346" s="87" t="str">
        <x:v>VERY_DEEP</x:v>
      </x:c>
      <x:c r="V346" s="87" t="str">
        <x:v>HIGH</x:v>
      </x:c>
      <x:c r="W346" s="87" t="str">
        <x:v>MODEL</x:v>
      </x:c>
      <x:c r="X346" s="87" t="str">
        <x:v>STANDARD</x:v>
      </x:c>
      <x:c r="Y346" s="87" t="str">
        <x:v>2026-09-28 master / roster context 2026-09-03+</x:v>
      </x:c>
      <x:c r="Z346" s="72" t="str">
        <x:v>https://github.com/plourr03/wolves-front-office/blob/5d152a169188fb9b210186a7a0d3403d4081ed38/kuminga/data/roster_snapshot_2026_27_v3.csv</x:v>
      </x:c>
      <x:c r="AA346" s="72" t="str">
        <x:v>https://github.com/ballacademy/NBA-head-to-head-/blob/5b1decfc31ffb645469c7ffbd01aaca4b18181bd/data/nba-stats/nba-player-stats-202526-regular-season-per-game.csv</x:v>
      </x:c>
    </x:row>
    <x:row r="347" ht="21" customHeight="1">
      <x:c r="A347" s="64" t="n">
        <x:v>342</x:v>
      </x:c>
      <x:c r="B347" s="59" t="str">
        <x:v>Kentavious Caldwell-Pope</x:v>
      </x:c>
      <x:c r="C347" s="65" t="str">
        <x:v>PHI</x:v>
      </x:c>
      <x:c r="D347" s="65" t="str">
        <x:v>SG</x:v>
      </x:c>
      <x:c r="E347" s="65" t="str">
        <x:v>SG</x:v>
      </x:c>
      <x:c r="F347" s="66" t="n">
        <x:v>51</x:v>
      </x:c>
      <x:c r="G347" s="67" t="n">
        <x:v>16.15</x:v>
      </x:c>
      <x:c r="H347" s="67" t="n">
        <x:v>10.16</x:v>
      </x:c>
      <x:c r="I347" s="67" t="n">
        <x:v>17.16</x:v>
      </x:c>
      <x:c r="J347" s="67" t="n">
        <x:v>60</x:v>
      </x:c>
      <x:c r="K347" s="67" t="str">
        <x:v>DEEP</x:v>
      </x:c>
      <x:c r="L347" s="67" t="n">
        <x:v>13.66</x:v>
      </x:c>
      <x:c r="M347" s="68" t="n">
        <x:v>819.6</x:v>
      </x:c>
      <x:c r="N347" s="69" t="str">
        <x:v>Available</x:v>
      </x:c>
      <x:c r="O347" s="62" t="str">
        <x:v>Deep-pool model: 2025-26 custom-score production shrunk toward a conservative 2026-27 role estimate; not a published projection.</x:v>
      </x:c>
      <x:c r="P347" s="60"/>
      <x:c r="Q347" s="60"/>
      <x:c r="R347" s="60" t="n">
        <x:v>13.66</x:v>
      </x:c>
      <x:c r="S347" s="60" t="n">
        <x:v>0</x:v>
      </x:c>
      <x:c r="T347" s="72" t="str">
        <x:v>https://github.com/plourr03/wolves-front-office/blob/5d152a169188fb9b210186a7a0d3403d4081ed38/kuminga/data/roster_snapshot_2026_27_v3.csv</x:v>
      </x:c>
      <x:c r="U347" s="87" t="str">
        <x:v>VERY_DEEP</x:v>
      </x:c>
      <x:c r="V347" s="87" t="str">
        <x:v>HIGH</x:v>
      </x:c>
      <x:c r="W347" s="87" t="str">
        <x:v>MODEL</x:v>
      </x:c>
      <x:c r="X347" s="87" t="str">
        <x:v>STANDARD</x:v>
      </x:c>
      <x:c r="Y347" s="87" t="str">
        <x:v>2026-09-28 master / roster context 2026-09-03+</x:v>
      </x:c>
      <x:c r="Z347" s="72" t="str">
        <x:v>https://github.com/plourr03/wolves-front-office/blob/5d152a169188fb9b210186a7a0d3403d4081ed38/kuminga/data/roster_snapshot_2026_27_v3.csv</x:v>
      </x:c>
      <x:c r="AA347" s="72" t="str">
        <x:v>https://github.com/ballacademy/NBA-head-to-head-/blob/5b1decfc31ffb645469c7ffbd01aaca4b18181bd/data/nba-stats/nba-player-stats-202526-regular-season-per-game.csv</x:v>
      </x:c>
    </x:row>
    <x:row r="348" ht="21" customHeight="1">
      <x:c r="A348" s="64" t="n">
        <x:v>343</x:v>
      </x:c>
      <x:c r="B348" s="59" t="str">
        <x:v>Karlo Matkovic</x:v>
      </x:c>
      <x:c r="C348" s="65" t="str">
        <x:v>NOP</x:v>
      </x:c>
      <x:c r="D348" s="65" t="str">
        <x:v>PF</x:v>
      </x:c>
      <x:c r="E348" s="65" t="str">
        <x:v>PF</x:v>
      </x:c>
      <x:c r="F348" s="66" t="n">
        <x:v>62</x:v>
      </x:c>
      <x:c r="G348" s="67" t="n">
        <x:v>15.85</x:v>
      </x:c>
      <x:c r="H348" s="67" t="n">
        <x:v>10.07</x:v>
      </x:c>
      <x:c r="I348" s="67" t="n">
        <x:v>17.07</x:v>
      </x:c>
      <x:c r="J348" s="67" t="n">
        <x:v>60</x:v>
      </x:c>
      <x:c r="K348" s="67" t="str">
        <x:v>DEEP</x:v>
      </x:c>
      <x:c r="L348" s="67" t="n">
        <x:v>13.57</x:v>
      </x:c>
      <x:c r="M348" s="68" t="n">
        <x:v>814.2</x:v>
      </x:c>
      <x:c r="N348" s="69" t="str">
        <x:v>Available</x:v>
      </x:c>
      <x:c r="O348" s="62" t="str">
        <x:v>Deep-pool model: 2025-26 custom-score production shrunk toward a conservative 2026-27 role estimate; not a published projection.</x:v>
      </x:c>
      <x:c r="P348" s="60"/>
      <x:c r="Q348" s="60"/>
      <x:c r="R348" s="60" t="n">
        <x:v>13.57</x:v>
      </x:c>
      <x:c r="S348" s="60" t="n">
        <x:v>0</x:v>
      </x:c>
      <x:c r="T348" s="72" t="str">
        <x:v>https://github.com/plourr03/wolves-front-office/blob/5d152a169188fb9b210186a7a0d3403d4081ed38/kuminga/data/roster_snapshot_2026_27_v3.csv</x:v>
      </x:c>
      <x:c r="U348" s="87" t="str">
        <x:v>VERY_DEEP</x:v>
      </x:c>
      <x:c r="V348" s="87" t="str">
        <x:v>HIGH</x:v>
      </x:c>
      <x:c r="W348" s="87" t="str">
        <x:v>MODEL</x:v>
      </x:c>
      <x:c r="X348" s="87" t="str">
        <x:v>STANDARD</x:v>
      </x:c>
      <x:c r="Y348" s="87" t="str">
        <x:v>2026-09-28 master / roster context 2026-09-03+</x:v>
      </x:c>
      <x:c r="Z348" s="72" t="str">
        <x:v>https://github.com/plourr03/wolves-front-office/blob/5d152a169188fb9b210186a7a0d3403d4081ed38/kuminga/data/roster_snapshot_2026_27_v3.csv</x:v>
      </x:c>
      <x:c r="AA348" s="72" t="str">
        <x:v>https://github.com/ballacademy/NBA-head-to-head-/blob/5b1decfc31ffb645469c7ffbd01aaca4b18181bd/data/nba-stats/nba-player-stats-202526-regular-season-per-game.csv</x:v>
      </x:c>
    </x:row>
    <x:row r="349" ht="21" customHeight="1">
      <x:c r="A349" s="64" t="n">
        <x:v>344</x:v>
      </x:c>
      <x:c r="B349" s="59" t="str">
        <x:v>Nikola Jovic</x:v>
      </x:c>
      <x:c r="C349" s="65" t="str">
        <x:v>MIA</x:v>
      </x:c>
      <x:c r="D349" s="65" t="str">
        <x:v>SF</x:v>
      </x:c>
      <x:c r="E349" s="65" t="str">
        <x:v>SF</x:v>
      </x:c>
      <x:c r="F349" s="66" t="n">
        <x:v>47</x:v>
      </x:c>
      <x:c r="G349" s="67" t="n">
        <x:v>13.9</x:v>
      </x:c>
      <x:c r="H349" s="67" t="n">
        <x:v>10.06</x:v>
      </x:c>
      <x:c r="I349" s="67" t="n">
        <x:v>17.060000000000002</x:v>
      </x:c>
      <x:c r="J349" s="67" t="n">
        <x:v>60</x:v>
      </x:c>
      <x:c r="K349" s="67" t="str">
        <x:v>DEEP</x:v>
      </x:c>
      <x:c r="L349" s="67" t="n">
        <x:v>13.56</x:v>
      </x:c>
      <x:c r="M349" s="68" t="n">
        <x:v>813.6</x:v>
      </x:c>
      <x:c r="N349" s="69" t="str">
        <x:v>Available</x:v>
      </x:c>
      <x:c r="O349" s="62" t="str">
        <x:v>Deep-pool model: 2025-26 custom-score production shrunk toward a conservative 2026-27 role estimate; not a published projection.</x:v>
      </x:c>
      <x:c r="P349" s="60"/>
      <x:c r="Q349" s="60"/>
      <x:c r="R349" s="60" t="n">
        <x:v>13.56</x:v>
      </x:c>
      <x:c r="S349" s="60" t="n">
        <x:v>0</x:v>
      </x:c>
      <x:c r="T349" s="72" t="str">
        <x:v>https://github.com/plourr03/wolves-front-office/blob/5d152a169188fb9b210186a7a0d3403d4081ed38/kuminga/data/roster_snapshot_2026_27_v3.csv</x:v>
      </x:c>
      <x:c r="U349" s="87" t="str">
        <x:v>VERY_DEEP</x:v>
      </x:c>
      <x:c r="V349" s="87" t="str">
        <x:v>HIGH</x:v>
      </x:c>
      <x:c r="W349" s="87" t="str">
        <x:v>MODEL</x:v>
      </x:c>
      <x:c r="X349" s="87" t="str">
        <x:v>STANDARD</x:v>
      </x:c>
      <x:c r="Y349" s="87" t="str">
        <x:v>2026-09-28 master / roster context 2026-09-03+</x:v>
      </x:c>
      <x:c r="Z349" s="72" t="str">
        <x:v>https://github.com/plourr03/wolves-front-office/blob/5d152a169188fb9b210186a7a0d3403d4081ed38/kuminga/data/roster_snapshot_2026_27_v3.csv</x:v>
      </x:c>
      <x:c r="AA349" s="72" t="str">
        <x:v>https://github.com/ballacademy/NBA-head-to-head-/blob/5b1decfc31ffb645469c7ffbd01aaca4b18181bd/data/nba-stats/nba-player-stats-202526-regular-season-per-game.csv</x:v>
      </x:c>
    </x:row>
    <x:row r="350" ht="21" customHeight="1">
      <x:c r="A350" s="64" t="n">
        <x:v>345</x:v>
      </x:c>
      <x:c r="B350" s="59" t="str">
        <x:v>Ben Sheppard</x:v>
      </x:c>
      <x:c r="C350" s="65" t="str">
        <x:v>IND</x:v>
      </x:c>
      <x:c r="D350" s="65" t="str">
        <x:v>SF</x:v>
      </x:c>
      <x:c r="E350" s="65" t="str">
        <x:v>SF</x:v>
      </x:c>
      <x:c r="F350" s="66" t="n">
        <x:v>65</x:v>
      </x:c>
      <x:c r="G350" s="67" t="n">
        <x:v>15.25</x:v>
      </x:c>
      <x:c r="H350" s="67" t="n">
        <x:v>10.02</x:v>
      </x:c>
      <x:c r="I350" s="67" t="n">
        <x:v>17.02</x:v>
      </x:c>
      <x:c r="J350" s="67" t="n">
        <x:v>60</x:v>
      </x:c>
      <x:c r="K350" s="67" t="str">
        <x:v>DEEP</x:v>
      </x:c>
      <x:c r="L350" s="67" t="n">
        <x:v>13.52</x:v>
      </x:c>
      <x:c r="M350" s="68" t="n">
        <x:v>811.1999999999999</x:v>
      </x:c>
      <x:c r="N350" s="69" t="str">
        <x:v>Available</x:v>
      </x:c>
      <x:c r="O350" s="62" t="str">
        <x:v>Deep-pool model: 2025-26 custom-score production shrunk toward a conservative 2026-27 role estimate; not a published projection.</x:v>
      </x:c>
      <x:c r="P350" s="60"/>
      <x:c r="Q350" s="60"/>
      <x:c r="R350" s="60" t="n">
        <x:v>13.52</x:v>
      </x:c>
      <x:c r="S350" s="60" t="n">
        <x:v>0</x:v>
      </x:c>
      <x:c r="T350" s="72" t="str">
        <x:v>https://github.com/plourr03/wolves-front-office/blob/5d152a169188fb9b210186a7a0d3403d4081ed38/kuminga/data/roster_snapshot_2026_27_v3.csv</x:v>
      </x:c>
      <x:c r="U350" s="87" t="str">
        <x:v>VERY_DEEP</x:v>
      </x:c>
      <x:c r="V350" s="87" t="str">
        <x:v>HIGH</x:v>
      </x:c>
      <x:c r="W350" s="87" t="str">
        <x:v>MODEL</x:v>
      </x:c>
      <x:c r="X350" s="87" t="str">
        <x:v>STANDARD</x:v>
      </x:c>
      <x:c r="Y350" s="87" t="str">
        <x:v>2026-09-28 master / roster context 2026-09-03+</x:v>
      </x:c>
      <x:c r="Z350" s="72" t="str">
        <x:v>https://github.com/plourr03/wolves-front-office/blob/5d152a169188fb9b210186a7a0d3403d4081ed38/kuminga/data/roster_snapshot_2026_27_v3.csv</x:v>
      </x:c>
      <x:c r="AA350" s="72" t="str">
        <x:v>https://github.com/ballacademy/NBA-head-to-head-/blob/5b1decfc31ffb645469c7ffbd01aaca4b18181bd/data/nba-stats/nba-player-stats-202526-regular-season-per-game.csv</x:v>
      </x:c>
    </x:row>
    <x:row r="351" ht="21" customHeight="1">
      <x:c r="A351" s="64" t="n">
        <x:v>346</x:v>
      </x:c>
      <x:c r="B351" s="59" t="str">
        <x:v>Spencer Jones</x:v>
      </x:c>
      <x:c r="C351" s="65" t="str">
        <x:v>DEN</x:v>
      </x:c>
      <x:c r="D351" s="65" t="str">
        <x:v>SF</x:v>
      </x:c>
      <x:c r="E351" s="65" t="str">
        <x:v>SF</x:v>
      </x:c>
      <x:c r="F351" s="66" t="n">
        <x:v>64</x:v>
      </x:c>
      <x:c r="G351" s="67" t="n">
        <x:v>14.95</x:v>
      </x:c>
      <x:c r="H351" s="67" t="n">
        <x:v>9.88</x:v>
      </x:c>
      <x:c r="I351" s="67" t="n">
        <x:v>16.880000000000003</x:v>
      </x:c>
      <x:c r="J351" s="67" t="n">
        <x:v>60</x:v>
      </x:c>
      <x:c r="K351" s="67" t="str">
        <x:v>DEEP</x:v>
      </x:c>
      <x:c r="L351" s="67" t="n">
        <x:v>13.38</x:v>
      </x:c>
      <x:c r="M351" s="68" t="n">
        <x:v>802.8000000000001</x:v>
      </x:c>
      <x:c r="N351" s="69" t="str">
        <x:v>Available</x:v>
      </x:c>
      <x:c r="O351" s="62" t="str">
        <x:v>Deep-pool model: 2025-26 custom-score production shrunk toward a conservative 2026-27 role estimate; not a published projection.</x:v>
      </x:c>
      <x:c r="P351" s="60"/>
      <x:c r="Q351" s="60"/>
      <x:c r="R351" s="60" t="n">
        <x:v>13.38</x:v>
      </x:c>
      <x:c r="S351" s="60" t="n">
        <x:v>0</x:v>
      </x:c>
      <x:c r="T351" s="72" t="str">
        <x:v>https://github.com/plourr03/wolves-front-office/blob/5d152a169188fb9b210186a7a0d3403d4081ed38/kuminga/data/roster_snapshot_2026_27_v3.csv</x:v>
      </x:c>
      <x:c r="U351" s="87" t="str">
        <x:v>VERY_DEEP</x:v>
      </x:c>
      <x:c r="V351" s="87" t="str">
        <x:v>HIGH</x:v>
      </x:c>
      <x:c r="W351" s="87" t="str">
        <x:v>MODEL</x:v>
      </x:c>
      <x:c r="X351" s="87" t="str">
        <x:v>STANDARD</x:v>
      </x:c>
      <x:c r="Y351" s="87" t="str">
        <x:v>2026-09-28 master / roster context 2026-09-03+</x:v>
      </x:c>
      <x:c r="Z351" s="72" t="str">
        <x:v>https://github.com/plourr03/wolves-front-office/blob/5d152a169188fb9b210186a7a0d3403d4081ed38/kuminga/data/roster_snapshot_2026_27_v3.csv</x:v>
      </x:c>
      <x:c r="AA351" s="72" t="str">
        <x:v>https://github.com/ballacademy/NBA-head-to-head-/blob/5b1decfc31ffb645469c7ffbd01aaca4b18181bd/data/nba-stats/nba-player-stats-202526-regular-season-per-game.csv</x:v>
      </x:c>
    </x:row>
    <x:row r="352" ht="21" customHeight="1">
      <x:c r="A352" s="64" t="n">
        <x:v>347</x:v>
      </x:c>
      <x:c r="B352" s="59" t="str">
        <x:v>Sergio de Larrea</x:v>
      </x:c>
      <x:c r="C352" s="65" t="str">
        <x:v>DAL</x:v>
      </x:c>
      <x:c r="D352" s="65" t="str">
        <x:v>SG</x:v>
      </x:c>
      <x:c r="E352" s="65" t="str">
        <x:v>SG</x:v>
      </x:c>
      <x:c r="F352" s="66"/>
      <x:c r="G352" s="67"/>
      <x:c r="H352" s="67" t="n">
        <x:v>7.985000000000001</x:v>
      </x:c>
      <x:c r="I352" s="67" t="n">
        <x:v>18.634999999999998</x:v>
      </x:c>
      <x:c r="J352" s="67" t="n">
        <x:v>60</x:v>
      </x:c>
      <x:c r="K352" s="67" t="str">
        <x:v>WATCH</x:v>
      </x:c>
      <x:c r="L352" s="67" t="n">
        <x:v>13.31</x:v>
      </x:c>
      <x:c r="M352" s="68" t="n">
        <x:v>798.6</x:v>
      </x:c>
      <x:c r="N352" s="69" t="str">
        <x:v>Available</x:v>
      </x:c>
      <x:c r="O352" s="62" t="str">
        <x:v>Rookie/depth role estimate with a wide band and limited NBA evidence. Treat as a watch-list projection, not a published forecast.</x:v>
      </x:c>
      <x:c r="P352" s="60"/>
      <x:c r="Q352" s="60"/>
      <x:c r="R352" s="60" t="n">
        <x:v>13.31</x:v>
      </x:c>
      <x:c r="S352" s="60" t="n">
        <x:v>0</x:v>
      </x:c>
      <x:c r="T352" s="72" t="str">
        <x:v>https://github.com/plourr03/wolves-front-office/blob/5d152a169188fb9b210186a7a0d3403d4081ed38/kuminga/data/roster_snapshot_2026_27_v3.csv</x:v>
      </x:c>
      <x:c r="U352" s="87" t="str">
        <x:v>VERY_DEEP</x:v>
      </x:c>
      <x:c r="V352" s="87" t="str">
        <x:v>LOW</x:v>
      </x:c>
      <x:c r="W352" s="87" t="str">
        <x:v>MODEL-ROOKIE</x:v>
      </x:c>
      <x:c r="X352" s="87" t="str">
        <x:v>STANDARD</x:v>
      </x:c>
      <x:c r="Y352" s="87" t="str">
        <x:v>2026-09-28 master / roster context 2026-09-03+</x:v>
      </x:c>
      <x:c r="Z352" s="72" t="str">
        <x:v>https://github.com/plourr03/wolves-front-office/blob/5d152a169188fb9b210186a7a0d3403d4081ed38/kuminga/data/roster_snapshot_2026_27_v3.csv</x:v>
      </x:c>
      <x:c r="AA352" s="72" t="str">
        <x:v>https://github.com/ballacademy/NBA-head-to-head-/blob/5b1decfc31ffb645469c7ffbd01aaca4b18181bd/data/nba-stats/nba-player-stats-202526-regular-season-per-game.csv</x:v>
      </x:c>
    </x:row>
    <x:row r="353" ht="21" customHeight="1">
      <x:c r="A353" s="64" t="n">
        <x:v>348</x:v>
      </x:c>
      <x:c r="B353" s="59" t="str">
        <x:v>Tyler Burton</x:v>
      </x:c>
      <x:c r="C353" s="65" t="str">
        <x:v>MEM</x:v>
      </x:c>
      <x:c r="D353" s="65" t="str">
        <x:v>SF</x:v>
      </x:c>
      <x:c r="E353" s="65" t="str">
        <x:v>SF</x:v>
      </x:c>
      <x:c r="F353" s="66" t="n">
        <x:v>12</x:v>
      </x:c>
      <x:c r="G353" s="67" t="n">
        <x:v>19.35</x:v>
      </x:c>
      <x:c r="H353" s="67" t="n">
        <x:v>9.515</x:v>
      </x:c>
      <x:c r="I353" s="67" t="n">
        <x:v>16.925</x:v>
      </x:c>
      <x:c r="J353" s="67" t="n">
        <x:v>64</x:v>
      </x:c>
      <x:c r="K353" s="67" t="str">
        <x:v>VERY_DEEP</x:v>
      </x:c>
      <x:c r="L353" s="67" t="n">
        <x:v>13.22</x:v>
      </x:c>
      <x:c r="M353" s="68" t="n">
        <x:v>846.08</x:v>
      </x:c>
      <x:c r="N353" s="69" t="str">
        <x:v>Available</x:v>
      </x:c>
      <x:c r="O353" s="62" t="str">
        <x:v>Very-deep model estimate with limited sample/role certainty. Use as a search/watch-list value and refresh once final rotations are known.</x:v>
      </x:c>
      <x:c r="P353" s="60"/>
      <x:c r="Q353" s="60"/>
      <x:c r="R353" s="60" t="n">
        <x:v>13.22</x:v>
      </x:c>
      <x:c r="S353" s="60" t="n">
        <x:v>0</x:v>
      </x:c>
      <x:c r="T353" s="72" t="str">
        <x:v>https://github.com/A-V29/NBA.Rosters/blob/main/2026.Summer.League.json</x:v>
      </x:c>
      <x:c r="U353" s="87" t="str">
        <x:v>VERY_DEEP</x:v>
      </x:c>
      <x:c r="V353" s="87" t="str">
        <x:v>MEDIUM</x:v>
      </x:c>
      <x:c r="W353" s="87" t="str">
        <x:v>MODEL</x:v>
      </x:c>
      <x:c r="X353" s="87" t="str">
        <x:v>CAMP/SUMMER</x:v>
      </x:c>
      <x:c r="Y353" s="87" t="str">
        <x:v>2026-09-28 master / roster context 2026-09-03+</x:v>
      </x:c>
      <x:c r="Z353" s="72" t="str">
        <x:v>https://github.com/A-V29/NBA.Rosters/blob/main/2026.Summer.League.json</x:v>
      </x:c>
      <x:c r="AA353" s="72" t="str">
        <x:v>https://github.com/ballacademy/NBA-head-to-head-/blob/5b1decfc31ffb645469c7ffbd01aaca4b18181bd/data/nba-stats/nba-player-stats-202526-regular-season-per-game.csv</x:v>
      </x:c>
    </x:row>
    <x:row r="354" ht="21" customHeight="1">
      <x:c r="A354" s="64" t="n">
        <x:v>349</x:v>
      </x:c>
      <x:c r="B354" s="59" t="str">
        <x:v>Tarris Reed Jr.</x:v>
      </x:c>
      <x:c r="C354" s="65" t="str">
        <x:v>SAS</x:v>
      </x:c>
      <x:c r="D354" s="65" t="str">
        <x:v>C</x:v>
      </x:c>
      <x:c r="E354" s="65" t="str">
        <x:v>C</x:v>
      </x:c>
      <x:c r="F354" s="66"/>
      <x:c r="G354" s="67"/>
      <x:c r="H354" s="67" t="n">
        <x:v>7.955</x:v>
      </x:c>
      <x:c r="I354" s="67" t="n">
        <x:v>18.564999999999998</x:v>
      </x:c>
      <x:c r="J354" s="67" t="n">
        <x:v>60</x:v>
      </x:c>
      <x:c r="K354" s="67" t="str">
        <x:v>WATCH</x:v>
      </x:c>
      <x:c r="L354" s="67" t="n">
        <x:v>13.26</x:v>
      </x:c>
      <x:c r="M354" s="68" t="n">
        <x:v>795.6</x:v>
      </x:c>
      <x:c r="N354" s="69" t="str">
        <x:v>Available</x:v>
      </x:c>
      <x:c r="O354" s="62" t="str">
        <x:v>Rookie/depth role estimate with a wide band and limited NBA evidence. Treat as a watch-list projection, not a published forecast.</x:v>
      </x:c>
      <x:c r="P354" s="60"/>
      <x:c r="Q354" s="60"/>
      <x:c r="R354" s="60" t="n">
        <x:v>13.26</x:v>
      </x:c>
      <x:c r="S354" s="60" t="n">
        <x:v>0</x:v>
      </x:c>
      <x:c r="T354" s="72" t="str">
        <x:v>https://github.com/plourr03/wolves-front-office/blob/5d152a169188fb9b210186a7a0d3403d4081ed38/kuminga/data/roster_snapshot_2026_27_v3.csv</x:v>
      </x:c>
      <x:c r="U354" s="87" t="str">
        <x:v>VERY_DEEP</x:v>
      </x:c>
      <x:c r="V354" s="87" t="str">
        <x:v>LOW</x:v>
      </x:c>
      <x:c r="W354" s="87" t="str">
        <x:v>MODEL-ROOKIE</x:v>
      </x:c>
      <x:c r="X354" s="87" t="str">
        <x:v>STANDARD</x:v>
      </x:c>
      <x:c r="Y354" s="87" t="str">
        <x:v>2026-09-28 master / roster context 2026-09-03+</x:v>
      </x:c>
      <x:c r="Z354" s="72" t="str">
        <x:v>https://github.com/plourr03/wolves-front-office/blob/5d152a169188fb9b210186a7a0d3403d4081ed38/kuminga/data/roster_snapshot_2026_27_v3.csv</x:v>
      </x:c>
      <x:c r="AA354" s="72" t="str">
        <x:v>https://github.com/ballacademy/NBA-head-to-head-/blob/5b1decfc31ffb645469c7ffbd01aaca4b18181bd/data/nba-stats/nba-player-stats-202526-regular-season-per-game.csv</x:v>
      </x:c>
    </x:row>
    <x:row r="355" ht="21" customHeight="1">
      <x:c r="A355" s="64" t="n">
        <x:v>350</x:v>
      </x:c>
      <x:c r="B355" s="59" t="str">
        <x:v>Chris Cenac Jr.</x:v>
      </x:c>
      <x:c r="C355" s="65" t="str">
        <x:v>BOS</x:v>
      </x:c>
      <x:c r="D355" s="65" t="str">
        <x:v>PF</x:v>
      </x:c>
      <x:c r="E355" s="65" t="str">
        <x:v>PF</x:v>
      </x:c>
      <x:c r="F355" s="66"/>
      <x:c r="G355" s="67"/>
      <x:c r="H355" s="67" t="n">
        <x:v>7.940000000000001</x:v>
      </x:c>
      <x:c r="I355" s="67" t="n">
        <x:v>18.52</x:v>
      </x:c>
      <x:c r="J355" s="67" t="n">
        <x:v>60</x:v>
      </x:c>
      <x:c r="K355" s="67" t="str">
        <x:v>WATCH</x:v>
      </x:c>
      <x:c r="L355" s="67" t="n">
        <x:v>13.23</x:v>
      </x:c>
      <x:c r="M355" s="68" t="n">
        <x:v>793.8000000000001</x:v>
      </x:c>
      <x:c r="N355" s="69" t="str">
        <x:v>Available</x:v>
      </x:c>
      <x:c r="O355" s="62" t="str">
        <x:v>Rookie/depth role estimate with a wide band and limited NBA evidence. Treat as a watch-list projection, not a published forecast.</x:v>
      </x:c>
      <x:c r="P355" s="60"/>
      <x:c r="Q355" s="60"/>
      <x:c r="R355" s="60" t="n">
        <x:v>13.23</x:v>
      </x:c>
      <x:c r="S355" s="60" t="n">
        <x:v>0</x:v>
      </x:c>
      <x:c r="T355" s="72" t="str">
        <x:v>https://github.com/plourr03/wolves-front-office/blob/5d152a169188fb9b210186a7a0d3403d4081ed38/kuminga/data/roster_snapshot_2026_27_v3.csv</x:v>
      </x:c>
      <x:c r="U355" s="87" t="str">
        <x:v>VERY_DEEP</x:v>
      </x:c>
      <x:c r="V355" s="87" t="str">
        <x:v>LOW</x:v>
      </x:c>
      <x:c r="W355" s="87" t="str">
        <x:v>MODEL-ROOKIE</x:v>
      </x:c>
      <x:c r="X355" s="87" t="str">
        <x:v>STANDARD</x:v>
      </x:c>
      <x:c r="Y355" s="87" t="str">
        <x:v>2026-09-28 master / roster context 2026-09-03+</x:v>
      </x:c>
      <x:c r="Z355" s="72" t="str">
        <x:v>https://github.com/plourr03/wolves-front-office/blob/5d152a169188fb9b210186a7a0d3403d4081ed38/kuminga/data/roster_snapshot_2026_27_v3.csv</x:v>
      </x:c>
      <x:c r="AA355" s="72" t="str">
        <x:v>https://github.com/ballacademy/NBA-head-to-head-/blob/5b1decfc31ffb645469c7ffbd01aaca4b18181bd/data/nba-stats/nba-player-stats-202526-regular-season-per-game.csv</x:v>
      </x:c>
    </x:row>
    <x:row r="356" ht="21" customHeight="1">
      <x:c r="A356" s="64" t="n">
        <x:v>351</x:v>
      </x:c>
      <x:c r="B356" s="59" t="str">
        <x:v>Aaron Wiggins</x:v>
      </x:c>
      <x:c r="C356" s="65" t="str">
        <x:v>ATL</x:v>
      </x:c>
      <x:c r="D356" s="65" t="str">
        <x:v>SG</x:v>
      </x:c>
      <x:c r="E356" s="65" t="str">
        <x:v>SG</x:v>
      </x:c>
      <x:c r="F356" s="66" t="n">
        <x:v>65</x:v>
      </x:c>
      <x:c r="G356" s="67" t="n">
        <x:v>17.25</x:v>
      </x:c>
      <x:c r="H356" s="67" t="n">
        <x:v>9.799999999999999</x:v>
      </x:c>
      <x:c r="I356" s="67" t="n">
        <x:v>17.42</x:v>
      </x:c>
      <x:c r="J356" s="67" t="n">
        <x:v>42</x:v>
      </x:c>
      <x:c r="K356" s="67" t="str">
        <x:v>VERY_DEEP</x:v>
      </x:c>
      <x:c r="L356" s="67" t="n">
        <x:v>13.61</x:v>
      </x:c>
      <x:c r="M356" s="68" t="n">
        <x:v>571.62</x:v>
      </x:c>
      <x:c r="N356" s="69" t="str">
        <x:v>Available</x:v>
      </x:c>
      <x:c r="O356" s="62" t="str">
        <x:v>Very-deep roster candidate. Non-guaranteed status and role uncertainty are discounted; verify final roster before draft use.</x:v>
      </x:c>
      <x:c r="P356" s="60"/>
      <x:c r="Q356" s="60"/>
      <x:c r="R356" s="60" t="n">
        <x:v>13.61</x:v>
      </x:c>
      <x:c r="S356" s="60" t="n">
        <x:v>0</x:v>
      </x:c>
      <x:c r="T356" s="72" t="str">
        <x:v>https://github.com/plourr03/wolves-front-office/blob/5d152a169188fb9b210186a7a0d3403d4081ed38/kuminga/data/roster_snapshot_2026_27_v3.csv</x:v>
      </x:c>
      <x:c r="U356" s="87" t="str">
        <x:v>VERY_DEEP</x:v>
      </x:c>
      <x:c r="V356" s="87" t="str">
        <x:v>MEDIUM</x:v>
      </x:c>
      <x:c r="W356" s="87" t="str">
        <x:v>MODEL</x:v>
      </x:c>
      <x:c r="X356" s="87" t="str">
        <x:v>NON GUARANTEED</x:v>
      </x:c>
      <x:c r="Y356" s="87" t="str">
        <x:v>2026-09-28 master / roster context 2026-09-03+</x:v>
      </x:c>
      <x:c r="Z356" s="72" t="str">
        <x:v>https://github.com/plourr03/wolves-front-office/blob/5d152a169188fb9b210186a7a0d3403d4081ed38/kuminga/data/roster_snapshot_2026_27_v3.csv</x:v>
      </x:c>
      <x:c r="AA356" s="72" t="str">
        <x:v>https://github.com/ballacademy/NBA-head-to-head-/blob/5b1decfc31ffb645469c7ffbd01aaca4b18181bd/data/nba-stats/nba-player-stats-202526-regular-season-per-game.csv</x:v>
      </x:c>
    </x:row>
    <x:row r="357" ht="21" customHeight="1">
      <x:c r="A357" s="64" t="n">
        <x:v>352</x:v>
      </x:c>
      <x:c r="B357" s="59" t="str">
        <x:v>Joshua Jefferson</x:v>
      </x:c>
      <x:c r="C357" s="65" t="str">
        <x:v>BKN</x:v>
      </x:c>
      <x:c r="D357" s="65" t="str">
        <x:v>PF</x:v>
      </x:c>
      <x:c r="E357" s="65" t="str">
        <x:v>PF</x:v>
      </x:c>
      <x:c r="F357" s="66"/>
      <x:c r="G357" s="67"/>
      <x:c r="H357" s="67" t="n">
        <x:v>7.93</x:v>
      </x:c>
      <x:c r="I357" s="67" t="n">
        <x:v>18.51</x:v>
      </x:c>
      <x:c r="J357" s="67" t="n">
        <x:v>60</x:v>
      </x:c>
      <x:c r="K357" s="67" t="str">
        <x:v>WATCH</x:v>
      </x:c>
      <x:c r="L357" s="67" t="n">
        <x:v>13.22</x:v>
      </x:c>
      <x:c r="M357" s="68" t="n">
        <x:v>793.2</x:v>
      </x:c>
      <x:c r="N357" s="69" t="str">
        <x:v>Available</x:v>
      </x:c>
      <x:c r="O357" s="62" t="str">
        <x:v>Rookie/depth role estimate with a wide band and limited NBA evidence. Treat as a watch-list projection, not a published forecast.</x:v>
      </x:c>
      <x:c r="P357" s="60"/>
      <x:c r="Q357" s="60"/>
      <x:c r="R357" s="60" t="n">
        <x:v>13.22</x:v>
      </x:c>
      <x:c r="S357" s="60" t="n">
        <x:v>0</x:v>
      </x:c>
      <x:c r="T357" s="72" t="str">
        <x:v>https://github.com/plourr03/wolves-front-office/blob/5d152a169188fb9b210186a7a0d3403d4081ed38/kuminga/data/roster_snapshot_2026_27_v3.csv</x:v>
      </x:c>
      <x:c r="U357" s="87" t="str">
        <x:v>VERY_DEEP</x:v>
      </x:c>
      <x:c r="V357" s="87" t="str">
        <x:v>LOW</x:v>
      </x:c>
      <x:c r="W357" s="87" t="str">
        <x:v>MODEL-ROOKIE</x:v>
      </x:c>
      <x:c r="X357" s="87" t="str">
        <x:v>STANDARD</x:v>
      </x:c>
      <x:c r="Y357" s="87" t="str">
        <x:v>2026-09-28 master / roster context 2026-09-03+</x:v>
      </x:c>
      <x:c r="Z357" s="72" t="str">
        <x:v>https://github.com/plourr03/wolves-front-office/blob/5d152a169188fb9b210186a7a0d3403d4081ed38/kuminga/data/roster_snapshot_2026_27_v3.csv</x:v>
      </x:c>
      <x:c r="AA357" s="72" t="str">
        <x:v>https://github.com/ballacademy/NBA-head-to-head-/blob/5b1decfc31ffb645469c7ffbd01aaca4b18181bd/data/nba-stats/nba-player-stats-202526-regular-season-per-game.csv</x:v>
      </x:c>
    </x:row>
    <x:row r="358" ht="21" customHeight="1">
      <x:c r="A358" s="64" t="n">
        <x:v>353</x:v>
      </x:c>
      <x:c r="B358" s="59" t="str">
        <x:v>Patrick Williams</x:v>
      </x:c>
      <x:c r="C358" s="65" t="str">
        <x:v>CHI</x:v>
      </x:c>
      <x:c r="D358" s="65" t="str">
        <x:v>PF</x:v>
      </x:c>
      <x:c r="E358" s="65" t="str">
        <x:v>PF</x:v>
      </x:c>
      <x:c r="F358" s="66" t="n">
        <x:v>72</x:v>
      </x:c>
      <x:c r="G358" s="67" t="n">
        <x:v>13.95</x:v>
      </x:c>
      <x:c r="H358" s="67" t="n">
        <x:v>9.69</x:v>
      </x:c>
      <x:c r="I358" s="67" t="n">
        <x:v>16.689999999999998</x:v>
      </x:c>
      <x:c r="J358" s="67" t="n">
        <x:v>60</x:v>
      </x:c>
      <x:c r="K358" s="67" t="str">
        <x:v>DEEP</x:v>
      </x:c>
      <x:c r="L358" s="67" t="n">
        <x:v>13.19</x:v>
      </x:c>
      <x:c r="M358" s="68" t="n">
        <x:v>791.4</x:v>
      </x:c>
      <x:c r="N358" s="69" t="str">
        <x:v>Available</x:v>
      </x:c>
      <x:c r="O358" s="62" t="str">
        <x:v>Deep-pool model: 2025-26 custom-score production shrunk toward a conservative 2026-27 role estimate; not a published projection.</x:v>
      </x:c>
      <x:c r="P358" s="60"/>
      <x:c r="Q358" s="60"/>
      <x:c r="R358" s="60" t="n">
        <x:v>13.19</x:v>
      </x:c>
      <x:c r="S358" s="60" t="n">
        <x:v>0</x:v>
      </x:c>
      <x:c r="T358" s="72" t="str">
        <x:v>https://github.com/plourr03/wolves-front-office/blob/5d152a169188fb9b210186a7a0d3403d4081ed38/kuminga/data/roster_snapshot_2026_27_v3.csv</x:v>
      </x:c>
      <x:c r="U358" s="87" t="str">
        <x:v>VERY_DEEP</x:v>
      </x:c>
      <x:c r="V358" s="87" t="str">
        <x:v>HIGH</x:v>
      </x:c>
      <x:c r="W358" s="87" t="str">
        <x:v>MODEL</x:v>
      </x:c>
      <x:c r="X358" s="87" t="str">
        <x:v>STANDARD</x:v>
      </x:c>
      <x:c r="Y358" s="87" t="str">
        <x:v>2026-09-28 master / roster context 2026-09-03+</x:v>
      </x:c>
      <x:c r="Z358" s="72" t="str">
        <x:v>https://github.com/plourr03/wolves-front-office/blob/5d152a169188fb9b210186a7a0d3403d4081ed38/kuminga/data/roster_snapshot_2026_27_v3.csv</x:v>
      </x:c>
      <x:c r="AA358" s="72" t="str">
        <x:v>https://github.com/ballacademy/NBA-head-to-head-/blob/5b1decfc31ffb645469c7ffbd01aaca4b18181bd/data/nba-stats/nba-player-stats-202526-regular-season-per-game.csv</x:v>
      </x:c>
    </x:row>
    <x:row r="359" ht="21" customHeight="1">
      <x:c r="A359" s="64" t="n">
        <x:v>354</x:v>
      </x:c>
      <x:c r="B359" s="59" t="str">
        <x:v>Kenrich Williams</x:v>
      </x:c>
      <x:c r="C359" s="65" t="str">
        <x:v>OKC</x:v>
      </x:c>
      <x:c r="D359" s="65" t="str">
        <x:v>PF</x:v>
      </x:c>
      <x:c r="E359" s="65" t="str">
        <x:v>PF</x:v>
      </x:c>
      <x:c r="F359" s="66" t="n">
        <x:v>56</x:v>
      </x:c>
      <x:c r="G359" s="67" t="n">
        <x:v>14.75</x:v>
      </x:c>
      <x:c r="H359" s="67" t="n">
        <x:v>9.62</x:v>
      </x:c>
      <x:c r="I359" s="67" t="n">
        <x:v>16.619999999999997</x:v>
      </x:c>
      <x:c r="J359" s="67" t="n">
        <x:v>60</x:v>
      </x:c>
      <x:c r="K359" s="67" t="str">
        <x:v>DEEP</x:v>
      </x:c>
      <x:c r="L359" s="67" t="n">
        <x:v>13.12</x:v>
      </x:c>
      <x:c r="M359" s="68" t="n">
        <x:v>787.1999999999999</x:v>
      </x:c>
      <x:c r="N359" s="69" t="str">
        <x:v>Available</x:v>
      </x:c>
      <x:c r="O359" s="62" t="str">
        <x:v>Deep-pool model: 2025-26 custom-score production shrunk toward a conservative 2026-27 role estimate; not a published projection.</x:v>
      </x:c>
      <x:c r="P359" s="60"/>
      <x:c r="Q359" s="60"/>
      <x:c r="R359" s="60" t="n">
        <x:v>13.12</x:v>
      </x:c>
      <x:c r="S359" s="60" t="n">
        <x:v>0</x:v>
      </x:c>
      <x:c r="T359" s="72" t="str">
        <x:v>https://github.com/plourr03/wolves-front-office/blob/5d152a169188fb9b210186a7a0d3403d4081ed38/kuminga/data/roster_snapshot_2026_27_v3.csv</x:v>
      </x:c>
      <x:c r="U359" s="87" t="str">
        <x:v>VERY_DEEP</x:v>
      </x:c>
      <x:c r="V359" s="87" t="str">
        <x:v>HIGH</x:v>
      </x:c>
      <x:c r="W359" s="87" t="str">
        <x:v>MODEL</x:v>
      </x:c>
      <x:c r="X359" s="87" t="str">
        <x:v>STANDARD</x:v>
      </x:c>
      <x:c r="Y359" s="87" t="str">
        <x:v>2026-09-28 master / roster context 2026-09-03+</x:v>
      </x:c>
      <x:c r="Z359" s="72" t="str">
        <x:v>https://github.com/plourr03/wolves-front-office/blob/5d152a169188fb9b210186a7a0d3403d4081ed38/kuminga/data/roster_snapshot_2026_27_v3.csv</x:v>
      </x:c>
      <x:c r="AA359" s="72" t="str">
        <x:v>https://github.com/ballacademy/NBA-head-to-head-/blob/5b1decfc31ffb645469c7ffbd01aaca4b18181bd/data/nba-stats/nba-player-stats-202526-regular-season-per-game.csv</x:v>
      </x:c>
    </x:row>
    <x:row r="360" ht="21" customHeight="1">
      <x:c r="A360" s="64" t="n">
        <x:v>355</x:v>
      </x:c>
      <x:c r="B360" s="59" t="str">
        <x:v>Keon Ellis</x:v>
      </x:c>
      <x:c r="C360" s="65" t="str">
        <x:v>BKN</x:v>
      </x:c>
      <x:c r="D360" s="65" t="str">
        <x:v>SF</x:v>
      </x:c>
      <x:c r="E360" s="65" t="str">
        <x:v>SF</x:v>
      </x:c>
      <x:c r="F360" s="66" t="n">
        <x:v>72</x:v>
      </x:c>
      <x:c r="G360" s="67" t="n">
        <x:v>14.2</x:v>
      </x:c>
      <x:c r="H360" s="67" t="n">
        <x:v>9.5</x:v>
      </x:c>
      <x:c r="I360" s="67" t="n">
        <x:v>16.5</x:v>
      </x:c>
      <x:c r="J360" s="67" t="n">
        <x:v>60</x:v>
      </x:c>
      <x:c r="K360" s="67" t="str">
        <x:v>DEEP</x:v>
      </x:c>
      <x:c r="L360" s="67" t="n">
        <x:v>13</x:v>
      </x:c>
      <x:c r="M360" s="68" t="n">
        <x:v>780</x:v>
      </x:c>
      <x:c r="N360" s="69" t="str">
        <x:v>Available</x:v>
      </x:c>
      <x:c r="O360" s="62" t="str">
        <x:v>Deep-pool model: 2025-26 custom-score production shrunk toward a conservative 2026-27 role estimate; not a published projection.</x:v>
      </x:c>
      <x:c r="P360" s="60"/>
      <x:c r="Q360" s="60"/>
      <x:c r="R360" s="60" t="n">
        <x:v>13</x:v>
      </x:c>
      <x:c r="S360" s="60" t="n">
        <x:v>0</x:v>
      </x:c>
      <x:c r="T360" s="72" t="str">
        <x:v>https://github.com/plourr03/wolves-front-office/blob/5d152a169188fb9b210186a7a0d3403d4081ed38/kuminga/data/roster_snapshot_2026_27_v3.csv</x:v>
      </x:c>
      <x:c r="U360" s="87" t="str">
        <x:v>VERY_DEEP</x:v>
      </x:c>
      <x:c r="V360" s="87" t="str">
        <x:v>HIGH</x:v>
      </x:c>
      <x:c r="W360" s="87" t="str">
        <x:v>MODEL</x:v>
      </x:c>
      <x:c r="X360" s="87" t="str">
        <x:v>STANDARD</x:v>
      </x:c>
      <x:c r="Y360" s="87" t="str">
        <x:v>2026-09-28 master / roster context 2026-09-03+</x:v>
      </x:c>
      <x:c r="Z360" s="72" t="str">
        <x:v>https://github.com/plourr03/wolves-front-office/blob/5d152a169188fb9b210186a7a0d3403d4081ed38/kuminga/data/roster_snapshot_2026_27_v3.csv</x:v>
      </x:c>
      <x:c r="AA360" s="72" t="str">
        <x:v>https://github.com/ballacademy/NBA-head-to-head-/blob/5b1decfc31ffb645469c7ffbd01aaca4b18181bd/data/nba-stats/nba-player-stats-202526-regular-season-per-game.csv</x:v>
      </x:c>
    </x:row>
    <x:row r="361" ht="21" customHeight="1">
      <x:c r="A361" s="64" t="n">
        <x:v>356</x:v>
      </x:c>
      <x:c r="B361" s="59" t="str">
        <x:v>Will Richard</x:v>
      </x:c>
      <x:c r="C361" s="65" t="str">
        <x:v>GSW</x:v>
      </x:c>
      <x:c r="D361" s="65" t="str">
        <x:v>SG</x:v>
      </x:c>
      <x:c r="E361" s="65" t="str">
        <x:v>SG</x:v>
      </x:c>
      <x:c r="F361" s="66" t="n">
        <x:v>69</x:v>
      </x:c>
      <x:c r="G361" s="67" t="n">
        <x:v>15</x:v>
      </x:c>
      <x:c r="H361" s="67" t="n">
        <x:v>9.34</x:v>
      </x:c>
      <x:c r="I361" s="67" t="n">
        <x:v>16.34</x:v>
      </x:c>
      <x:c r="J361" s="67" t="n">
        <x:v>64</x:v>
      </x:c>
      <x:c r="K361" s="67" t="str">
        <x:v>DEEP</x:v>
      </x:c>
      <x:c r="L361" s="67" t="n">
        <x:v>12.84</x:v>
      </x:c>
      <x:c r="M361" s="68" t="n">
        <x:v>821.76</x:v>
      </x:c>
      <x:c r="N361" s="69" t="str">
        <x:v>Available</x:v>
      </x:c>
      <x:c r="O361" s="62" t="str">
        <x:v>Deep-pool model: 2025-26 custom-score production shrunk toward a conservative 2026-27 role estimate; not a published projection.</x:v>
      </x:c>
      <x:c r="P361" s="60"/>
      <x:c r="Q361" s="60"/>
      <x:c r="R361" s="60" t="n">
        <x:v>12.84</x:v>
      </x:c>
      <x:c r="S361" s="60" t="n">
        <x:v>0</x:v>
      </x:c>
      <x:c r="T361" s="72" t="str">
        <x:v>https://github.com/A-V29/NBA.Rosters/blob/main/2026.Summer.League.json</x:v>
      </x:c>
      <x:c r="U361" s="87" t="str">
        <x:v>VERY_DEEP</x:v>
      </x:c>
      <x:c r="V361" s="87" t="str">
        <x:v>HIGH</x:v>
      </x:c>
      <x:c r="W361" s="87" t="str">
        <x:v>MODEL</x:v>
      </x:c>
      <x:c r="X361" s="87" t="str">
        <x:v>CAMP/SUMMER</x:v>
      </x:c>
      <x:c r="Y361" s="87" t="str">
        <x:v>2026-09-28 master / roster context 2026-09-03+</x:v>
      </x:c>
      <x:c r="Z361" s="72" t="str">
        <x:v>https://github.com/A-V29/NBA.Rosters/blob/main/2026.Summer.League.json</x:v>
      </x:c>
      <x:c r="AA361" s="72" t="str">
        <x:v>https://github.com/ballacademy/NBA-head-to-head-/blob/5b1decfc31ffb645469c7ffbd01aaca4b18181bd/data/nba-stats/nba-player-stats-202526-regular-season-per-game.csv</x:v>
      </x:c>
    </x:row>
    <x:row r="362" ht="21" customHeight="1">
      <x:c r="A362" s="64" t="n">
        <x:v>357</x:v>
      </x:c>
      <x:c r="B362" s="59" t="str">
        <x:v>Bryce McGowens</x:v>
      </x:c>
      <x:c r="C362" s="65" t="str">
        <x:v>NOP</x:v>
      </x:c>
      <x:c r="D362" s="65" t="str">
        <x:v>SG</x:v>
      </x:c>
      <x:c r="E362" s="65" t="str">
        <x:v>SG</x:v>
      </x:c>
      <x:c r="F362" s="66" t="n">
        <x:v>42</x:v>
      </x:c>
      <x:c r="G362" s="67" t="n">
        <x:v>15.75</x:v>
      </x:c>
      <x:c r="H362" s="67" t="n">
        <x:v>9.45</x:v>
      </x:c>
      <x:c r="I362" s="67" t="n">
        <x:v>16.45</x:v>
      </x:c>
      <x:c r="J362" s="67" t="n">
        <x:v>60</x:v>
      </x:c>
      <x:c r="K362" s="67" t="str">
        <x:v>DEEP</x:v>
      </x:c>
      <x:c r="L362" s="67" t="n">
        <x:v>12.95</x:v>
      </x:c>
      <x:c r="M362" s="68" t="n">
        <x:v>777</x:v>
      </x:c>
      <x:c r="N362" s="69" t="str">
        <x:v>Available</x:v>
      </x:c>
      <x:c r="O362" s="62" t="str">
        <x:v>Deep-pool model: 2025-26 custom-score production shrunk toward a conservative 2026-27 role estimate; not a published projection.</x:v>
      </x:c>
      <x:c r="P362" s="60"/>
      <x:c r="Q362" s="60"/>
      <x:c r="R362" s="60" t="n">
        <x:v>12.95</x:v>
      </x:c>
      <x:c r="S362" s="60" t="n">
        <x:v>0</x:v>
      </x:c>
      <x:c r="T362" s="72" t="str">
        <x:v>https://github.com/plourr03/wolves-front-office/blob/5d152a169188fb9b210186a7a0d3403d4081ed38/kuminga/data/roster_snapshot_2026_27_v3.csv</x:v>
      </x:c>
      <x:c r="U362" s="87" t="str">
        <x:v>VERY_DEEP</x:v>
      </x:c>
      <x:c r="V362" s="87" t="str">
        <x:v>HIGH</x:v>
      </x:c>
      <x:c r="W362" s="87" t="str">
        <x:v>MODEL</x:v>
      </x:c>
      <x:c r="X362" s="87" t="str">
        <x:v>STANDARD</x:v>
      </x:c>
      <x:c r="Y362" s="87" t="str">
        <x:v>2026-09-28 master / roster context 2026-09-03+</x:v>
      </x:c>
      <x:c r="Z362" s="72" t="str">
        <x:v>https://github.com/plourr03/wolves-front-office/blob/5d152a169188fb9b210186a7a0d3403d4081ed38/kuminga/data/roster_snapshot_2026_27_v3.csv</x:v>
      </x:c>
      <x:c r="AA362" s="72" t="str">
        <x:v>https://github.com/ballacademy/NBA-head-to-head-/blob/5b1decfc31ffb645469c7ffbd01aaca4b18181bd/data/nba-stats/nba-player-stats-202526-regular-season-per-game.csv</x:v>
      </x:c>
    </x:row>
    <x:row r="363" ht="21" customHeight="1">
      <x:c r="A363" s="64" t="n">
        <x:v>358</x:v>
      </x:c>
      <x:c r="B363" s="59" t="str">
        <x:v>Taurean Prince</x:v>
      </x:c>
      <x:c r="C363" s="65" t="str">
        <x:v>DET</x:v>
      </x:c>
      <x:c r="D363" s="65" t="str">
        <x:v>PF</x:v>
      </x:c>
      <x:c r="E363" s="65" t="str">
        <x:v>PF</x:v>
      </x:c>
      <x:c r="F363" s="66" t="n">
        <x:v>26</x:v>
      </x:c>
      <x:c r="G363" s="67" t="n">
        <x:v>16.3</x:v>
      </x:c>
      <x:c r="H363" s="67" t="n">
        <x:v>9.239999999999998</x:v>
      </x:c>
      <x:c r="I363" s="67" t="n">
        <x:v>16.42</x:v>
      </x:c>
      <x:c r="J363" s="67" t="n">
        <x:v>60</x:v>
      </x:c>
      <x:c r="K363" s="67" t="str">
        <x:v>VERY_DEEP</x:v>
      </x:c>
      <x:c r="L363" s="67" t="n">
        <x:v>12.83</x:v>
      </x:c>
      <x:c r="M363" s="68" t="n">
        <x:v>769.8</x:v>
      </x:c>
      <x:c r="N363" s="69" t="str">
        <x:v>Available</x:v>
      </x:c>
      <x:c r="O363" s="62" t="str">
        <x:v>Very-deep model estimate with limited sample/role certainty. Use as a search/watch-list value and refresh once final rotations are known.</x:v>
      </x:c>
      <x:c r="P363" s="60"/>
      <x:c r="Q363" s="60"/>
      <x:c r="R363" s="60" t="n">
        <x:v>12.83</x:v>
      </x:c>
      <x:c r="S363" s="60" t="n">
        <x:v>0</x:v>
      </x:c>
      <x:c r="T363" s="72" t="str">
        <x:v>https://github.com/plourr03/wolves-front-office/blob/5d152a169188fb9b210186a7a0d3403d4081ed38/kuminga/data/roster_snapshot_2026_27_v3.csv</x:v>
      </x:c>
      <x:c r="U363" s="87" t="str">
        <x:v>VERY_DEEP</x:v>
      </x:c>
      <x:c r="V363" s="87" t="str">
        <x:v>MEDIUM</x:v>
      </x:c>
      <x:c r="W363" s="87" t="str">
        <x:v>MODEL</x:v>
      </x:c>
      <x:c r="X363" s="87" t="str">
        <x:v>STANDARD</x:v>
      </x:c>
      <x:c r="Y363" s="87" t="str">
        <x:v>2026-09-28 master / roster context 2026-09-03+</x:v>
      </x:c>
      <x:c r="Z363" s="72" t="str">
        <x:v>https://github.com/plourr03/wolves-front-office/blob/5d152a169188fb9b210186a7a0d3403d4081ed38/kuminga/data/roster_snapshot_2026_27_v3.csv</x:v>
      </x:c>
      <x:c r="AA363" s="72" t="str">
        <x:v>https://github.com/ballacademy/NBA-head-to-head-/blob/5b1decfc31ffb645469c7ffbd01aaca4b18181bd/data/nba-stats/nba-player-stats-202526-regular-season-per-game.csv</x:v>
      </x:c>
    </x:row>
    <x:row r="364" ht="21" customHeight="1">
      <x:c r="A364" s="64" t="n">
        <x:v>359</x:v>
      </x:c>
      <x:c r="B364" s="59" t="str">
        <x:v>Jarred Vanderbilt</x:v>
      </x:c>
      <x:c r="C364" s="65" t="str">
        <x:v>LAL</x:v>
      </x:c>
      <x:c r="D364" s="65" t="str">
        <x:v>PF</x:v>
      </x:c>
      <x:c r="E364" s="65" t="str">
        <x:v>PF</x:v>
      </x:c>
      <x:c r="F364" s="66" t="n">
        <x:v>65</x:v>
      </x:c>
      <x:c r="G364" s="67" t="n">
        <x:v>13.7</x:v>
      </x:c>
      <x:c r="H364" s="67" t="n">
        <x:v>9.28</x:v>
      </x:c>
      <x:c r="I364" s="67" t="n">
        <x:v>16.28</x:v>
      </x:c>
      <x:c r="J364" s="67" t="n">
        <x:v>60</x:v>
      </x:c>
      <x:c r="K364" s="67" t="str">
        <x:v>DEEP</x:v>
      </x:c>
      <x:c r="L364" s="67" t="n">
        <x:v>12.78</x:v>
      </x:c>
      <x:c r="M364" s="68" t="n">
        <x:v>766.8</x:v>
      </x:c>
      <x:c r="N364" s="69" t="str">
        <x:v>Available</x:v>
      </x:c>
      <x:c r="O364" s="62" t="str">
        <x:v>Deep-pool model: 2025-26 custom-score production shrunk toward a conservative 2026-27 role estimate; not a published projection.</x:v>
      </x:c>
      <x:c r="P364" s="60"/>
      <x:c r="Q364" s="60"/>
      <x:c r="R364" s="60" t="n">
        <x:v>12.78</x:v>
      </x:c>
      <x:c r="S364" s="60" t="n">
        <x:v>0</x:v>
      </x:c>
      <x:c r="T364" s="72" t="str">
        <x:v>https://github.com/plourr03/wolves-front-office/blob/5d152a169188fb9b210186a7a0d3403d4081ed38/kuminga/data/roster_snapshot_2026_27_v3.csv</x:v>
      </x:c>
      <x:c r="U364" s="87" t="str">
        <x:v>VERY_DEEP</x:v>
      </x:c>
      <x:c r="V364" s="87" t="str">
        <x:v>HIGH</x:v>
      </x:c>
      <x:c r="W364" s="87" t="str">
        <x:v>MODEL</x:v>
      </x:c>
      <x:c r="X364" s="87" t="str">
        <x:v>STANDARD</x:v>
      </x:c>
      <x:c r="Y364" s="87" t="str">
        <x:v>2026-09-28 master / roster context 2026-09-03+</x:v>
      </x:c>
      <x:c r="Z364" s="72" t="str">
        <x:v>https://github.com/plourr03/wolves-front-office/blob/5d152a169188fb9b210186a7a0d3403d4081ed38/kuminga/data/roster_snapshot_2026_27_v3.csv</x:v>
      </x:c>
      <x:c r="AA364" s="72" t="str">
        <x:v>https://github.com/ballacademy/NBA-head-to-head-/blob/5b1decfc31ffb645469c7ffbd01aaca4b18181bd/data/nba-stats/nba-player-stats-202526-regular-season-per-game.csv</x:v>
      </x:c>
    </x:row>
    <x:row r="365" ht="21" customHeight="1">
      <x:c r="A365" s="64" t="n">
        <x:v>360</x:v>
      </x:c>
      <x:c r="B365" s="59" t="str">
        <x:v>Tidjane Salaun</x:v>
      </x:c>
      <x:c r="C365" s="65" t="str">
        <x:v>CHA</x:v>
      </x:c>
      <x:c r="D365" s="65" t="str">
        <x:v>PF</x:v>
      </x:c>
      <x:c r="E365" s="65" t="str">
        <x:v>F</x:v>
      </x:c>
      <x:c r="F365" s="66" t="n">
        <x:v>37</x:v>
      </x:c>
      <x:c r="G365" s="67" t="n">
        <x:v>13.55</x:v>
      </x:c>
      <x:c r="H365" s="67" t="n">
        <x:v>9.01</x:v>
      </x:c>
      <x:c r="I365" s="67" t="n">
        <x:v>16.009999999999998</x:v>
      </x:c>
      <x:c r="J365" s="67" t="n">
        <x:v>64</x:v>
      </x:c>
      <x:c r="K365" s="67" t="str">
        <x:v>DEEP</x:v>
      </x:c>
      <x:c r="L365" s="67" t="n">
        <x:v>12.51</x:v>
      </x:c>
      <x:c r="M365" s="68" t="n">
        <x:v>800.64</x:v>
      </x:c>
      <x:c r="N365" s="69" t="str">
        <x:v>Available</x:v>
      </x:c>
      <x:c r="O365" s="62" t="str">
        <x:v>Deep-pool model: 2025-26 custom-score production shrunk toward a conservative 2026-27 role estimate; not a published projection.</x:v>
      </x:c>
      <x:c r="P365" s="60"/>
      <x:c r="Q365" s="60"/>
      <x:c r="R365" s="60" t="n">
        <x:v>12.51</x:v>
      </x:c>
      <x:c r="S365" s="60" t="n">
        <x:v>0</x:v>
      </x:c>
      <x:c r="T365" s="72" t="str">
        <x:v>https://github.com/A-V29/NBA.Rosters/blob/main/2026.Summer.League.json</x:v>
      </x:c>
      <x:c r="U365" s="87" t="str">
        <x:v>VERY_DEEP</x:v>
      </x:c>
      <x:c r="V365" s="87" t="str">
        <x:v>HIGH</x:v>
      </x:c>
      <x:c r="W365" s="87" t="str">
        <x:v>MODEL</x:v>
      </x:c>
      <x:c r="X365" s="87" t="str">
        <x:v>CAMP/SUMMER</x:v>
      </x:c>
      <x:c r="Y365" s="87" t="str">
        <x:v>2026-09-28 master / roster context 2026-09-03+</x:v>
      </x:c>
      <x:c r="Z365" s="72" t="str">
        <x:v>https://github.com/A-V29/NBA.Rosters/blob/main/2026.Summer.League.json</x:v>
      </x:c>
      <x:c r="AA365" s="72" t="str">
        <x:v>https://github.com/ballacademy/NBA-head-to-head-/blob/5b1decfc31ffb645469c7ffbd01aaca4b18181bd/data/nba-stats/nba-player-stats-202526-regular-season-per-game.csv</x:v>
      </x:c>
    </x:row>
    <x:row r="366" ht="21" customHeight="1">
      <x:c r="A366" s="64" t="n">
        <x:v>361</x:v>
      </x:c>
      <x:c r="B366" s="59" t="str">
        <x:v>DeAndre Jordan</x:v>
      </x:c>
      <x:c r="C366" s="65" t="str">
        <x:v>NOP</x:v>
      </x:c>
      <x:c r="D366" s="65" t="str">
        <x:v>C</x:v>
      </x:c>
      <x:c r="E366" s="65" t="str">
        <x:v>C</x:v>
      </x:c>
      <x:c r="F366" s="66" t="n">
        <x:v>12</x:v>
      </x:c>
      <x:c r="G366" s="67" t="n">
        <x:v>17.95</x:v>
      </x:c>
      <x:c r="H366" s="67" t="n">
        <x:v>9.065</x:v>
      </x:c>
      <x:c r="I366" s="67" t="n">
        <x:v>16.115000000000002</x:v>
      </x:c>
      <x:c r="J366" s="67" t="n">
        <x:v>60</x:v>
      </x:c>
      <x:c r="K366" s="67" t="str">
        <x:v>VERY_DEEP</x:v>
      </x:c>
      <x:c r="L366" s="67" t="n">
        <x:v>12.59</x:v>
      </x:c>
      <x:c r="M366" s="68" t="n">
        <x:v>755.4</x:v>
      </x:c>
      <x:c r="N366" s="69" t="str">
        <x:v>Available</x:v>
      </x:c>
      <x:c r="O366" s="62" t="str">
        <x:v>Very-deep model estimate with limited sample/role certainty. Use as a search/watch-list value and refresh once final rotations are known.</x:v>
      </x:c>
      <x:c r="P366" s="60"/>
      <x:c r="Q366" s="60"/>
      <x:c r="R366" s="60" t="n">
        <x:v>12.59</x:v>
      </x:c>
      <x:c r="S366" s="60" t="n">
        <x:v>0</x:v>
      </x:c>
      <x:c r="T366" s="72" t="str">
        <x:v>https://github.com/plourr03/wolves-front-office/blob/5d152a169188fb9b210186a7a0d3403d4081ed38/kuminga/data/roster_snapshot_2026_27_v3.csv</x:v>
      </x:c>
      <x:c r="U366" s="87" t="str">
        <x:v>VERY_DEEP</x:v>
      </x:c>
      <x:c r="V366" s="87" t="str">
        <x:v>MEDIUM</x:v>
      </x:c>
      <x:c r="W366" s="87" t="str">
        <x:v>MODEL</x:v>
      </x:c>
      <x:c r="X366" s="87" t="str">
        <x:v>STANDARD</x:v>
      </x:c>
      <x:c r="Y366" s="87" t="str">
        <x:v>2026-09-28 master / roster context 2026-09-03+</x:v>
      </x:c>
      <x:c r="Z366" s="72" t="str">
        <x:v>https://github.com/plourr03/wolves-front-office/blob/5d152a169188fb9b210186a7a0d3403d4081ed38/kuminga/data/roster_snapshot_2026_27_v3.csv</x:v>
      </x:c>
      <x:c r="AA366" s="72" t="str">
        <x:v>https://github.com/ballacademy/NBA-head-to-head-/blob/5b1decfc31ffb645469c7ffbd01aaca4b18181bd/data/nba-stats/nba-player-stats-202526-regular-season-per-game.csv</x:v>
      </x:c>
    </x:row>
    <x:row r="367" ht="21" customHeight="1">
      <x:c r="A367" s="64" t="n">
        <x:v>362</x:v>
      </x:c>
      <x:c r="B367" s="59" t="str">
        <x:v>Thomas Bryant</x:v>
      </x:c>
      <x:c r="C367" s="65" t="str">
        <x:v>CLE</x:v>
      </x:c>
      <x:c r="D367" s="65" t="str">
        <x:v>C</x:v>
      </x:c>
      <x:c r="E367" s="65" t="str">
        <x:v>C</x:v>
      </x:c>
      <x:c r="F367" s="66" t="n">
        <x:v>60</x:v>
      </x:c>
      <x:c r="G367" s="67" t="n">
        <x:v>14.3</x:v>
      </x:c>
      <x:c r="H367" s="67" t="n">
        <x:v>8.85</x:v>
      </x:c>
      <x:c r="I367" s="67" t="n">
        <x:v>15.85</x:v>
      </x:c>
      <x:c r="J367" s="67" t="n">
        <x:v>60</x:v>
      </x:c>
      <x:c r="K367" s="67" t="str">
        <x:v>DEEP</x:v>
      </x:c>
      <x:c r="L367" s="67" t="n">
        <x:v>12.35</x:v>
      </x:c>
      <x:c r="M367" s="68" t="n">
        <x:v>741</x:v>
      </x:c>
      <x:c r="N367" s="69" t="str">
        <x:v>Available</x:v>
      </x:c>
      <x:c r="O367" s="62" t="str">
        <x:v>Deep-pool model: 2025-26 custom-score production shrunk toward a conservative 2026-27 role estimate; not a published projection.</x:v>
      </x:c>
      <x:c r="P367" s="60"/>
      <x:c r="Q367" s="60"/>
      <x:c r="R367" s="60" t="n">
        <x:v>12.35</x:v>
      </x:c>
      <x:c r="S367" s="60" t="n">
        <x:v>0</x:v>
      </x:c>
      <x:c r="T367" s="72" t="str">
        <x:v>https://github.com/plourr03/wolves-front-office/blob/5d152a169188fb9b210186a7a0d3403d4081ed38/kuminga/data/roster_snapshot_2026_27_v3.csv</x:v>
      </x:c>
      <x:c r="U367" s="87" t="str">
        <x:v>VERY_DEEP</x:v>
      </x:c>
      <x:c r="V367" s="87" t="str">
        <x:v>HIGH</x:v>
      </x:c>
      <x:c r="W367" s="87" t="str">
        <x:v>MODEL</x:v>
      </x:c>
      <x:c r="X367" s="87" t="str">
        <x:v>STANDARD</x:v>
      </x:c>
      <x:c r="Y367" s="87" t="str">
        <x:v>2026-09-28 master / roster context 2026-09-03+</x:v>
      </x:c>
      <x:c r="Z367" s="72" t="str">
        <x:v>https://github.com/plourr03/wolves-front-office/blob/5d152a169188fb9b210186a7a0d3403d4081ed38/kuminga/data/roster_snapshot_2026_27_v3.csv</x:v>
      </x:c>
      <x:c r="AA367" s="72" t="str">
        <x:v>https://github.com/ballacademy/NBA-head-to-head-/blob/5b1decfc31ffb645469c7ffbd01aaca4b18181bd/data/nba-stats/nba-player-stats-202526-regular-season-per-game.csv</x:v>
      </x:c>
    </x:row>
    <x:row r="368" ht="21" customHeight="1">
      <x:c r="A368" s="64" t="n">
        <x:v>363</x:v>
      </x:c>
      <x:c r="B368" s="59" t="str">
        <x:v>DeJon Jarreau</x:v>
      </x:c>
      <x:c r="C368" s="65" t="str">
        <x:v>DEN</x:v>
      </x:c>
      <x:c r="D368" s="65" t="str">
        <x:v>PG</x:v>
      </x:c>
      <x:c r="E368" s="65" t="str">
        <x:v>G</x:v>
      </x:c>
      <x:c r="F368" s="66" t="n">
        <x:v>11</x:v>
      </x:c>
      <x:c r="G368" s="67" t="n">
        <x:v>17.8</x:v>
      </x:c>
      <x:c r="H368" s="67" t="n">
        <x:v>8.61</x:v>
      </x:c>
      <x:c r="I368" s="67" t="n">
        <x:v>15.61</x:v>
      </x:c>
      <x:c r="J368" s="67" t="n">
        <x:v>64</x:v>
      </x:c>
      <x:c r="K368" s="67" t="str">
        <x:v>VERY_DEEP</x:v>
      </x:c>
      <x:c r="L368" s="67" t="n">
        <x:v>12.11</x:v>
      </x:c>
      <x:c r="M368" s="68" t="n">
        <x:v>775.04</x:v>
      </x:c>
      <x:c r="N368" s="69" t="str">
        <x:v>Available</x:v>
      </x:c>
      <x:c r="O368" s="62" t="str">
        <x:v>Very-deep model estimate with limited sample/role certainty. Use as a search/watch-list value and refresh once final rotations are known.</x:v>
      </x:c>
      <x:c r="P368" s="60"/>
      <x:c r="Q368" s="60"/>
      <x:c r="R368" s="60" t="n">
        <x:v>12.11</x:v>
      </x:c>
      <x:c r="S368" s="60" t="n">
        <x:v>0</x:v>
      </x:c>
      <x:c r="T368" s="72" t="str">
        <x:v>https://github.com/A-V29/NBA.Rosters/blob/main/2026.Summer.League.json</x:v>
      </x:c>
      <x:c r="U368" s="87" t="str">
        <x:v>VERY_DEEP</x:v>
      </x:c>
      <x:c r="V368" s="87" t="str">
        <x:v>MEDIUM</x:v>
      </x:c>
      <x:c r="W368" s="87" t="str">
        <x:v>MODEL</x:v>
      </x:c>
      <x:c r="X368" s="87" t="str">
        <x:v>CAMP/SUMMER</x:v>
      </x:c>
      <x:c r="Y368" s="87" t="str">
        <x:v>2026-09-28 master / roster context 2026-09-03+</x:v>
      </x:c>
      <x:c r="Z368" s="72" t="str">
        <x:v>https://github.com/A-V29/NBA.Rosters/blob/main/2026.Summer.League.json</x:v>
      </x:c>
      <x:c r="AA368" s="72" t="str">
        <x:v>https://github.com/ballacademy/NBA-head-to-head-/blob/5b1decfc31ffb645469c7ffbd01aaca4b18181bd/data/nba-stats/nba-player-stats-202526-regular-season-per-game.csv</x:v>
      </x:c>
    </x:row>
    <x:row r="369" ht="21" customHeight="1">
      <x:c r="A369" s="64" t="n">
        <x:v>364</x:v>
      </x:c>
      <x:c r="B369" s="59" t="str">
        <x:v>Ben Saraf</x:v>
      </x:c>
      <x:c r="C369" s="65" t="str">
        <x:v>BKN</x:v>
      </x:c>
      <x:c r="D369" s="65" t="str">
        <x:v>SG</x:v>
      </x:c>
      <x:c r="E369" s="65" t="str">
        <x:v>SG</x:v>
      </x:c>
      <x:c r="F369" s="66" t="n">
        <x:v>44</x:v>
      </x:c>
      <x:c r="G369" s="67" t="n">
        <x:v>13.35</x:v>
      </x:c>
      <x:c r="H369" s="67" t="n">
        <x:v>8.57</x:v>
      </x:c>
      <x:c r="I369" s="67" t="n">
        <x:v>15.57</x:v>
      </x:c>
      <x:c r="J369" s="67" t="n">
        <x:v>64</x:v>
      </x:c>
      <x:c r="K369" s="67" t="str">
        <x:v>DEEP</x:v>
      </x:c>
      <x:c r="L369" s="67" t="n">
        <x:v>12.07</x:v>
      </x:c>
      <x:c r="M369" s="68" t="n">
        <x:v>772.48</x:v>
      </x:c>
      <x:c r="N369" s="69" t="str">
        <x:v>Available</x:v>
      </x:c>
      <x:c r="O369" s="62" t="str">
        <x:v>Deep-pool model: 2025-26 custom-score production shrunk toward a conservative 2026-27 role estimate; not a published projection.</x:v>
      </x:c>
      <x:c r="P369" s="60"/>
      <x:c r="Q369" s="60"/>
      <x:c r="R369" s="60" t="n">
        <x:v>12.07</x:v>
      </x:c>
      <x:c r="S369" s="60" t="n">
        <x:v>0</x:v>
      </x:c>
      <x:c r="T369" s="72" t="str">
        <x:v>https://github.com/A-V29/NBA.Rosters/blob/main/2026.Summer.League.json</x:v>
      </x:c>
      <x:c r="U369" s="87" t="str">
        <x:v>VERY_DEEP</x:v>
      </x:c>
      <x:c r="V369" s="87" t="str">
        <x:v>HIGH</x:v>
      </x:c>
      <x:c r="W369" s="87" t="str">
        <x:v>MODEL</x:v>
      </x:c>
      <x:c r="X369" s="87" t="str">
        <x:v>CAMP/SUMMER</x:v>
      </x:c>
      <x:c r="Y369" s="87" t="str">
        <x:v>2026-09-28 master / roster context 2026-09-03+</x:v>
      </x:c>
      <x:c r="Z369" s="72" t="str">
        <x:v>https://github.com/A-V29/NBA.Rosters/blob/main/2026.Summer.League.json</x:v>
      </x:c>
      <x:c r="AA369" s="72" t="str">
        <x:v>https://github.com/ballacademy/NBA-head-to-head-/blob/5b1decfc31ffb645469c7ffbd01aaca4b18181bd/data/nba-stats/nba-player-stats-202526-regular-season-per-game.csv</x:v>
      </x:c>
    </x:row>
    <x:row r="370" ht="21" customHeight="1">
      <x:c r="A370" s="64" t="n">
        <x:v>365</x:v>
      </x:c>
      <x:c r="B370" s="59" t="str">
        <x:v>Baylor Scheierman</x:v>
      </x:c>
      <x:c r="C370" s="65" t="str">
        <x:v>BOS</x:v>
      </x:c>
      <x:c r="D370" s="65" t="str">
        <x:v>SG</x:v>
      </x:c>
      <x:c r="E370" s="65" t="str">
        <x:v>SG</x:v>
      </x:c>
      <x:c r="F370" s="66" t="n">
        <x:v>77</x:v>
      </x:c>
      <x:c r="G370" s="67" t="n">
        <x:v>14</x:v>
      </x:c>
      <x:c r="H370" s="67" t="n">
        <x:v>8.67</x:v>
      </x:c>
      <x:c r="I370" s="67" t="n">
        <x:v>15.67</x:v>
      </x:c>
      <x:c r="J370" s="67" t="n">
        <x:v>60</x:v>
      </x:c>
      <x:c r="K370" s="67" t="str">
        <x:v>DEEP</x:v>
      </x:c>
      <x:c r="L370" s="67" t="n">
        <x:v>12.17</x:v>
      </x:c>
      <x:c r="M370" s="68" t="n">
        <x:v>730.2</x:v>
      </x:c>
      <x:c r="N370" s="69" t="str">
        <x:v>Available</x:v>
      </x:c>
      <x:c r="O370" s="62" t="str">
        <x:v>Deep-pool model: 2025-26 custom-score production shrunk toward a conservative 2026-27 role estimate; not a published projection.</x:v>
      </x:c>
      <x:c r="P370" s="60"/>
      <x:c r="Q370" s="60"/>
      <x:c r="R370" s="60" t="n">
        <x:v>12.17</x:v>
      </x:c>
      <x:c r="S370" s="60" t="n">
        <x:v>0</x:v>
      </x:c>
      <x:c r="T370" s="72" t="str">
        <x:v>https://github.com/plourr03/wolves-front-office/blob/5d152a169188fb9b210186a7a0d3403d4081ed38/kuminga/data/roster_snapshot_2026_27_v3.csv</x:v>
      </x:c>
      <x:c r="U370" s="87" t="str">
        <x:v>VERY_DEEP</x:v>
      </x:c>
      <x:c r="V370" s="87" t="str">
        <x:v>HIGH</x:v>
      </x:c>
      <x:c r="W370" s="87" t="str">
        <x:v>MODEL</x:v>
      </x:c>
      <x:c r="X370" s="87" t="str">
        <x:v>STANDARD</x:v>
      </x:c>
      <x:c r="Y370" s="87" t="str">
        <x:v>2026-09-28 master / roster context 2026-09-03+</x:v>
      </x:c>
      <x:c r="Z370" s="72" t="str">
        <x:v>https://github.com/plourr03/wolves-front-office/blob/5d152a169188fb9b210186a7a0d3403d4081ed38/kuminga/data/roster_snapshot_2026_27_v3.csv</x:v>
      </x:c>
      <x:c r="AA370" s="72" t="str">
        <x:v>https://github.com/ballacademy/NBA-head-to-head-/blob/5b1decfc31ffb645469c7ffbd01aaca4b18181bd/data/nba-stats/nba-player-stats-202526-regular-season-per-game.csv</x:v>
      </x:c>
    </x:row>
    <x:row r="371" ht="21" customHeight="1">
      <x:c r="A371" s="64" t="n">
        <x:v>366</x:v>
      </x:c>
      <x:c r="B371" s="59" t="str">
        <x:v>Nae'qwan Tomlin</x:v>
      </x:c>
      <x:c r="C371" s="65" t="str">
        <x:v>CLE</x:v>
      </x:c>
      <x:c r="D371" s="65" t="str">
        <x:v>C</x:v>
      </x:c>
      <x:c r="E371" s="65" t="str">
        <x:v>FC</x:v>
      </x:c>
      <x:c r="F371" s="66" t="n">
        <x:v>64</x:v>
      </x:c>
      <x:c r="G371" s="67" t="n">
        <x:v>13.95</x:v>
      </x:c>
      <x:c r="H371" s="67" t="n">
        <x:v>8.56</x:v>
      </x:c>
      <x:c r="I371" s="67" t="n">
        <x:v>15.56</x:v>
      </x:c>
      <x:c r="J371" s="67" t="n">
        <x:v>64</x:v>
      </x:c>
      <x:c r="K371" s="67" t="str">
        <x:v>DEEP</x:v>
      </x:c>
      <x:c r="L371" s="67" t="n">
        <x:v>12.06</x:v>
      </x:c>
      <x:c r="M371" s="68" t="n">
        <x:v>771.84</x:v>
      </x:c>
      <x:c r="N371" s="69" t="str">
        <x:v>Available</x:v>
      </x:c>
      <x:c r="O371" s="62" t="str">
        <x:v>Deep-pool model: 2025-26 custom-score production shrunk toward a conservative 2026-27 role estimate; not a published projection.</x:v>
      </x:c>
      <x:c r="P371" s="60"/>
      <x:c r="Q371" s="60"/>
      <x:c r="R371" s="60" t="n">
        <x:v>12.06</x:v>
      </x:c>
      <x:c r="S371" s="60" t="n">
        <x:v>0</x:v>
      </x:c>
      <x:c r="T371" s="72" t="str">
        <x:v>https://github.com/A-V29/NBA.Rosters/blob/main/2026.Summer.League.json</x:v>
      </x:c>
      <x:c r="U371" s="87" t="str">
        <x:v>VERY_DEEP</x:v>
      </x:c>
      <x:c r="V371" s="87" t="str">
        <x:v>HIGH</x:v>
      </x:c>
      <x:c r="W371" s="87" t="str">
        <x:v>MODEL</x:v>
      </x:c>
      <x:c r="X371" s="87" t="str">
        <x:v>CAMP/SUMMER</x:v>
      </x:c>
      <x:c r="Y371" s="87" t="str">
        <x:v>2026-09-28 master / roster context 2026-09-03+</x:v>
      </x:c>
      <x:c r="Z371" s="72" t="str">
        <x:v>https://github.com/A-V29/NBA.Rosters/blob/main/2026.Summer.League.json</x:v>
      </x:c>
      <x:c r="AA371" s="72" t="str">
        <x:v>https://github.com/ballacademy/NBA-head-to-head-/blob/5b1decfc31ffb645469c7ffbd01aaca4b18181bd/data/nba-stats/nba-player-stats-202526-regular-season-per-game.csv</x:v>
      </x:c>
    </x:row>
    <x:row r="372" ht="21" customHeight="1">
      <x:c r="A372" s="64" t="n">
        <x:v>367</x:v>
      </x:c>
      <x:c r="B372" s="59" t="str">
        <x:v>Nick Richards</x:v>
      </x:c>
      <x:c r="C372" s="65" t="str">
        <x:v>MIA</x:v>
      </x:c>
      <x:c r="D372" s="65" t="str">
        <x:v>C</x:v>
      </x:c>
      <x:c r="E372" s="65" t="str">
        <x:v>C</x:v>
      </x:c>
      <x:c r="F372" s="66" t="n">
        <x:v>48</x:v>
      </x:c>
      <x:c r="G372" s="67" t="n">
        <x:v>14.4</x:v>
      </x:c>
      <x:c r="H372" s="67" t="n">
        <x:v>8.63</x:v>
      </x:c>
      <x:c r="I372" s="67" t="n">
        <x:v>15.63</x:v>
      </x:c>
      <x:c r="J372" s="67" t="n">
        <x:v>60</x:v>
      </x:c>
      <x:c r="K372" s="67" t="str">
        <x:v>DEEP</x:v>
      </x:c>
      <x:c r="L372" s="67" t="n">
        <x:v>12.13</x:v>
      </x:c>
      <x:c r="M372" s="68" t="n">
        <x:v>727.8000000000001</x:v>
      </x:c>
      <x:c r="N372" s="69" t="str">
        <x:v>Available</x:v>
      </x:c>
      <x:c r="O372" s="62" t="str">
        <x:v>Deep-pool model: 2025-26 custom-score production shrunk toward a conservative 2026-27 role estimate; not a published projection.</x:v>
      </x:c>
      <x:c r="P372" s="60"/>
      <x:c r="Q372" s="60"/>
      <x:c r="R372" s="60" t="n">
        <x:v>12.13</x:v>
      </x:c>
      <x:c r="S372" s="60" t="n">
        <x:v>0</x:v>
      </x:c>
      <x:c r="T372" s="72" t="str">
        <x:v>https://github.com/plourr03/wolves-front-office/blob/5d152a169188fb9b210186a7a0d3403d4081ed38/kuminga/data/roster_snapshot_2026_27_v3.csv</x:v>
      </x:c>
      <x:c r="U372" s="87" t="str">
        <x:v>VERY_DEEP</x:v>
      </x:c>
      <x:c r="V372" s="87" t="str">
        <x:v>HIGH</x:v>
      </x:c>
      <x:c r="W372" s="87" t="str">
        <x:v>MODEL</x:v>
      </x:c>
      <x:c r="X372" s="87" t="str">
        <x:v>STANDARD</x:v>
      </x:c>
      <x:c r="Y372" s="87" t="str">
        <x:v>2026-09-28 master / roster context 2026-09-03+</x:v>
      </x:c>
      <x:c r="Z372" s="72" t="str">
        <x:v>https://github.com/plourr03/wolves-front-office/blob/5d152a169188fb9b210186a7a0d3403d4081ed38/kuminga/data/roster_snapshot_2026_27_v3.csv</x:v>
      </x:c>
      <x:c r="AA372" s="72" t="str">
        <x:v>https://github.com/ballacademy/NBA-head-to-head-/blob/5b1decfc31ffb645469c7ffbd01aaca4b18181bd/data/nba-stats/nba-player-stats-202526-regular-season-per-game.csv</x:v>
      </x:c>
    </x:row>
    <x:row r="373" ht="21" customHeight="1">
      <x:c r="A373" s="64" t="n">
        <x:v>368</x:v>
      </x:c>
      <x:c r="B373" s="59" t="str">
        <x:v>Kevon Looney</x:v>
      </x:c>
      <x:c r="C373" s="65" t="str">
        <x:v>LAL</x:v>
      </x:c>
      <x:c r="D373" s="65" t="str">
        <x:v>C</x:v>
      </x:c>
      <x:c r="E373" s="65" t="str">
        <x:v>C</x:v>
      </x:c>
      <x:c r="F373" s="66" t="n">
        <x:v>21</x:v>
      </x:c>
      <x:c r="G373" s="67" t="n">
        <x:v>15.85</x:v>
      </x:c>
      <x:c r="H373" s="67" t="n">
        <x:v>8.52</x:v>
      </x:c>
      <x:c r="I373" s="67" t="n">
        <x:v>15.52</x:v>
      </x:c>
      <x:c r="J373" s="67" t="n">
        <x:v>60</x:v>
      </x:c>
      <x:c r="K373" s="67" t="str">
        <x:v>VERY_DEEP</x:v>
      </x:c>
      <x:c r="L373" s="67" t="n">
        <x:v>12.02</x:v>
      </x:c>
      <x:c r="M373" s="68" t="n">
        <x:v>721.1999999999999</x:v>
      </x:c>
      <x:c r="N373" s="69" t="str">
        <x:v>Available</x:v>
      </x:c>
      <x:c r="O373" s="62" t="str">
        <x:v>Very-deep model estimate with limited sample/role certainty. Use as a search/watch-list value and refresh once final rotations are known.</x:v>
      </x:c>
      <x:c r="P373" s="60"/>
      <x:c r="Q373" s="60"/>
      <x:c r="R373" s="60" t="n">
        <x:v>12.02</x:v>
      </x:c>
      <x:c r="S373" s="60" t="n">
        <x:v>0</x:v>
      </x:c>
      <x:c r="T373" s="72" t="str">
        <x:v>https://github.com/plourr03/wolves-front-office/blob/5d152a169188fb9b210186a7a0d3403d4081ed38/kuminga/data/roster_snapshot_2026_27_v3.csv</x:v>
      </x:c>
      <x:c r="U373" s="87" t="str">
        <x:v>VERY_DEEP</x:v>
      </x:c>
      <x:c r="V373" s="87" t="str">
        <x:v>MEDIUM</x:v>
      </x:c>
      <x:c r="W373" s="87" t="str">
        <x:v>MODEL</x:v>
      </x:c>
      <x:c r="X373" s="87" t="str">
        <x:v>STANDARD</x:v>
      </x:c>
      <x:c r="Y373" s="87" t="str">
        <x:v>2026-09-28 master / roster context 2026-09-03+</x:v>
      </x:c>
      <x:c r="Z373" s="72" t="str">
        <x:v>https://github.com/plourr03/wolves-front-office/blob/5d152a169188fb9b210186a7a0d3403d4081ed38/kuminga/data/roster_snapshot_2026_27_v3.csv</x:v>
      </x:c>
      <x:c r="AA373" s="72" t="str">
        <x:v>https://github.com/ballacademy/NBA-head-to-head-/blob/5b1decfc31ffb645469c7ffbd01aaca4b18181bd/data/nba-stats/nba-player-stats-202526-regular-season-per-game.csv</x:v>
      </x:c>
    </x:row>
    <x:row r="374" ht="21" customHeight="1">
      <x:c r="A374" s="64" t="n">
        <x:v>369</x:v>
      </x:c>
      <x:c r="B374" s="59" t="str">
        <x:v>Vit Krejci</x:v>
      </x:c>
      <x:c r="C374" s="65" t="str">
        <x:v>POR</x:v>
      </x:c>
      <x:c r="D374" s="65" t="str">
        <x:v>PG</x:v>
      </x:c>
      <x:c r="E374" s="65" t="str">
        <x:v>PG</x:v>
      </x:c>
      <x:c r="F374" s="66" t="n">
        <x:v>65</x:v>
      </x:c>
      <x:c r="G374" s="67" t="n">
        <x:v>16.5</x:v>
      </x:c>
      <x:c r="H374" s="67" t="n">
        <x:v>8.9</x:v>
      </x:c>
      <x:c r="I374" s="67" t="n">
        <x:v>15.9</x:v>
      </x:c>
      <x:c r="J374" s="67" t="n">
        <x:v>42</x:v>
      </x:c>
      <x:c r="K374" s="67" t="str">
        <x:v>VERY_DEEP</x:v>
      </x:c>
      <x:c r="L374" s="67" t="n">
        <x:v>12.4</x:v>
      </x:c>
      <x:c r="M374" s="68" t="n">
        <x:v>520.8000000000001</x:v>
      </x:c>
      <x:c r="N374" s="69" t="str">
        <x:v>Available</x:v>
      </x:c>
      <x:c r="O374" s="62" t="str">
        <x:v>Very-deep roster candidate. Non-guaranteed status and role uncertainty are discounted; verify final roster before draft use.</x:v>
      </x:c>
      <x:c r="P374" s="60"/>
      <x:c r="Q374" s="60"/>
      <x:c r="R374" s="60" t="n">
        <x:v>12.4</x:v>
      </x:c>
      <x:c r="S374" s="60" t="n">
        <x:v>0</x:v>
      </x:c>
      <x:c r="T374" s="72" t="str">
        <x:v>https://github.com/plourr03/wolves-front-office/blob/5d152a169188fb9b210186a7a0d3403d4081ed38/kuminga/data/roster_snapshot_2026_27_v3.csv</x:v>
      </x:c>
      <x:c r="U374" s="87" t="str">
        <x:v>VERY_DEEP</x:v>
      </x:c>
      <x:c r="V374" s="87" t="str">
        <x:v>MEDIUM</x:v>
      </x:c>
      <x:c r="W374" s="87" t="str">
        <x:v>MODEL</x:v>
      </x:c>
      <x:c r="X374" s="87" t="str">
        <x:v>NON GUARANTEED</x:v>
      </x:c>
      <x:c r="Y374" s="87" t="str">
        <x:v>2026-09-28 master / roster context 2026-09-03+</x:v>
      </x:c>
      <x:c r="Z374" s="72" t="str">
        <x:v>https://github.com/plourr03/wolves-front-office/blob/5d152a169188fb9b210186a7a0d3403d4081ed38/kuminga/data/roster_snapshot_2026_27_v3.csv</x:v>
      </x:c>
      <x:c r="AA374" s="72" t="str">
        <x:v>https://github.com/ballacademy/NBA-head-to-head-/blob/5b1decfc31ffb645469c7ffbd01aaca4b18181bd/data/nba-stats/nba-player-stats-202526-regular-season-per-game.csv</x:v>
      </x:c>
    </x:row>
    <x:row r="375" ht="21" customHeight="1">
      <x:c r="A375" s="64" t="n">
        <x:v>370</x:v>
      </x:c>
      <x:c r="B375" s="59" t="str">
        <x:v>Moritz Wagner</x:v>
      </x:c>
      <x:c r="C375" s="65" t="str">
        <x:v>BKN</x:v>
      </x:c>
      <x:c r="D375" s="65" t="str">
        <x:v>C</x:v>
      </x:c>
      <x:c r="E375" s="65" t="str">
        <x:v>C</x:v>
      </x:c>
      <x:c r="F375" s="66" t="n">
        <x:v>36</x:v>
      </x:c>
      <x:c r="G375" s="67" t="n">
        <x:v>13.85</x:v>
      </x:c>
      <x:c r="H375" s="67" t="n">
        <x:v>8.44</x:v>
      </x:c>
      <x:c r="I375" s="67" t="n">
        <x:v>15.44</x:v>
      </x:c>
      <x:c r="J375" s="67" t="n">
        <x:v>60</x:v>
      </x:c>
      <x:c r="K375" s="67" t="str">
        <x:v>DEEP</x:v>
      </x:c>
      <x:c r="L375" s="67" t="n">
        <x:v>11.94</x:v>
      </x:c>
      <x:c r="M375" s="68" t="n">
        <x:v>716.4</x:v>
      </x:c>
      <x:c r="N375" s="69" t="str">
        <x:v>Available</x:v>
      </x:c>
      <x:c r="O375" s="62" t="str">
        <x:v>Deep-pool model: 2025-26 custom-score production shrunk toward a conservative 2026-27 role estimate; not a published projection.</x:v>
      </x:c>
      <x:c r="P375" s="60"/>
      <x:c r="Q375" s="60"/>
      <x:c r="R375" s="60" t="n">
        <x:v>11.94</x:v>
      </x:c>
      <x:c r="S375" s="60" t="n">
        <x:v>0</x:v>
      </x:c>
      <x:c r="T375" s="72" t="str">
        <x:v>https://github.com/plourr03/wolves-front-office/blob/5d152a169188fb9b210186a7a0d3403d4081ed38/kuminga/data/roster_snapshot_2026_27_v3.csv</x:v>
      </x:c>
      <x:c r="U375" s="87" t="str">
        <x:v>VERY_DEEP</x:v>
      </x:c>
      <x:c r="V375" s="87" t="str">
        <x:v>HIGH</x:v>
      </x:c>
      <x:c r="W375" s="87" t="str">
        <x:v>MODEL</x:v>
      </x:c>
      <x:c r="X375" s="87" t="str">
        <x:v>STANDARD</x:v>
      </x:c>
      <x:c r="Y375" s="87" t="str">
        <x:v>2026-09-28 master / roster context 2026-09-03+</x:v>
      </x:c>
      <x:c r="Z375" s="72" t="str">
        <x:v>https://github.com/plourr03/wolves-front-office/blob/5d152a169188fb9b210186a7a0d3403d4081ed38/kuminga/data/roster_snapshot_2026_27_v3.csv</x:v>
      </x:c>
      <x:c r="AA375" s="72" t="str">
        <x:v>https://github.com/ballacademy/NBA-head-to-head-/blob/5b1decfc31ffb645469c7ffbd01aaca4b18181bd/data/nba-stats/nba-player-stats-202526-regular-season-per-game.csv</x:v>
      </x:c>
    </x:row>
    <x:row r="376" ht="21" customHeight="1">
      <x:c r="A376" s="64" t="n">
        <x:v>371</x:v>
      </x:c>
      <x:c r="B376" s="59" t="str">
        <x:v>Baba Miller</x:v>
      </x:c>
      <x:c r="C376" s="65" t="str">
        <x:v>LAC</x:v>
      </x:c>
      <x:c r="D376" s="65" t="str">
        <x:v>PF</x:v>
      </x:c>
      <x:c r="E376" s="65" t="str">
        <x:v>F</x:v>
      </x:c>
      <x:c r="F376" s="66"/>
      <x:c r="G376" s="67"/>
      <x:c r="H376" s="67" t="n">
        <x:v>8.5</x:v>
      </x:c>
      <x:c r="I376" s="67" t="n">
        <x:v>15.5</x:v>
      </x:c>
      <x:c r="J376" s="67" t="n">
        <x:v>55</x:v>
      </x:c>
      <x:c r="K376" s="67" t="str">
        <x:v>VERY_DEEP</x:v>
      </x:c>
      <x:c r="L376" s="67" t="n">
        <x:v>12</x:v>
      </x:c>
      <x:c r="M376" s="68" t="n">
        <x:v>660</x:v>
      </x:c>
      <x:c r="N376" s="69" t="str">
        <x:v>Available</x:v>
      </x:c>
      <x:c r="O376" s="62" t="str">
        <x:v>Rookie/depth role estimate with a wide band and limited NBA evidence. Treat as a watch-list projection, not a published forecast.</x:v>
      </x:c>
      <x:c r="P376" s="60"/>
      <x:c r="Q376" s="60"/>
      <x:c r="R376" s="60" t="n">
        <x:v>12</x:v>
      </x:c>
      <x:c r="S376" s="60" t="n">
        <x:v>0</x:v>
      </x:c>
      <x:c r="T376" s="72" t="str">
        <x:v>https://github.com/A-V29/NBA.Rosters/blob/main/2026.Summer.League.json</x:v>
      </x:c>
      <x:c r="U376" s="87" t="str">
        <x:v>VERY_DEEP</x:v>
      </x:c>
      <x:c r="V376" s="87" t="str">
        <x:v>MEDIUM</x:v>
      </x:c>
      <x:c r="W376" s="87" t="str">
        <x:v>MODEL-ROOKIE</x:v>
      </x:c>
      <x:c r="X376" s="87" t="str">
        <x:v>CAMP/SUMMER</x:v>
      </x:c>
      <x:c r="Y376" s="87" t="str">
        <x:v>2026-09-28 master / roster context 2026-09-03+</x:v>
      </x:c>
      <x:c r="Z376" s="72" t="str">
        <x:v>https://github.com/A-V29/NBA.Rosters/blob/main/2026.Summer.League.json</x:v>
      </x:c>
      <x:c r="AA376" s="72" t="str">
        <x:v>https://github.com/ballacademy/NBA-head-to-head-/blob/5b1decfc31ffb645469c7ffbd01aaca4b18181bd/data/nba-stats/nba-player-stats-202526-regular-season-per-game.csv</x:v>
      </x:c>
    </x:row>
    <x:row r="377" ht="21" customHeight="1">
      <x:c r="A377" s="64" t="n">
        <x:v>372</x:v>
      </x:c>
      <x:c r="B377" s="59" t="str">
        <x:v>Sion James</x:v>
      </x:c>
      <x:c r="C377" s="65" t="str">
        <x:v>CHA</x:v>
      </x:c>
      <x:c r="D377" s="65" t="str">
        <x:v>SF</x:v>
      </x:c>
      <x:c r="E377" s="65" t="str">
        <x:v>SF</x:v>
      </x:c>
      <x:c r="F377" s="66" t="n">
        <x:v>82</x:v>
      </x:c>
      <x:c r="G377" s="67" t="n">
        <x:v>13.7</x:v>
      </x:c>
      <x:c r="H377" s="67" t="n">
        <x:v>8.35</x:v>
      </x:c>
      <x:c r="I377" s="67" t="n">
        <x:v>15.35</x:v>
      </x:c>
      <x:c r="J377" s="67" t="n">
        <x:v>60</x:v>
      </x:c>
      <x:c r="K377" s="67" t="str">
        <x:v>DEEP</x:v>
      </x:c>
      <x:c r="L377" s="67" t="n">
        <x:v>11.85</x:v>
      </x:c>
      <x:c r="M377" s="68" t="n">
        <x:v>711</x:v>
      </x:c>
      <x:c r="N377" s="69" t="str">
        <x:v>Available</x:v>
      </x:c>
      <x:c r="O377" s="62" t="str">
        <x:v>Deep-pool model: 2025-26 custom-score production shrunk toward a conservative 2026-27 role estimate; not a published projection.</x:v>
      </x:c>
      <x:c r="P377" s="60"/>
      <x:c r="Q377" s="60"/>
      <x:c r="R377" s="60" t="n">
        <x:v>11.85</x:v>
      </x:c>
      <x:c r="S377" s="60" t="n">
        <x:v>0</x:v>
      </x:c>
      <x:c r="T377" s="72" t="str">
        <x:v>https://github.com/plourr03/wolves-front-office/blob/5d152a169188fb9b210186a7a0d3403d4081ed38/kuminga/data/roster_snapshot_2026_27_v3.csv</x:v>
      </x:c>
      <x:c r="U377" s="87" t="str">
        <x:v>VERY_DEEP</x:v>
      </x:c>
      <x:c r="V377" s="87" t="str">
        <x:v>HIGH</x:v>
      </x:c>
      <x:c r="W377" s="87" t="str">
        <x:v>MODEL</x:v>
      </x:c>
      <x:c r="X377" s="87" t="str">
        <x:v>STANDARD</x:v>
      </x:c>
      <x:c r="Y377" s="87" t="str">
        <x:v>2026-09-28 master / roster context 2026-09-03+</x:v>
      </x:c>
      <x:c r="Z377" s="72" t="str">
        <x:v>https://github.com/plourr03/wolves-front-office/blob/5d152a169188fb9b210186a7a0d3403d4081ed38/kuminga/data/roster_snapshot_2026_27_v3.csv</x:v>
      </x:c>
      <x:c r="AA377" s="72" t="str">
        <x:v>https://github.com/ballacademy/NBA-head-to-head-/blob/5b1decfc31ffb645469c7ffbd01aaca4b18181bd/data/nba-stats/nba-player-stats-202526-regular-season-per-game.csv</x:v>
      </x:c>
    </x:row>
    <x:row r="378" ht="21" customHeight="1">
      <x:c r="A378" s="64" t="n">
        <x:v>373</x:v>
      </x:c>
      <x:c r="B378" s="59" t="str">
        <x:v>Mouhamed Gueye</x:v>
      </x:c>
      <x:c r="C378" s="65" t="str">
        <x:v>ATL</x:v>
      </x:c>
      <x:c r="D378" s="65" t="str">
        <x:v>PF</x:v>
      </x:c>
      <x:c r="E378" s="65" t="str">
        <x:v>PF</x:v>
      </x:c>
      <x:c r="F378" s="66" t="n">
        <x:v>77</x:v>
      </x:c>
      <x:c r="G378" s="67" t="n">
        <x:v>13.6</x:v>
      </x:c>
      <x:c r="H378" s="67" t="n">
        <x:v>8.27</x:v>
      </x:c>
      <x:c r="I378" s="67" t="n">
        <x:v>15.27</x:v>
      </x:c>
      <x:c r="J378" s="67" t="n">
        <x:v>60</x:v>
      </x:c>
      <x:c r="K378" s="67" t="str">
        <x:v>DEEP</x:v>
      </x:c>
      <x:c r="L378" s="67" t="n">
        <x:v>11.77</x:v>
      </x:c>
      <x:c r="M378" s="68" t="n">
        <x:v>706.1999999999999</x:v>
      </x:c>
      <x:c r="N378" s="69" t="str">
        <x:v>Available</x:v>
      </x:c>
      <x:c r="O378" s="62" t="str">
        <x:v>Deep-pool model: 2025-26 custom-score production shrunk toward a conservative 2026-27 role estimate; not a published projection.</x:v>
      </x:c>
      <x:c r="P378" s="60"/>
      <x:c r="Q378" s="60"/>
      <x:c r="R378" s="60" t="n">
        <x:v>11.77</x:v>
      </x:c>
      <x:c r="S378" s="60" t="n">
        <x:v>0</x:v>
      </x:c>
      <x:c r="T378" s="72" t="str">
        <x:v>https://github.com/plourr03/wolves-front-office/blob/5d152a169188fb9b210186a7a0d3403d4081ed38/kuminga/data/roster_snapshot_2026_27_v3.csv</x:v>
      </x:c>
      <x:c r="U378" s="87" t="str">
        <x:v>VERY_DEEP</x:v>
      </x:c>
      <x:c r="V378" s="87" t="str">
        <x:v>HIGH</x:v>
      </x:c>
      <x:c r="W378" s="87" t="str">
        <x:v>MODEL</x:v>
      </x:c>
      <x:c r="X378" s="87" t="str">
        <x:v>STANDARD</x:v>
      </x:c>
      <x:c r="Y378" s="87" t="str">
        <x:v>2026-09-28 master / roster context 2026-09-03+</x:v>
      </x:c>
      <x:c r="Z378" s="72" t="str">
        <x:v>https://github.com/plourr03/wolves-front-office/blob/5d152a169188fb9b210186a7a0d3403d4081ed38/kuminga/data/roster_snapshot_2026_27_v3.csv</x:v>
      </x:c>
      <x:c r="AA378" s="72" t="str">
        <x:v>https://github.com/ballacademy/NBA-head-to-head-/blob/5b1decfc31ffb645469c7ffbd01aaca4b18181bd/data/nba-stats/nba-player-stats-202526-regular-season-per-game.csv</x:v>
      </x:c>
    </x:row>
    <x:row r="379" ht="21" customHeight="1">
      <x:c r="A379" s="64" t="n">
        <x:v>374</x:v>
      </x:c>
      <x:c r="B379" s="59" t="str">
        <x:v>Kobe Sanders</x:v>
      </x:c>
      <x:c r="C379" s="65" t="str">
        <x:v>LAC</x:v>
      </x:c>
      <x:c r="D379" s="65" t="str">
        <x:v>PG</x:v>
      </x:c>
      <x:c r="E379" s="65" t="str">
        <x:v>G</x:v>
      </x:c>
      <x:c r="F379" s="66" t="n">
        <x:v>68</x:v>
      </x:c>
      <x:c r="G379" s="67" t="n">
        <x:v>13.35</x:v>
      </x:c>
      <x:c r="H379" s="67" t="n">
        <x:v>8.12</x:v>
      </x:c>
      <x:c r="I379" s="67" t="n">
        <x:v>15.12</x:v>
      </x:c>
      <x:c r="J379" s="67" t="n">
        <x:v>60</x:v>
      </x:c>
      <x:c r="K379" s="67" t="str">
        <x:v>DEEP</x:v>
      </x:c>
      <x:c r="L379" s="67" t="n">
        <x:v>11.62</x:v>
      </x:c>
      <x:c r="M379" s="68" t="n">
        <x:v>697.1999999999999</x:v>
      </x:c>
      <x:c r="N379" s="69" t="str">
        <x:v>Available</x:v>
      </x:c>
      <x:c r="O379" s="62" t="str">
        <x:v>Deep-pool model: 2025-26 custom-score production shrunk toward a conservative 2026-27 role estimate; not a published projection.</x:v>
      </x:c>
      <x:c r="P379" s="60"/>
      <x:c r="Q379" s="60"/>
      <x:c r="R379" s="60" t="n">
        <x:v>11.62</x:v>
      </x:c>
      <x:c r="S379" s="60" t="n">
        <x:v>0</x:v>
      </x:c>
      <x:c r="T379" s="72" t="str">
        <x:v>https://github.com/plourr03/wolves-front-office/blob/5d152a169188fb9b210186a7a0d3403d4081ed38/kuminga/data/roster_snapshot_2026_27_v3.csv</x:v>
      </x:c>
      <x:c r="U379" s="87" t="str">
        <x:v>VERY_DEEP</x:v>
      </x:c>
      <x:c r="V379" s="87" t="str">
        <x:v>HIGH</x:v>
      </x:c>
      <x:c r="W379" s="87" t="str">
        <x:v>MODEL</x:v>
      </x:c>
      <x:c r="X379" s="87" t="str">
        <x:v>STANDARD</x:v>
      </x:c>
      <x:c r="Y379" s="87" t="str">
        <x:v>2026-09-28 master / roster context 2026-09-03+</x:v>
      </x:c>
      <x:c r="Z379" s="72" t="str">
        <x:v>https://github.com/plourr03/wolves-front-office/blob/5d152a169188fb9b210186a7a0d3403d4081ed38/kuminga/data/roster_snapshot_2026_27_v3.csv</x:v>
      </x:c>
      <x:c r="AA379" s="72" t="str">
        <x:v>https://github.com/ballacademy/NBA-head-to-head-/blob/5b1decfc31ffb645469c7ffbd01aaca4b18181bd/data/nba-stats/nba-player-stats-202526-regular-season-per-game.csv</x:v>
      </x:c>
    </x:row>
    <x:row r="380" ht="21" customHeight="1">
      <x:c r="A380" s="64" t="n">
        <x:v>375</x:v>
      </x:c>
      <x:c r="B380" s="59" t="str">
        <x:v>John Poulakidas</x:v>
      </x:c>
      <x:c r="C380" s="65" t="str">
        <x:v>DAL</x:v>
      </x:c>
      <x:c r="D380" s="65" t="str">
        <x:v>SF</x:v>
      </x:c>
      <x:c r="E380" s="65" t="str">
        <x:v>GF</x:v>
      </x:c>
      <x:c r="F380" s="66" t="n">
        <x:v>13</x:v>
      </x:c>
      <x:c r="G380" s="67" t="n">
        <x:v>15.65</x:v>
      </x:c>
      <x:c r="H380" s="67" t="n">
        <x:v>8.04</x:v>
      </x:c>
      <x:c r="I380" s="67" t="n">
        <x:v>15.04</x:v>
      </x:c>
      <x:c r="J380" s="67" t="n">
        <x:v>64</x:v>
      </x:c>
      <x:c r="K380" s="67" t="str">
        <x:v>VERY_DEEP</x:v>
      </x:c>
      <x:c r="L380" s="67" t="n">
        <x:v>11.54</x:v>
      </x:c>
      <x:c r="M380" s="68" t="n">
        <x:v>738.56</x:v>
      </x:c>
      <x:c r="N380" s="69" t="str">
        <x:v>Available</x:v>
      </x:c>
      <x:c r="O380" s="62" t="str">
        <x:v>Very-deep model estimate with limited sample/role certainty. Use as a search/watch-list value and refresh once final rotations are known.</x:v>
      </x:c>
      <x:c r="P380" s="60"/>
      <x:c r="Q380" s="60"/>
      <x:c r="R380" s="60" t="n">
        <x:v>11.54</x:v>
      </x:c>
      <x:c r="S380" s="60" t="n">
        <x:v>0</x:v>
      </x:c>
      <x:c r="T380" s="72" t="str">
        <x:v>https://github.com/A-V29/NBA.Rosters/blob/main/2026.Summer.League.json</x:v>
      </x:c>
      <x:c r="U380" s="87" t="str">
        <x:v>VERY_DEEP</x:v>
      </x:c>
      <x:c r="V380" s="87" t="str">
        <x:v>MEDIUM</x:v>
      </x:c>
      <x:c r="W380" s="87" t="str">
        <x:v>MODEL</x:v>
      </x:c>
      <x:c r="X380" s="87" t="str">
        <x:v>CAMP/SUMMER</x:v>
      </x:c>
      <x:c r="Y380" s="87" t="str">
        <x:v>2026-09-28 master / roster context 2026-09-03+</x:v>
      </x:c>
      <x:c r="Z380" s="72" t="str">
        <x:v>https://github.com/A-V29/NBA.Rosters/blob/main/2026.Summer.League.json</x:v>
      </x:c>
      <x:c r="AA380" s="72" t="str">
        <x:v>https://github.com/ballacademy/NBA-head-to-head-/blob/5b1decfc31ffb645469c7ffbd01aaca4b18181bd/data/nba-stats/nba-player-stats-202526-regular-season-per-game.csv</x:v>
      </x:c>
    </x:row>
    <x:row r="381" ht="21" customHeight="1">
      <x:c r="A381" s="64" t="n">
        <x:v>376</x:v>
      </x:c>
      <x:c r="B381" s="59" t="str">
        <x:v>Bogoljub Marković</x:v>
      </x:c>
      <x:c r="C381" s="65" t="str">
        <x:v>MIL</x:v>
      </x:c>
      <x:c r="D381" s="65" t="str">
        <x:v>PF</x:v>
      </x:c>
      <x:c r="E381" s="65" t="str">
        <x:v>PF</x:v>
      </x:c>
      <x:c r="F381" s="66"/>
      <x:c r="G381" s="67"/>
      <x:c r="H381" s="67" t="n">
        <x:v>8.2</x:v>
      </x:c>
      <x:c r="I381" s="67" t="n">
        <x:v>15.2</x:v>
      </x:c>
      <x:c r="J381" s="67" t="n">
        <x:v>55</x:v>
      </x:c>
      <x:c r="K381" s="67" t="str">
        <x:v>VERY_DEEP</x:v>
      </x:c>
      <x:c r="L381" s="67" t="n">
        <x:v>11.7</x:v>
      </x:c>
      <x:c r="M381" s="68" t="n">
        <x:v>643.5</x:v>
      </x:c>
      <x:c r="N381" s="69" t="str">
        <x:v>Available</x:v>
      </x:c>
      <x:c r="O381" s="62" t="str">
        <x:v>Rookie/depth role estimate with a wide band and limited NBA evidence. Treat as a watch-list projection, not a published forecast.</x:v>
      </x:c>
      <x:c r="P381" s="60"/>
      <x:c r="Q381" s="60"/>
      <x:c r="R381" s="60" t="n">
        <x:v>11.7</x:v>
      </x:c>
      <x:c r="S381" s="60" t="n">
        <x:v>0</x:v>
      </x:c>
      <x:c r="T381" s="72" t="str">
        <x:v>https://github.com/A-V29/NBA.Rosters/blob/main/2026.Summer.League.json</x:v>
      </x:c>
      <x:c r="U381" s="87" t="str">
        <x:v>VERY_DEEP</x:v>
      </x:c>
      <x:c r="V381" s="87" t="str">
        <x:v>MEDIUM</x:v>
      </x:c>
      <x:c r="W381" s="87" t="str">
        <x:v>MODEL-ROOKIE</x:v>
      </x:c>
      <x:c r="X381" s="87" t="str">
        <x:v>CAMP/SUMMER</x:v>
      </x:c>
      <x:c r="Y381" s="87" t="str">
        <x:v>2026-09-28 master / roster context 2026-09-03+</x:v>
      </x:c>
      <x:c r="Z381" s="72" t="str">
        <x:v>https://github.com/A-V29/NBA.Rosters/blob/main/2026.Summer.League.json</x:v>
      </x:c>
      <x:c r="AA381" s="72" t="str">
        <x:v>https://github.com/ballacademy/NBA-head-to-head-/blob/5b1decfc31ffb645469c7ffbd01aaca4b18181bd/data/nba-stats/nba-player-stats-202526-regular-season-per-game.csv</x:v>
      </x:c>
    </x:row>
    <x:row r="382" ht="21" customHeight="1">
      <x:c r="A382" s="64" t="n">
        <x:v>377</x:v>
      </x:c>
      <x:c r="B382" s="59" t="str">
        <x:v>Jaden Hardy</x:v>
      </x:c>
      <x:c r="C382" s="65" t="str">
        <x:v>LAL</x:v>
      </x:c>
      <x:c r="D382" s="65" t="str">
        <x:v>SG</x:v>
      </x:c>
      <x:c r="E382" s="65" t="str">
        <x:v>SG</x:v>
      </x:c>
      <x:c r="F382" s="66" t="n">
        <x:v>57</x:v>
      </x:c>
      <x:c r="G382" s="67" t="n">
        <x:v>12.75</x:v>
      </x:c>
      <x:c r="H382" s="67" t="n">
        <x:v>8.1</x:v>
      </x:c>
      <x:c r="I382" s="67" t="n">
        <x:v>15.1</x:v>
      </x:c>
      <x:c r="J382" s="67" t="n">
        <x:v>60</x:v>
      </x:c>
      <x:c r="K382" s="67" t="str">
        <x:v>DEEP</x:v>
      </x:c>
      <x:c r="L382" s="67" t="n">
        <x:v>11.6</x:v>
      </x:c>
      <x:c r="M382" s="68" t="n">
        <x:v>696</x:v>
      </x:c>
      <x:c r="N382" s="69" t="str">
        <x:v>Available</x:v>
      </x:c>
      <x:c r="O382" s="62" t="str">
        <x:v>Deep-pool model: 2025-26 custom-score production shrunk toward a conservative 2026-27 role estimate; not a published projection.</x:v>
      </x:c>
      <x:c r="P382" s="60"/>
      <x:c r="Q382" s="60"/>
      <x:c r="R382" s="60" t="n">
        <x:v>11.6</x:v>
      </x:c>
      <x:c r="S382" s="60" t="n">
        <x:v>0</x:v>
      </x:c>
      <x:c r="T382" s="72" t="str">
        <x:v>https://github.com/plourr03/wolves-front-office/blob/5d152a169188fb9b210186a7a0d3403d4081ed38/kuminga/data/roster_snapshot_2026_27_v3.csv</x:v>
      </x:c>
      <x:c r="U382" s="87" t="str">
        <x:v>VERY_DEEP</x:v>
      </x:c>
      <x:c r="V382" s="87" t="str">
        <x:v>HIGH</x:v>
      </x:c>
      <x:c r="W382" s="87" t="str">
        <x:v>MODEL</x:v>
      </x:c>
      <x:c r="X382" s="87" t="str">
        <x:v>STANDARD</x:v>
      </x:c>
      <x:c r="Y382" s="87" t="str">
        <x:v>2026-09-28 master / roster context 2026-09-03+</x:v>
      </x:c>
      <x:c r="Z382" s="72" t="str">
        <x:v>https://github.com/plourr03/wolves-front-office/blob/5d152a169188fb9b210186a7a0d3403d4081ed38/kuminga/data/roster_snapshot_2026_27_v3.csv</x:v>
      </x:c>
      <x:c r="AA382" s="72" t="str">
        <x:v>https://github.com/ballacademy/NBA-head-to-head-/blob/5b1decfc31ffb645469c7ffbd01aaca4b18181bd/data/nba-stats/nba-player-stats-202526-regular-season-per-game.csv</x:v>
      </x:c>
    </x:row>
    <x:row r="383" ht="21" customHeight="1">
      <x:c r="A383" s="64" t="n">
        <x:v>378</x:v>
      </x:c>
      <x:c r="B383" s="59" t="str">
        <x:v>Bruce Thornton</x:v>
      </x:c>
      <x:c r="C383" s="65" t="str">
        <x:v>HOU</x:v>
      </x:c>
      <x:c r="D383" s="65" t="str">
        <x:v>PG</x:v>
      </x:c>
      <x:c r="E383" s="65" t="str">
        <x:v>G</x:v>
      </x:c>
      <x:c r="F383" s="66"/>
      <x:c r="G383" s="67"/>
      <x:c r="H383" s="67" t="n">
        <x:v>8.2</x:v>
      </x:c>
      <x:c r="I383" s="67" t="n">
        <x:v>15.2</x:v>
      </x:c>
      <x:c r="J383" s="67" t="n">
        <x:v>55</x:v>
      </x:c>
      <x:c r="K383" s="67" t="str">
        <x:v>VERY_DEEP</x:v>
      </x:c>
      <x:c r="L383" s="67" t="n">
        <x:v>11.7</x:v>
      </x:c>
      <x:c r="M383" s="68" t="n">
        <x:v>643.5</x:v>
      </x:c>
      <x:c r="N383" s="69" t="str">
        <x:v>Available</x:v>
      </x:c>
      <x:c r="O383" s="62" t="str">
        <x:v>Rookie/depth role estimate with a wide band and limited NBA evidence. Treat as a watch-list projection, not a published forecast.</x:v>
      </x:c>
      <x:c r="P383" s="60"/>
      <x:c r="Q383" s="60"/>
      <x:c r="R383" s="60" t="n">
        <x:v>11.7</x:v>
      </x:c>
      <x:c r="S383" s="60" t="n">
        <x:v>0</x:v>
      </x:c>
      <x:c r="T383" s="72" t="str">
        <x:v>https://github.com/A-V29/NBA.Rosters/blob/main/2026.Summer.League.json</x:v>
      </x:c>
      <x:c r="U383" s="87" t="str">
        <x:v>VERY_DEEP</x:v>
      </x:c>
      <x:c r="V383" s="87" t="str">
        <x:v>MEDIUM</x:v>
      </x:c>
      <x:c r="W383" s="87" t="str">
        <x:v>MODEL-ROOKIE</x:v>
      </x:c>
      <x:c r="X383" s="87" t="str">
        <x:v>CAMP/SUMMER</x:v>
      </x:c>
      <x:c r="Y383" s="87" t="str">
        <x:v>2026-09-28 master / roster context 2026-09-03+</x:v>
      </x:c>
      <x:c r="Z383" s="72" t="str">
        <x:v>https://github.com/A-V29/NBA.Rosters/blob/main/2026.Summer.League.json</x:v>
      </x:c>
      <x:c r="AA383" s="72" t="str">
        <x:v>https://github.com/ballacademy/NBA-head-to-head-/blob/5b1decfc31ffb645469c7ffbd01aaca4b18181bd/data/nba-stats/nba-player-stats-202526-regular-season-per-game.csv</x:v>
      </x:c>
    </x:row>
    <x:row r="384" ht="21" customHeight="1">
      <x:c r="A384" s="64" t="n">
        <x:v>379</x:v>
      </x:c>
      <x:c r="B384" s="59" t="str">
        <x:v>Johnny Furphy</x:v>
      </x:c>
      <x:c r="C384" s="65" t="str">
        <x:v>IND</x:v>
      </x:c>
      <x:c r="D384" s="65" t="str">
        <x:v>SG</x:v>
      </x:c>
      <x:c r="E384" s="65" t="str">
        <x:v>SG</x:v>
      </x:c>
      <x:c r="F384" s="66" t="n">
        <x:v>35</x:v>
      </x:c>
      <x:c r="G384" s="67" t="n">
        <x:v>13.4</x:v>
      </x:c>
      <x:c r="H384" s="67" t="n">
        <x:v>8.09</x:v>
      </x:c>
      <x:c r="I384" s="67" t="n">
        <x:v>15.09</x:v>
      </x:c>
      <x:c r="J384" s="67" t="n">
        <x:v>60</x:v>
      </x:c>
      <x:c r="K384" s="67" t="str">
        <x:v>DEEP</x:v>
      </x:c>
      <x:c r="L384" s="67" t="n">
        <x:v>11.59</x:v>
      </x:c>
      <x:c r="M384" s="68" t="n">
        <x:v>695.4</x:v>
      </x:c>
      <x:c r="N384" s="69" t="str">
        <x:v>Available</x:v>
      </x:c>
      <x:c r="O384" s="62" t="str">
        <x:v>Deep-pool model: 2025-26 custom-score production shrunk toward a conservative 2026-27 role estimate; not a published projection.</x:v>
      </x:c>
      <x:c r="P384" s="60"/>
      <x:c r="Q384" s="60"/>
      <x:c r="R384" s="60" t="n">
        <x:v>11.59</x:v>
      </x:c>
      <x:c r="S384" s="60" t="n">
        <x:v>0</x:v>
      </x:c>
      <x:c r="T384" s="72" t="str">
        <x:v>https://github.com/plourr03/wolves-front-office/blob/5d152a169188fb9b210186a7a0d3403d4081ed38/kuminga/data/roster_snapshot_2026_27_v3.csv</x:v>
      </x:c>
      <x:c r="U384" s="87" t="str">
        <x:v>VERY_DEEP</x:v>
      </x:c>
      <x:c r="V384" s="87" t="str">
        <x:v>HIGH</x:v>
      </x:c>
      <x:c r="W384" s="87" t="str">
        <x:v>MODEL</x:v>
      </x:c>
      <x:c r="X384" s="87" t="str">
        <x:v>STANDARD</x:v>
      </x:c>
      <x:c r="Y384" s="87" t="str">
        <x:v>2026-09-28 master / roster context 2026-09-03+</x:v>
      </x:c>
      <x:c r="Z384" s="72" t="str">
        <x:v>https://github.com/plourr03/wolves-front-office/blob/5d152a169188fb9b210186a7a0d3403d4081ed38/kuminga/data/roster_snapshot_2026_27_v3.csv</x:v>
      </x:c>
      <x:c r="AA384" s="72" t="str">
        <x:v>https://github.com/ballacademy/NBA-head-to-head-/blob/5b1decfc31ffb645469c7ffbd01aaca4b18181bd/data/nba-stats/nba-player-stats-202526-regular-season-per-game.csv</x:v>
      </x:c>
    </x:row>
    <x:row r="385" ht="21" customHeight="1">
      <x:c r="A385" s="64" t="n">
        <x:v>380</x:v>
      </x:c>
      <x:c r="B385" s="59" t="str">
        <x:v>Emanuel Sharp</x:v>
      </x:c>
      <x:c r="C385" s="65" t="str">
        <x:v>SAC</x:v>
      </x:c>
      <x:c r="D385" s="65" t="str">
        <x:v>SG</x:v>
      </x:c>
      <x:c r="E385" s="65" t="str">
        <x:v>SG</x:v>
      </x:c>
      <x:c r="F385" s="66"/>
      <x:c r="G385" s="67"/>
      <x:c r="H385" s="67" t="n">
        <x:v>8.2</x:v>
      </x:c>
      <x:c r="I385" s="67" t="n">
        <x:v>15.2</x:v>
      </x:c>
      <x:c r="J385" s="67" t="n">
        <x:v>55</x:v>
      </x:c>
      <x:c r="K385" s="67" t="str">
        <x:v>VERY_DEEP</x:v>
      </x:c>
      <x:c r="L385" s="67" t="n">
        <x:v>11.7</x:v>
      </x:c>
      <x:c r="M385" s="68" t="n">
        <x:v>643.5</x:v>
      </x:c>
      <x:c r="N385" s="69" t="str">
        <x:v>Available</x:v>
      </x:c>
      <x:c r="O385" s="62" t="str">
        <x:v>Rookie/depth role estimate with a wide band and limited NBA evidence. Treat as a watch-list projection, not a published forecast.</x:v>
      </x:c>
      <x:c r="P385" s="60"/>
      <x:c r="Q385" s="60"/>
      <x:c r="R385" s="60" t="n">
        <x:v>11.7</x:v>
      </x:c>
      <x:c r="S385" s="60" t="n">
        <x:v>0</x:v>
      </x:c>
      <x:c r="T385" s="72" t="str">
        <x:v>https://github.com/A-V29/NBA.Rosters/blob/main/2026.Summer.League.json</x:v>
      </x:c>
      <x:c r="U385" s="87" t="str">
        <x:v>VERY_DEEP</x:v>
      </x:c>
      <x:c r="V385" s="87" t="str">
        <x:v>MEDIUM</x:v>
      </x:c>
      <x:c r="W385" s="87" t="str">
        <x:v>MODEL-ROOKIE</x:v>
      </x:c>
      <x:c r="X385" s="87" t="str">
        <x:v>CAMP/SUMMER</x:v>
      </x:c>
      <x:c r="Y385" s="87" t="str">
        <x:v>2026-09-28 master / roster context 2026-09-03+</x:v>
      </x:c>
      <x:c r="Z385" s="72" t="str">
        <x:v>https://github.com/A-V29/NBA.Rosters/blob/main/2026.Summer.League.json</x:v>
      </x:c>
      <x:c r="AA385" s="72" t="str">
        <x:v>https://github.com/ballacademy/NBA-head-to-head-/blob/5b1decfc31ffb645469c7ffbd01aaca4b18181bd/data/nba-stats/nba-player-stats-202526-regular-season-per-game.csv</x:v>
      </x:c>
    </x:row>
    <x:row r="386" ht="21" customHeight="1">
      <x:c r="A386" s="64" t="n">
        <x:v>381</x:v>
      </x:c>
      <x:c r="B386" s="59" t="str">
        <x:v>Isaiah Evans</x:v>
      </x:c>
      <x:c r="C386" s="65" t="str">
        <x:v>MIN</x:v>
      </x:c>
      <x:c r="D386" s="65" t="str">
        <x:v>SF</x:v>
      </x:c>
      <x:c r="E386" s="65" t="str">
        <x:v>SF</x:v>
      </x:c>
      <x:c r="F386" s="66"/>
      <x:c r="G386" s="67"/>
      <x:c r="H386" s="67" t="n">
        <x:v>8.2</x:v>
      </x:c>
      <x:c r="I386" s="67" t="n">
        <x:v>15.2</x:v>
      </x:c>
      <x:c r="J386" s="67" t="n">
        <x:v>55</x:v>
      </x:c>
      <x:c r="K386" s="67" t="str">
        <x:v>VERY_DEEP</x:v>
      </x:c>
      <x:c r="L386" s="67" t="n">
        <x:v>11.7</x:v>
      </x:c>
      <x:c r="M386" s="68" t="n">
        <x:v>643.5</x:v>
      </x:c>
      <x:c r="N386" s="69" t="str">
        <x:v>Available</x:v>
      </x:c>
      <x:c r="O386" s="62" t="str">
        <x:v>Rookie/depth role estimate with a wide band and limited NBA evidence. Treat as a watch-list projection, not a published forecast.</x:v>
      </x:c>
      <x:c r="P386" s="60"/>
      <x:c r="Q386" s="60"/>
      <x:c r="R386" s="60" t="n">
        <x:v>11.7</x:v>
      </x:c>
      <x:c r="S386" s="60" t="n">
        <x:v>0</x:v>
      </x:c>
      <x:c r="T386" s="72" t="str">
        <x:v>https://github.com/A-V29/NBA.Rosters/blob/main/2026.Summer.League.json</x:v>
      </x:c>
      <x:c r="U386" s="87" t="str">
        <x:v>VERY_DEEP</x:v>
      </x:c>
      <x:c r="V386" s="87" t="str">
        <x:v>MEDIUM</x:v>
      </x:c>
      <x:c r="W386" s="87" t="str">
        <x:v>MODEL-ROOKIE</x:v>
      </x:c>
      <x:c r="X386" s="87" t="str">
        <x:v>CAMP/SUMMER</x:v>
      </x:c>
      <x:c r="Y386" s="87" t="str">
        <x:v>2026-09-28 master / roster context 2026-09-03+</x:v>
      </x:c>
      <x:c r="Z386" s="72" t="str">
        <x:v>https://github.com/A-V29/NBA.Rosters/blob/main/2026.Summer.League.json</x:v>
      </x:c>
      <x:c r="AA386" s="72" t="str">
        <x:v>https://github.com/ballacademy/NBA-head-to-head-/blob/5b1decfc31ffb645469c7ffbd01aaca4b18181bd/data/nba-stats/nba-player-stats-202526-regular-season-per-game.csv</x:v>
      </x:c>
    </x:row>
    <x:row r="387" ht="21" customHeight="1">
      <x:c r="A387" s="64" t="n">
        <x:v>382</x:v>
      </x:c>
      <x:c r="B387" s="59" t="str">
        <x:v>Meleek Thomas</x:v>
      </x:c>
      <x:c r="C387" s="65" t="str">
        <x:v>CLE</x:v>
      </x:c>
      <x:c r="D387" s="65" t="str">
        <x:v>PG</x:v>
      </x:c>
      <x:c r="E387" s="65" t="str">
        <x:v>G</x:v>
      </x:c>
      <x:c r="F387" s="66"/>
      <x:c r="G387" s="67"/>
      <x:c r="H387" s="67" t="n">
        <x:v>8.2</x:v>
      </x:c>
      <x:c r="I387" s="67" t="n">
        <x:v>15.2</x:v>
      </x:c>
      <x:c r="J387" s="67" t="n">
        <x:v>55</x:v>
      </x:c>
      <x:c r="K387" s="67" t="str">
        <x:v>VERY_DEEP</x:v>
      </x:c>
      <x:c r="L387" s="67" t="n">
        <x:v>11.7</x:v>
      </x:c>
      <x:c r="M387" s="68" t="n">
        <x:v>643.5</x:v>
      </x:c>
      <x:c r="N387" s="69" t="str">
        <x:v>Available</x:v>
      </x:c>
      <x:c r="O387" s="62" t="str">
        <x:v>Rookie/depth role estimate with a wide band and limited NBA evidence. Treat as a watch-list projection, not a published forecast.</x:v>
      </x:c>
      <x:c r="P387" s="60"/>
      <x:c r="Q387" s="60"/>
      <x:c r="R387" s="60" t="n">
        <x:v>11.7</x:v>
      </x:c>
      <x:c r="S387" s="60" t="n">
        <x:v>0</x:v>
      </x:c>
      <x:c r="T387" s="72" t="str">
        <x:v>https://github.com/A-V29/NBA.Rosters/blob/main/2026.Summer.League.json</x:v>
      </x:c>
      <x:c r="U387" s="87" t="str">
        <x:v>VERY_DEEP</x:v>
      </x:c>
      <x:c r="V387" s="87" t="str">
        <x:v>MEDIUM</x:v>
      </x:c>
      <x:c r="W387" s="87" t="str">
        <x:v>MODEL-ROOKIE</x:v>
      </x:c>
      <x:c r="X387" s="87" t="str">
        <x:v>CAMP/SUMMER</x:v>
      </x:c>
      <x:c r="Y387" s="87" t="str">
        <x:v>2026-09-28 master / roster context 2026-09-03+</x:v>
      </x:c>
      <x:c r="Z387" s="72" t="str">
        <x:v>https://github.com/A-V29/NBA.Rosters/blob/main/2026.Summer.League.json</x:v>
      </x:c>
      <x:c r="AA387" s="72" t="str">
        <x:v>https://github.com/ballacademy/NBA-head-to-head-/blob/5b1decfc31ffb645469c7ffbd01aaca4b18181bd/data/nba-stats/nba-player-stats-202526-regular-season-per-game.csv</x:v>
      </x:c>
    </x:row>
    <x:row r="388" ht="21" customHeight="1">
      <x:c r="A388" s="64" t="n">
        <x:v>383</x:v>
      </x:c>
      <x:c r="B388" s="59" t="str">
        <x:v>Ryan Conwell</x:v>
      </x:c>
      <x:c r="C388" s="65" t="str">
        <x:v>MIA</x:v>
      </x:c>
      <x:c r="D388" s="65" t="str">
        <x:v>SG</x:v>
      </x:c>
      <x:c r="E388" s="65" t="str">
        <x:v>SG</x:v>
      </x:c>
      <x:c r="F388" s="66"/>
      <x:c r="G388" s="67"/>
      <x:c r="H388" s="67" t="n">
        <x:v>8.2</x:v>
      </x:c>
      <x:c r="I388" s="67" t="n">
        <x:v>15.2</x:v>
      </x:c>
      <x:c r="J388" s="67" t="n">
        <x:v>55</x:v>
      </x:c>
      <x:c r="K388" s="67" t="str">
        <x:v>VERY_DEEP</x:v>
      </x:c>
      <x:c r="L388" s="67" t="n">
        <x:v>11.7</x:v>
      </x:c>
      <x:c r="M388" s="68" t="n">
        <x:v>643.5</x:v>
      </x:c>
      <x:c r="N388" s="69" t="str">
        <x:v>Available</x:v>
      </x:c>
      <x:c r="O388" s="62" t="str">
        <x:v>Rookie/depth role estimate with a wide band and limited NBA evidence. Treat as a watch-list projection, not a published forecast.</x:v>
      </x:c>
      <x:c r="P388" s="60"/>
      <x:c r="Q388" s="60"/>
      <x:c r="R388" s="60" t="n">
        <x:v>11.7</x:v>
      </x:c>
      <x:c r="S388" s="60" t="n">
        <x:v>0</x:v>
      </x:c>
      <x:c r="T388" s="72" t="str">
        <x:v>https://github.com/A-V29/NBA.Rosters/blob/main/2026.Summer.League.json</x:v>
      </x:c>
      <x:c r="U388" s="87" t="str">
        <x:v>VERY_DEEP</x:v>
      </x:c>
      <x:c r="V388" s="87" t="str">
        <x:v>MEDIUM</x:v>
      </x:c>
      <x:c r="W388" s="87" t="str">
        <x:v>MODEL-ROOKIE</x:v>
      </x:c>
      <x:c r="X388" s="87" t="str">
        <x:v>CAMP/SUMMER</x:v>
      </x:c>
      <x:c r="Y388" s="87" t="str">
        <x:v>2026-09-28 master / roster context 2026-09-03+</x:v>
      </x:c>
      <x:c r="Z388" s="72" t="str">
        <x:v>https://github.com/A-V29/NBA.Rosters/blob/main/2026.Summer.League.json</x:v>
      </x:c>
      <x:c r="AA388" s="72" t="str">
        <x:v>https://github.com/ballacademy/NBA-head-to-head-/blob/5b1decfc31ffb645469c7ffbd01aaca4b18181bd/data/nba-stats/nba-player-stats-202526-regular-season-per-game.csv</x:v>
      </x:c>
    </x:row>
    <x:row r="389" ht="21" customHeight="1">
      <x:c r="A389" s="64" t="n">
        <x:v>384</x:v>
      </x:c>
      <x:c r="B389" s="59" t="str">
        <x:v>Matisse Thybulle</x:v>
      </x:c>
      <x:c r="C389" s="65" t="str">
        <x:v>LAL</x:v>
      </x:c>
      <x:c r="D389" s="65" t="str">
        <x:v>SG</x:v>
      </x:c>
      <x:c r="E389" s="65" t="str">
        <x:v>SG</x:v>
      </x:c>
      <x:c r="F389" s="66" t="n">
        <x:v>30</x:v>
      </x:c>
      <x:c r="G389" s="67" t="n">
        <x:v>14.4</x:v>
      </x:c>
      <x:c r="H389" s="67" t="n">
        <x:v>7.869999999999999</x:v>
      </x:c>
      <x:c r="I389" s="67" t="n">
        <x:v>14.87</x:v>
      </x:c>
      <x:c r="J389" s="67" t="n">
        <x:v>60</x:v>
      </x:c>
      <x:c r="K389" s="67" t="str">
        <x:v>DEEP</x:v>
      </x:c>
      <x:c r="L389" s="67" t="n">
        <x:v>11.37</x:v>
      </x:c>
      <x:c r="M389" s="68" t="n">
        <x:v>682.1999999999999</x:v>
      </x:c>
      <x:c r="N389" s="69" t="str">
        <x:v>Available</x:v>
      </x:c>
      <x:c r="O389" s="62" t="str">
        <x:v>Deep-pool model: 2025-26 custom-score production shrunk toward a conservative 2026-27 role estimate; not a published projection.</x:v>
      </x:c>
      <x:c r="P389" s="60"/>
      <x:c r="Q389" s="60"/>
      <x:c r="R389" s="60" t="n">
        <x:v>11.37</x:v>
      </x:c>
      <x:c r="S389" s="60" t="n">
        <x:v>0</x:v>
      </x:c>
      <x:c r="T389" s="72" t="str">
        <x:v>https://github.com/plourr03/wolves-front-office/blob/5d152a169188fb9b210186a7a0d3403d4081ed38/kuminga/data/roster_snapshot_2026_27_v3.csv</x:v>
      </x:c>
      <x:c r="U389" s="87" t="str">
        <x:v>VERY_DEEP</x:v>
      </x:c>
      <x:c r="V389" s="87" t="str">
        <x:v>HIGH</x:v>
      </x:c>
      <x:c r="W389" s="87" t="str">
        <x:v>MODEL</x:v>
      </x:c>
      <x:c r="X389" s="87" t="str">
        <x:v>STANDARD</x:v>
      </x:c>
      <x:c r="Y389" s="87" t="str">
        <x:v>2026-09-28 master / roster context 2026-09-03+</x:v>
      </x:c>
      <x:c r="Z389" s="72" t="str">
        <x:v>https://github.com/plourr03/wolves-front-office/blob/5d152a169188fb9b210186a7a0d3403d4081ed38/kuminga/data/roster_snapshot_2026_27_v3.csv</x:v>
      </x:c>
      <x:c r="AA389" s="72" t="str">
        <x:v>https://github.com/ballacademy/NBA-head-to-head-/blob/5b1decfc31ffb645469c7ffbd01aaca4b18181bd/data/nba-stats/nba-player-stats-202526-regular-season-per-game.csv</x:v>
      </x:c>
    </x:row>
    <x:row r="390" ht="21" customHeight="1">
      <x:c r="A390" s="64" t="n">
        <x:v>385</x:v>
      </x:c>
      <x:c r="B390" s="59" t="str">
        <x:v>Moussa Cisse</x:v>
      </x:c>
      <x:c r="C390" s="65" t="str">
        <x:v>DAL</x:v>
      </x:c>
      <x:c r="D390" s="65" t="str">
        <x:v>PF</x:v>
      </x:c>
      <x:c r="E390" s="65" t="str">
        <x:v>F</x:v>
      </x:c>
      <x:c r="F390" s="66" t="n">
        <x:v>38</x:v>
      </x:c>
      <x:c r="G390" s="67" t="n">
        <x:v>16.6</x:v>
      </x:c>
      <x:c r="H390" s="67" t="n">
        <x:v>8.13</x:v>
      </x:c>
      <x:c r="I390" s="67" t="n">
        <x:v>15.13</x:v>
      </x:c>
      <x:c r="J390" s="67" t="n">
        <x:v>42</x:v>
      </x:c>
      <x:c r="K390" s="67" t="str">
        <x:v>VERY_DEEP</x:v>
      </x:c>
      <x:c r="L390" s="67" t="n">
        <x:v>11.63</x:v>
      </x:c>
      <x:c r="M390" s="68" t="n">
        <x:v>488.46000000000004</x:v>
      </x:c>
      <x:c r="N390" s="69" t="str">
        <x:v>Available</x:v>
      </x:c>
      <x:c r="O390" s="62" t="str">
        <x:v>Very-deep roster candidate. Non-guaranteed status and role uncertainty are discounted; verify final roster before draft use.</x:v>
      </x:c>
      <x:c r="P390" s="60"/>
      <x:c r="Q390" s="60"/>
      <x:c r="R390" s="60" t="n">
        <x:v>11.63</x:v>
      </x:c>
      <x:c r="S390" s="60" t="n">
        <x:v>0</x:v>
      </x:c>
      <x:c r="T390" s="72" t="str">
        <x:v>https://github.com/plourr03/wolves-front-office/blob/5d152a169188fb9b210186a7a0d3403d4081ed38/kuminga/data/roster_snapshot_2026_27_v3.csv</x:v>
      </x:c>
      <x:c r="U390" s="87" t="str">
        <x:v>VERY_DEEP</x:v>
      </x:c>
      <x:c r="V390" s="87" t="str">
        <x:v>MEDIUM</x:v>
      </x:c>
      <x:c r="W390" s="87" t="str">
        <x:v>MODEL</x:v>
      </x:c>
      <x:c r="X390" s="87" t="str">
        <x:v>NON GUARANTEED</x:v>
      </x:c>
      <x:c r="Y390" s="87" t="str">
        <x:v>2026-09-28 master / roster context 2026-09-03+</x:v>
      </x:c>
      <x:c r="Z390" s="72" t="str">
        <x:v>https://github.com/plourr03/wolves-front-office/blob/5d152a169188fb9b210186a7a0d3403d4081ed38/kuminga/data/roster_snapshot_2026_27_v3.csv</x:v>
      </x:c>
      <x:c r="AA390" s="72" t="str">
        <x:v>https://github.com/ballacademy/NBA-head-to-head-/blob/5b1decfc31ffb645469c7ffbd01aaca4b18181bd/data/nba-stats/nba-player-stats-202526-regular-season-per-game.csv</x:v>
      </x:c>
    </x:row>
    <x:row r="391" ht="21" customHeight="1">
      <x:c r="A391" s="64" t="n">
        <x:v>386</x:v>
      </x:c>
      <x:c r="B391" s="59" t="str">
        <x:v>Julian Strawther</x:v>
      </x:c>
      <x:c r="C391" s="65" t="str">
        <x:v>DEN</x:v>
      </x:c>
      <x:c r="D391" s="65" t="str">
        <x:v>SF</x:v>
      </x:c>
      <x:c r="E391" s="65" t="str">
        <x:v>SF</x:v>
      </x:c>
      <x:c r="F391" s="66" t="n">
        <x:v>57</x:v>
      </x:c>
      <x:c r="G391" s="67" t="n">
        <x:v>12.4</x:v>
      </x:c>
      <x:c r="H391" s="67" t="n">
        <x:v>7.6899999999999995</x:v>
      </x:c>
      <x:c r="I391" s="67" t="n">
        <x:v>14.69</x:v>
      </x:c>
      <x:c r="J391" s="67" t="n">
        <x:v>60</x:v>
      </x:c>
      <x:c r="K391" s="67" t="str">
        <x:v>DEEP</x:v>
      </x:c>
      <x:c r="L391" s="67" t="n">
        <x:v>11.19</x:v>
      </x:c>
      <x:c r="M391" s="68" t="n">
        <x:v>671.4</x:v>
      </x:c>
      <x:c r="N391" s="69" t="str">
        <x:v>Available</x:v>
      </x:c>
      <x:c r="O391" s="62" t="str">
        <x:v>Deep-pool model: 2025-26 custom-score production shrunk toward a conservative 2026-27 role estimate; not a published projection.</x:v>
      </x:c>
      <x:c r="P391" s="60"/>
      <x:c r="Q391" s="60"/>
      <x:c r="R391" s="60" t="n">
        <x:v>11.19</x:v>
      </x:c>
      <x:c r="S391" s="60" t="n">
        <x:v>0</x:v>
      </x:c>
      <x:c r="T391" s="72" t="str">
        <x:v>https://github.com/plourr03/wolves-front-office/blob/5d152a169188fb9b210186a7a0d3403d4081ed38/kuminga/data/roster_snapshot_2026_27_v3.csv</x:v>
      </x:c>
      <x:c r="U391" s="87" t="str">
        <x:v>VERY_DEEP</x:v>
      </x:c>
      <x:c r="V391" s="87" t="str">
        <x:v>HIGH</x:v>
      </x:c>
      <x:c r="W391" s="87" t="str">
        <x:v>MODEL</x:v>
      </x:c>
      <x:c r="X391" s="87" t="str">
        <x:v>STANDARD</x:v>
      </x:c>
      <x:c r="Y391" s="87" t="str">
        <x:v>2026-09-28 master / roster context 2026-09-03+</x:v>
      </x:c>
      <x:c r="Z391" s="72" t="str">
        <x:v>https://github.com/plourr03/wolves-front-office/blob/5d152a169188fb9b210186a7a0d3403d4081ed38/kuminga/data/roster_snapshot_2026_27_v3.csv</x:v>
      </x:c>
      <x:c r="AA391" s="72" t="str">
        <x:v>https://github.com/ballacademy/NBA-head-to-head-/blob/5b1decfc31ffb645469c7ffbd01aaca4b18181bd/data/nba-stats/nba-player-stats-202526-regular-season-per-game.csv</x:v>
      </x:c>
    </x:row>
    <x:row r="392" ht="21" customHeight="1">
      <x:c r="A392" s="64" t="n">
        <x:v>387</x:v>
      </x:c>
      <x:c r="B392" s="59" t="str">
        <x:v>Justin Edwards</x:v>
      </x:c>
      <x:c r="C392" s="65" t="str">
        <x:v>PHI</x:v>
      </x:c>
      <x:c r="D392" s="65" t="str">
        <x:v>SG</x:v>
      </x:c>
      <x:c r="E392" s="65" t="str">
        <x:v>SG</x:v>
      </x:c>
      <x:c r="F392" s="66" t="n">
        <x:v>64</x:v>
      </x:c>
      <x:c r="G392" s="67" t="n">
        <x:v>11.75</x:v>
      </x:c>
      <x:c r="H392" s="67" t="n">
        <x:v>7.57</x:v>
      </x:c>
      <x:c r="I392" s="67" t="n">
        <x:v>14.57</x:v>
      </x:c>
      <x:c r="J392" s="67" t="n">
        <x:v>60</x:v>
      </x:c>
      <x:c r="K392" s="67" t="str">
        <x:v>DEEP</x:v>
      </x:c>
      <x:c r="L392" s="67" t="n">
        <x:v>11.07</x:v>
      </x:c>
      <x:c r="M392" s="68" t="n">
        <x:v>664.2</x:v>
      </x:c>
      <x:c r="N392" s="69" t="str">
        <x:v>Available</x:v>
      </x:c>
      <x:c r="O392" s="62" t="str">
        <x:v>Deep-pool model: 2025-26 custom-score production shrunk toward a conservative 2026-27 role estimate; not a published projection.</x:v>
      </x:c>
      <x:c r="P392" s="60"/>
      <x:c r="Q392" s="60"/>
      <x:c r="R392" s="60" t="n">
        <x:v>11.07</x:v>
      </x:c>
      <x:c r="S392" s="60" t="n">
        <x:v>0</x:v>
      </x:c>
      <x:c r="T392" s="72" t="str">
        <x:v>https://github.com/plourr03/wolves-front-office/blob/5d152a169188fb9b210186a7a0d3403d4081ed38/kuminga/data/roster_snapshot_2026_27_v3.csv</x:v>
      </x:c>
      <x:c r="U392" s="87" t="str">
        <x:v>VERY_DEEP</x:v>
      </x:c>
      <x:c r="V392" s="87" t="str">
        <x:v>HIGH</x:v>
      </x:c>
      <x:c r="W392" s="87" t="str">
        <x:v>MODEL</x:v>
      </x:c>
      <x:c r="X392" s="87" t="str">
        <x:v>STANDARD</x:v>
      </x:c>
      <x:c r="Y392" s="87" t="str">
        <x:v>2026-09-28 master / roster context 2026-09-03+</x:v>
      </x:c>
      <x:c r="Z392" s="72" t="str">
        <x:v>https://github.com/plourr03/wolves-front-office/blob/5d152a169188fb9b210186a7a0d3403d4081ed38/kuminga/data/roster_snapshot_2026_27_v3.csv</x:v>
      </x:c>
      <x:c r="AA392" s="72" t="str">
        <x:v>https://github.com/ballacademy/NBA-head-to-head-/blob/5b1decfc31ffb645469c7ffbd01aaca4b18181bd/data/nba-stats/nba-player-stats-202526-regular-season-per-game.csv</x:v>
      </x:c>
    </x:row>
    <x:row r="393" ht="21" customHeight="1">
      <x:c r="A393" s="64" t="n">
        <x:v>388</x:v>
      </x:c>
      <x:c r="B393" s="59" t="str">
        <x:v>Asa Newell</x:v>
      </x:c>
      <x:c r="C393" s="65" t="str">
        <x:v>ATL</x:v>
      </x:c>
      <x:c r="D393" s="65" t="str">
        <x:v>PF</x:v>
      </x:c>
      <x:c r="E393" s="65" t="str">
        <x:v>PF</x:v>
      </x:c>
      <x:c r="F393" s="66" t="n">
        <x:v>44</x:v>
      </x:c>
      <x:c r="G393" s="67" t="n">
        <x:v>11.75</x:v>
      </x:c>
      <x:c r="H393" s="67" t="n">
        <x:v>7.390000000000001</x:v>
      </x:c>
      <x:c r="I393" s="67" t="n">
        <x:v>14.39</x:v>
      </x:c>
      <x:c r="J393" s="67" t="n">
        <x:v>64</x:v>
      </x:c>
      <x:c r="K393" s="67" t="str">
        <x:v>DEEP</x:v>
      </x:c>
      <x:c r="L393" s="67" t="n">
        <x:v>10.89</x:v>
      </x:c>
      <x:c r="M393" s="68" t="n">
        <x:v>696.96</x:v>
      </x:c>
      <x:c r="N393" s="69" t="str">
        <x:v>Available</x:v>
      </x:c>
      <x:c r="O393" s="62" t="str">
        <x:v>Deep-pool model: 2025-26 custom-score production shrunk toward a conservative 2026-27 role estimate; not a published projection.</x:v>
      </x:c>
      <x:c r="P393" s="60"/>
      <x:c r="Q393" s="60"/>
      <x:c r="R393" s="60" t="n">
        <x:v>10.89</x:v>
      </x:c>
      <x:c r="S393" s="60" t="n">
        <x:v>0</x:v>
      </x:c>
      <x:c r="T393" s="72" t="str">
        <x:v>https://github.com/A-V29/NBA.Rosters/blob/main/2026.Summer.League.json</x:v>
      </x:c>
      <x:c r="U393" s="87" t="str">
        <x:v>VERY_DEEP</x:v>
      </x:c>
      <x:c r="V393" s="87" t="str">
        <x:v>HIGH</x:v>
      </x:c>
      <x:c r="W393" s="87" t="str">
        <x:v>MODEL</x:v>
      </x:c>
      <x:c r="X393" s="87" t="str">
        <x:v>CAMP/SUMMER</x:v>
      </x:c>
      <x:c r="Y393" s="87" t="str">
        <x:v>2026-09-28 master / roster context 2026-09-03+</x:v>
      </x:c>
      <x:c r="Z393" s="72" t="str">
        <x:v>https://github.com/A-V29/NBA.Rosters/blob/main/2026.Summer.League.json</x:v>
      </x:c>
      <x:c r="AA393" s="72" t="str">
        <x:v>https://github.com/ballacademy/NBA-head-to-head-/blob/5b1decfc31ffb645469c7ffbd01aaca4b18181bd/data/nba-stats/nba-player-stats-202526-regular-season-per-game.csv</x:v>
      </x:c>
    </x:row>
    <x:row r="394" ht="21" customHeight="1">
      <x:c r="A394" s="64" t="n">
        <x:v>389</x:v>
      </x:c>
      <x:c r="B394" s="59" t="str">
        <x:v>Drake Powell</x:v>
      </x:c>
      <x:c r="C394" s="65" t="str">
        <x:v>BKN</x:v>
      </x:c>
      <x:c r="D394" s="65" t="str">
        <x:v>SF</x:v>
      </x:c>
      <x:c r="E394" s="65" t="str">
        <x:v>GF</x:v>
      </x:c>
      <x:c r="F394" s="66" t="n">
        <x:v>63</x:v>
      </x:c>
      <x:c r="G394" s="67" t="n">
        <x:v>11.2</x:v>
      </x:c>
      <x:c r="H394" s="67" t="n">
        <x:v>7.35</x:v>
      </x:c>
      <x:c r="I394" s="67" t="n">
        <x:v>14.35</x:v>
      </x:c>
      <x:c r="J394" s="67" t="n">
        <x:v>64</x:v>
      </x:c>
      <x:c r="K394" s="67" t="str">
        <x:v>DEEP</x:v>
      </x:c>
      <x:c r="L394" s="67" t="n">
        <x:v>10.85</x:v>
      </x:c>
      <x:c r="M394" s="68" t="n">
        <x:v>694.4</x:v>
      </x:c>
      <x:c r="N394" s="69" t="str">
        <x:v>Available</x:v>
      </x:c>
      <x:c r="O394" s="62" t="str">
        <x:v>Deep-pool model: 2025-26 custom-score production shrunk toward a conservative 2026-27 role estimate; not a published projection.</x:v>
      </x:c>
      <x:c r="P394" s="60"/>
      <x:c r="Q394" s="60"/>
      <x:c r="R394" s="60" t="n">
        <x:v>10.85</x:v>
      </x:c>
      <x:c r="S394" s="60" t="n">
        <x:v>0</x:v>
      </x:c>
      <x:c r="T394" s="72" t="str">
        <x:v>https://github.com/A-V29/NBA.Rosters/blob/main/2026.Summer.League.json</x:v>
      </x:c>
      <x:c r="U394" s="87" t="str">
        <x:v>VERY_DEEP</x:v>
      </x:c>
      <x:c r="V394" s="87" t="str">
        <x:v>HIGH</x:v>
      </x:c>
      <x:c r="W394" s="87" t="str">
        <x:v>MODEL</x:v>
      </x:c>
      <x:c r="X394" s="87" t="str">
        <x:v>CAMP/SUMMER</x:v>
      </x:c>
      <x:c r="Y394" s="87" t="str">
        <x:v>2026-09-28 master / roster context 2026-09-03+</x:v>
      </x:c>
      <x:c r="Z394" s="72" t="str">
        <x:v>https://github.com/A-V29/NBA.Rosters/blob/main/2026.Summer.League.json</x:v>
      </x:c>
      <x:c r="AA394" s="72" t="str">
        <x:v>https://github.com/ballacademy/NBA-head-to-head-/blob/5b1decfc31ffb645469c7ffbd01aaca4b18181bd/data/nba-stats/nba-player-stats-202526-regular-season-per-game.csv</x:v>
      </x:c>
    </x:row>
    <x:row r="395" ht="21" customHeight="1">
      <x:c r="A395" s="64" t="n">
        <x:v>390</x:v>
      </x:c>
      <x:c r="B395" s="59" t="str">
        <x:v>Sidy Cissoko</x:v>
      </x:c>
      <x:c r="C395" s="65" t="str">
        <x:v>POR</x:v>
      </x:c>
      <x:c r="D395" s="65" t="str">
        <x:v>SG</x:v>
      </x:c>
      <x:c r="E395" s="65" t="str">
        <x:v>SG</x:v>
      </x:c>
      <x:c r="F395" s="66" t="n">
        <x:v>75</x:v>
      </x:c>
      <x:c r="G395" s="67" t="n">
        <x:v>11.5</x:v>
      </x:c>
      <x:c r="H395" s="67" t="n">
        <x:v>7.390000000000001</x:v>
      </x:c>
      <x:c r="I395" s="67" t="n">
        <x:v>14.39</x:v>
      </x:c>
      <x:c r="J395" s="67" t="n">
        <x:v>60</x:v>
      </x:c>
      <x:c r="K395" s="67" t="str">
        <x:v>DEEP</x:v>
      </x:c>
      <x:c r="L395" s="67" t="n">
        <x:v>10.89</x:v>
      </x:c>
      <x:c r="M395" s="68" t="n">
        <x:v>653.4000000000001</x:v>
      </x:c>
      <x:c r="N395" s="69" t="str">
        <x:v>Available</x:v>
      </x:c>
      <x:c r="O395" s="62" t="str">
        <x:v>Deep-pool model: 2025-26 custom-score production shrunk toward a conservative 2026-27 role estimate; not a published projection.</x:v>
      </x:c>
      <x:c r="P395" s="60"/>
      <x:c r="Q395" s="60"/>
      <x:c r="R395" s="60" t="n">
        <x:v>10.89</x:v>
      </x:c>
      <x:c r="S395" s="60" t="n">
        <x:v>0</x:v>
      </x:c>
      <x:c r="T395" s="72" t="str">
        <x:v>https://github.com/plourr03/wolves-front-office/blob/5d152a169188fb9b210186a7a0d3403d4081ed38/kuminga/data/roster_snapshot_2026_27_v3.csv</x:v>
      </x:c>
      <x:c r="U395" s="87" t="str">
        <x:v>VERY_DEEP</x:v>
      </x:c>
      <x:c r="V395" s="87" t="str">
        <x:v>HIGH</x:v>
      </x:c>
      <x:c r="W395" s="87" t="str">
        <x:v>MODEL</x:v>
      </x:c>
      <x:c r="X395" s="87" t="str">
        <x:v>STANDARD</x:v>
      </x:c>
      <x:c r="Y395" s="87" t="str">
        <x:v>2026-09-28 master / roster context 2026-09-03+</x:v>
      </x:c>
      <x:c r="Z395" s="72" t="str">
        <x:v>https://github.com/plourr03/wolves-front-office/blob/5d152a169188fb9b210186a7a0d3403d4081ed38/kuminga/data/roster_snapshot_2026_27_v3.csv</x:v>
      </x:c>
      <x:c r="AA395" s="72" t="str">
        <x:v>https://github.com/ballacademy/NBA-head-to-head-/blob/5b1decfc31ffb645469c7ffbd01aaca4b18181bd/data/nba-stats/nba-player-stats-202526-regular-season-per-game.csv</x:v>
      </x:c>
    </x:row>
    <x:row r="396" ht="21" customHeight="1">
      <x:c r="A396" s="64" t="n">
        <x:v>391</x:v>
      </x:c>
      <x:c r="B396" s="59" t="str">
        <x:v>Trevon Brazile</x:v>
      </x:c>
      <x:c r="C396" s="65" t="str">
        <x:v>DEN</x:v>
      </x:c>
      <x:c r="D396" s="65" t="str">
        <x:v>C</x:v>
      </x:c>
      <x:c r="E396" s="65" t="str">
        <x:v>FC</x:v>
      </x:c>
      <x:c r="F396" s="66"/>
      <x:c r="G396" s="67"/>
      <x:c r="H396" s="67" t="n">
        <x:v>7.4</x:v>
      </x:c>
      <x:c r="I396" s="67" t="n">
        <x:v>14.4</x:v>
      </x:c>
      <x:c r="J396" s="67" t="n">
        <x:v>55</x:v>
      </x:c>
      <x:c r="K396" s="67" t="str">
        <x:v>VERY_DEEP</x:v>
      </x:c>
      <x:c r="L396" s="67" t="n">
        <x:v>10.9</x:v>
      </x:c>
      <x:c r="M396" s="68" t="n">
        <x:v>599.5</x:v>
      </x:c>
      <x:c r="N396" s="69" t="str">
        <x:v>Available</x:v>
      </x:c>
      <x:c r="O396" s="62" t="str">
        <x:v>Rookie/depth role estimate with a wide band and limited NBA evidence. Treat as a watch-list projection, not a published forecast.</x:v>
      </x:c>
      <x:c r="P396" s="60"/>
      <x:c r="Q396" s="60"/>
      <x:c r="R396" s="60" t="n">
        <x:v>10.9</x:v>
      </x:c>
      <x:c r="S396" s="60" t="n">
        <x:v>0</x:v>
      </x:c>
      <x:c r="T396" s="72" t="str">
        <x:v>https://github.com/A-V29/NBA.Rosters/blob/main/2026.Summer.League.json</x:v>
      </x:c>
      <x:c r="U396" s="87" t="str">
        <x:v>VERY_DEEP</x:v>
      </x:c>
      <x:c r="V396" s="87" t="str">
        <x:v>MEDIUM</x:v>
      </x:c>
      <x:c r="W396" s="87" t="str">
        <x:v>MODEL-ROOKIE</x:v>
      </x:c>
      <x:c r="X396" s="87" t="str">
        <x:v>CAMP/SUMMER</x:v>
      </x:c>
      <x:c r="Y396" s="87" t="str">
        <x:v>2026-09-28 master / roster context 2026-09-03+</x:v>
      </x:c>
      <x:c r="Z396" s="72" t="str">
        <x:v>https://github.com/A-V29/NBA.Rosters/blob/main/2026.Summer.League.json</x:v>
      </x:c>
      <x:c r="AA396" s="72" t="str">
        <x:v>https://github.com/ballacademy/NBA-head-to-head-/blob/5b1decfc31ffb645469c7ffbd01aaca4b18181bd/data/nba-stats/nba-player-stats-202526-regular-season-per-game.csv</x:v>
      </x:c>
    </x:row>
    <x:row r="397" ht="21" customHeight="1">
      <x:c r="A397" s="64" t="n">
        <x:v>392</x:v>
      </x:c>
      <x:c r="B397" s="59" t="str">
        <x:v>Noah Penda</x:v>
      </x:c>
      <x:c r="C397" s="65" t="str">
        <x:v>ORL</x:v>
      </x:c>
      <x:c r="D397" s="65" t="str">
        <x:v>PF</x:v>
      </x:c>
      <x:c r="E397" s="65" t="str">
        <x:v>F</x:v>
      </x:c>
      <x:c r="F397" s="66" t="n">
        <x:v>59</x:v>
      </x:c>
      <x:c r="G397" s="67" t="n">
        <x:v>11.35</x:v>
      </x:c>
      <x:c r="H397" s="67" t="n">
        <x:v>7.1899999999999995</x:v>
      </x:c>
      <x:c r="I397" s="67" t="n">
        <x:v>14.19</x:v>
      </x:c>
      <x:c r="J397" s="67" t="n">
        <x:v>64</x:v>
      </x:c>
      <x:c r="K397" s="67" t="str">
        <x:v>DEEP</x:v>
      </x:c>
      <x:c r="L397" s="67" t="n">
        <x:v>10.69</x:v>
      </x:c>
      <x:c r="M397" s="68" t="n">
        <x:v>684.16</x:v>
      </x:c>
      <x:c r="N397" s="69" t="str">
        <x:v>Available</x:v>
      </x:c>
      <x:c r="O397" s="62" t="str">
        <x:v>Deep-pool model: 2025-26 custom-score production shrunk toward a conservative 2026-27 role estimate; not a published projection.</x:v>
      </x:c>
      <x:c r="P397" s="60"/>
      <x:c r="Q397" s="60"/>
      <x:c r="R397" s="60" t="n">
        <x:v>10.69</x:v>
      </x:c>
      <x:c r="S397" s="60" t="n">
        <x:v>0</x:v>
      </x:c>
      <x:c r="T397" s="72" t="str">
        <x:v>https://github.com/A-V29/NBA.Rosters/blob/main/2026.Summer.League.json</x:v>
      </x:c>
      <x:c r="U397" s="87" t="str">
        <x:v>VERY_DEEP</x:v>
      </x:c>
      <x:c r="V397" s="87" t="str">
        <x:v>HIGH</x:v>
      </x:c>
      <x:c r="W397" s="87" t="str">
        <x:v>MODEL</x:v>
      </x:c>
      <x:c r="X397" s="87" t="str">
        <x:v>CAMP/SUMMER</x:v>
      </x:c>
      <x:c r="Y397" s="87" t="str">
        <x:v>2026-09-28 master / roster context 2026-09-03+</x:v>
      </x:c>
      <x:c r="Z397" s="72" t="str">
        <x:v>https://github.com/A-V29/NBA.Rosters/blob/main/2026.Summer.League.json</x:v>
      </x:c>
      <x:c r="AA397" s="72" t="str">
        <x:v>https://github.com/ballacademy/NBA-head-to-head-/blob/5b1decfc31ffb645469c7ffbd01aaca4b18181bd/data/nba-stats/nba-player-stats-202526-regular-season-per-game.csv</x:v>
      </x:c>
    </x:row>
    <x:row r="398" ht="21" customHeight="1">
      <x:c r="A398" s="64" t="n">
        <x:v>393</x:v>
      </x:c>
      <x:c r="B398" s="59" t="str">
        <x:v>Josh Okogie</x:v>
      </x:c>
      <x:c r="C398" s="65" t="str">
        <x:v>UTA</x:v>
      </x:c>
      <x:c r="D398" s="65" t="str">
        <x:v>SG</x:v>
      </x:c>
      <x:c r="E398" s="65" t="str">
        <x:v>SG</x:v>
      </x:c>
      <x:c r="F398" s="66" t="n">
        <x:v>78</x:v>
      </x:c>
      <x:c r="G398" s="67" t="n">
        <x:v>11.65</x:v>
      </x:c>
      <x:c r="H398" s="67" t="n">
        <x:v>7.210000000000001</x:v>
      </x:c>
      <x:c r="I398" s="67" t="n">
        <x:v>14.21</x:v>
      </x:c>
      <x:c r="J398" s="67" t="n">
        <x:v>60</x:v>
      </x:c>
      <x:c r="K398" s="67" t="str">
        <x:v>DEEP</x:v>
      </x:c>
      <x:c r="L398" s="67" t="n">
        <x:v>10.71</x:v>
      </x:c>
      <x:c r="M398" s="68" t="n">
        <x:v>642.6</x:v>
      </x:c>
      <x:c r="N398" s="69" t="str">
        <x:v>Available</x:v>
      </x:c>
      <x:c r="O398" s="62" t="str">
        <x:v>Deep-pool model: 2025-26 custom-score production shrunk toward a conservative 2026-27 role estimate; not a published projection.</x:v>
      </x:c>
      <x:c r="P398" s="60"/>
      <x:c r="Q398" s="60"/>
      <x:c r="R398" s="60" t="n">
        <x:v>10.71</x:v>
      </x:c>
      <x:c r="S398" s="60" t="n">
        <x:v>0</x:v>
      </x:c>
      <x:c r="T398" s="72" t="str">
        <x:v>https://github.com/plourr03/wolves-front-office/blob/5d152a169188fb9b210186a7a0d3403d4081ed38/kuminga/data/roster_snapshot_2026_27_v3.csv</x:v>
      </x:c>
      <x:c r="U398" s="87" t="str">
        <x:v>VERY_DEEP</x:v>
      </x:c>
      <x:c r="V398" s="87" t="str">
        <x:v>HIGH</x:v>
      </x:c>
      <x:c r="W398" s="87" t="str">
        <x:v>MODEL</x:v>
      </x:c>
      <x:c r="X398" s="87" t="str">
        <x:v>STANDARD</x:v>
      </x:c>
      <x:c r="Y398" s="87" t="str">
        <x:v>2026-09-28 master / roster context 2026-09-03+</x:v>
      </x:c>
      <x:c r="Z398" s="72" t="str">
        <x:v>https://github.com/plourr03/wolves-front-office/blob/5d152a169188fb9b210186a7a0d3403d4081ed38/kuminga/data/roster_snapshot_2026_27_v3.csv</x:v>
      </x:c>
      <x:c r="AA398" s="72" t="str">
        <x:v>https://github.com/ballacademy/NBA-head-to-head-/blob/5b1decfc31ffb645469c7ffbd01aaca4b18181bd/data/nba-stats/nba-player-stats-202526-regular-season-per-game.csv</x:v>
      </x:c>
    </x:row>
    <x:row r="399" ht="21" customHeight="1">
      <x:c r="A399" s="64" t="n">
        <x:v>394</x:v>
      </x:c>
      <x:c r="B399" s="59" t="str">
        <x:v>Trendon Watford</x:v>
      </x:c>
      <x:c r="C399" s="65" t="str">
        <x:v>NOP</x:v>
      </x:c>
      <x:c r="D399" s="65" t="str">
        <x:v>PF</x:v>
      </x:c>
      <x:c r="E399" s="65" t="str">
        <x:v>PF</x:v>
      </x:c>
      <x:c r="F399" s="66" t="n">
        <x:v>53</x:v>
      </x:c>
      <x:c r="G399" s="67" t="n">
        <x:v>14.75</x:v>
      </x:c>
      <x:c r="H399" s="67" t="n">
        <x:v>7.539999999999999</x:v>
      </x:c>
      <x:c r="I399" s="67" t="n">
        <x:v>14.54</x:v>
      </x:c>
      <x:c r="J399" s="67" t="n">
        <x:v>42</x:v>
      </x:c>
      <x:c r="K399" s="67" t="str">
        <x:v>VERY_DEEP</x:v>
      </x:c>
      <x:c r="L399" s="67" t="n">
        <x:v>11.04</x:v>
      </x:c>
      <x:c r="M399" s="68" t="n">
        <x:v>463.67999999999995</x:v>
      </x:c>
      <x:c r="N399" s="69" t="str">
        <x:v>Available</x:v>
      </x:c>
      <x:c r="O399" s="62" t="str">
        <x:v>Very-deep roster candidate. Non-guaranteed status and role uncertainty are discounted; verify final roster before draft use.</x:v>
      </x:c>
      <x:c r="P399" s="60"/>
      <x:c r="Q399" s="60"/>
      <x:c r="R399" s="60" t="n">
        <x:v>11.04</x:v>
      </x:c>
      <x:c r="S399" s="60" t="n">
        <x:v>0</x:v>
      </x:c>
      <x:c r="T399" s="72" t="str">
        <x:v>https://github.com/plourr03/wolves-front-office/blob/5d152a169188fb9b210186a7a0d3403d4081ed38/kuminga/data/roster_snapshot_2026_27_v3.csv</x:v>
      </x:c>
      <x:c r="U399" s="87" t="str">
        <x:v>VERY_DEEP</x:v>
      </x:c>
      <x:c r="V399" s="87" t="str">
        <x:v>MEDIUM</x:v>
      </x:c>
      <x:c r="W399" s="87" t="str">
        <x:v>MODEL</x:v>
      </x:c>
      <x:c r="X399" s="87" t="str">
        <x:v>NON GUARANTEED</x:v>
      </x:c>
      <x:c r="Y399" s="87" t="str">
        <x:v>2026-09-28 master / roster context 2026-09-03+</x:v>
      </x:c>
      <x:c r="Z399" s="72" t="str">
        <x:v>https://github.com/plourr03/wolves-front-office/blob/5d152a169188fb9b210186a7a0d3403d4081ed38/kuminga/data/roster_snapshot_2026_27_v3.csv</x:v>
      </x:c>
      <x:c r="AA399" s="72" t="str">
        <x:v>https://github.com/ballacademy/NBA-head-to-head-/blob/5b1decfc31ffb645469c7ffbd01aaca4b18181bd/data/nba-stats/nba-player-stats-202526-regular-season-per-game.csv</x:v>
      </x:c>
    </x:row>
    <x:row r="400" ht="21" customHeight="1">
      <x:c r="A400" s="64" t="n">
        <x:v>395</x:v>
      </x:c>
      <x:c r="B400" s="59" t="str">
        <x:v>Branden Carlson</x:v>
      </x:c>
      <x:c r="C400" s="65" t="str">
        <x:v>POR</x:v>
      </x:c>
      <x:c r="D400" s="65" t="str">
        <x:v>C</x:v>
      </x:c>
      <x:c r="E400" s="65" t="str">
        <x:v>C</x:v>
      </x:c>
      <x:c r="F400" s="66" t="n">
        <x:v>42</x:v>
      </x:c>
      <x:c r="G400" s="67" t="n">
        <x:v>12.85</x:v>
      </x:c>
      <x:c r="H400" s="67" t="n">
        <x:v>7.18</x:v>
      </x:c>
      <x:c r="I400" s="67" t="n">
        <x:v>14.18</x:v>
      </x:c>
      <x:c r="J400" s="67" t="n">
        <x:v>60</x:v>
      </x:c>
      <x:c r="K400" s="67" t="str">
        <x:v>DEEP</x:v>
      </x:c>
      <x:c r="L400" s="67" t="n">
        <x:v>10.68</x:v>
      </x:c>
      <x:c r="M400" s="68" t="n">
        <x:v>640.8</x:v>
      </x:c>
      <x:c r="N400" s="69" t="str">
        <x:v>Available</x:v>
      </x:c>
      <x:c r="O400" s="62" t="str">
        <x:v>Deep-pool model: 2025-26 custom-score production shrunk toward a conservative 2026-27 role estimate; not a published projection.</x:v>
      </x:c>
      <x:c r="P400" s="60"/>
      <x:c r="Q400" s="60"/>
      <x:c r="R400" s="60" t="n">
        <x:v>10.68</x:v>
      </x:c>
      <x:c r="S400" s="60" t="n">
        <x:v>0</x:v>
      </x:c>
      <x:c r="T400" s="72" t="str">
        <x:v>https://github.com/plourr03/wolves-front-office/blob/5d152a169188fb9b210186a7a0d3403d4081ed38/kuminga/data/roster_snapshot_2026_27_v3.csv</x:v>
      </x:c>
      <x:c r="U400" s="87" t="str">
        <x:v>VERY_DEEP</x:v>
      </x:c>
      <x:c r="V400" s="87" t="str">
        <x:v>HIGH</x:v>
      </x:c>
      <x:c r="W400" s="87" t="str">
        <x:v>MODEL</x:v>
      </x:c>
      <x:c r="X400" s="87" t="str">
        <x:v>STANDARD</x:v>
      </x:c>
      <x:c r="Y400" s="87" t="str">
        <x:v>2026-09-28 master / roster context 2026-09-03+</x:v>
      </x:c>
      <x:c r="Z400" s="72" t="str">
        <x:v>https://github.com/plourr03/wolves-front-office/blob/5d152a169188fb9b210186a7a0d3403d4081ed38/kuminga/data/roster_snapshot_2026_27_v3.csv</x:v>
      </x:c>
      <x:c r="AA400" s="72" t="str">
        <x:v>https://github.com/ballacademy/NBA-head-to-head-/blob/5b1decfc31ffb645469c7ffbd01aaca4b18181bd/data/nba-stats/nba-player-stats-202526-regular-season-per-game.csv</x:v>
      </x:c>
    </x:row>
    <x:row r="401" ht="21" customHeight="1">
      <x:c r="A401" s="64" t="n">
        <x:v>396</x:v>
      </x:c>
      <x:c r="B401" s="59" t="str">
        <x:v>Charles Bassey</x:v>
      </x:c>
      <x:c r="C401" s="65" t="str">
        <x:v>GSW</x:v>
      </x:c>
      <x:c r="D401" s="65" t="str">
        <x:v>C</x:v>
      </x:c>
      <x:c r="E401" s="65" t="str">
        <x:v>C</x:v>
      </x:c>
      <x:c r="F401" s="66" t="n">
        <x:v>13</x:v>
      </x:c>
      <x:c r="G401" s="67" t="n">
        <x:v>17.25</x:v>
      </x:c>
      <x:c r="H401" s="67" t="n">
        <x:v>7.529999999999999</x:v>
      </x:c>
      <x:c r="I401" s="67" t="n">
        <x:v>14.53</x:v>
      </x:c>
      <x:c r="J401" s="67" t="n">
        <x:v>42</x:v>
      </x:c>
      <x:c r="K401" s="67" t="str">
        <x:v>VERY_DEEP</x:v>
      </x:c>
      <x:c r="L401" s="67" t="n">
        <x:v>11.03</x:v>
      </x:c>
      <x:c r="M401" s="68" t="n">
        <x:v>463.26</x:v>
      </x:c>
      <x:c r="N401" s="69" t="str">
        <x:v>Available</x:v>
      </x:c>
      <x:c r="O401" s="62" t="str">
        <x:v>Very-deep roster candidate. Non-guaranteed status and role uncertainty are discounted; verify final roster before draft use.</x:v>
      </x:c>
      <x:c r="P401" s="60"/>
      <x:c r="Q401" s="60"/>
      <x:c r="R401" s="60" t="n">
        <x:v>11.03</x:v>
      </x:c>
      <x:c r="S401" s="60" t="n">
        <x:v>0</x:v>
      </x:c>
      <x:c r="T401" s="72" t="str">
        <x:v>https://github.com/plourr03/wolves-front-office/blob/5d152a169188fb9b210186a7a0d3403d4081ed38/kuminga/data/roster_snapshot_2026_27_v3.csv</x:v>
      </x:c>
      <x:c r="U401" s="87" t="str">
        <x:v>VERY_DEEP</x:v>
      </x:c>
      <x:c r="V401" s="87" t="str">
        <x:v>MEDIUM</x:v>
      </x:c>
      <x:c r="W401" s="87" t="str">
        <x:v>MODEL</x:v>
      </x:c>
      <x:c r="X401" s="87" t="str">
        <x:v>NON GUARANTEED</x:v>
      </x:c>
      <x:c r="Y401" s="87" t="str">
        <x:v>2026-09-28 master / roster context 2026-09-03+</x:v>
      </x:c>
      <x:c r="Z401" s="72" t="str">
        <x:v>https://github.com/plourr03/wolves-front-office/blob/5d152a169188fb9b210186a7a0d3403d4081ed38/kuminga/data/roster_snapshot_2026_27_v3.csv</x:v>
      </x:c>
      <x:c r="AA401" s="72" t="str">
        <x:v>https://github.com/ballacademy/NBA-head-to-head-/blob/5b1decfc31ffb645469c7ffbd01aaca4b18181bd/data/nba-stats/nba-player-stats-202526-regular-season-per-game.csv</x:v>
      </x:c>
    </x:row>
    <x:row r="402" ht="21" customHeight="1">
      <x:c r="A402" s="64" t="n">
        <x:v>397</x:v>
      </x:c>
      <x:c r="B402" s="59" t="str">
        <x:v>Rob Dillingham</x:v>
      </x:c>
      <x:c r="C402" s="65" t="str">
        <x:v>CHI</x:v>
      </x:c>
      <x:c r="D402" s="65" t="str">
        <x:v>PG</x:v>
      </x:c>
      <x:c r="E402" s="65" t="str">
        <x:v>PG</x:v>
      </x:c>
      <x:c r="F402" s="66" t="n">
        <x:v>65</x:v>
      </x:c>
      <x:c r="G402" s="67" t="n">
        <x:v>10.45</x:v>
      </x:c>
      <x:c r="H402" s="67" t="n">
        <x:v>7.109999999999999</x:v>
      </x:c>
      <x:c r="I402" s="67" t="n">
        <x:v>14.11</x:v>
      </x:c>
      <x:c r="J402" s="67" t="n">
        <x:v>60</x:v>
      </x:c>
      <x:c r="K402" s="67" t="str">
        <x:v>DEEP</x:v>
      </x:c>
      <x:c r="L402" s="67" t="n">
        <x:v>10.61</x:v>
      </x:c>
      <x:c r="M402" s="68" t="n">
        <x:v>636.5999999999999</x:v>
      </x:c>
      <x:c r="N402" s="69" t="str">
        <x:v>Available</x:v>
      </x:c>
      <x:c r="O402" s="62" t="str">
        <x:v>Deep-pool model: 2025-26 custom-score production shrunk toward a conservative 2026-27 role estimate; not a published projection.</x:v>
      </x:c>
      <x:c r="P402" s="60"/>
      <x:c r="Q402" s="60"/>
      <x:c r="R402" s="60" t="n">
        <x:v>10.61</x:v>
      </x:c>
      <x:c r="S402" s="60" t="n">
        <x:v>0</x:v>
      </x:c>
      <x:c r="T402" s="72" t="str">
        <x:v>https://github.com/plourr03/wolves-front-office/blob/5d152a169188fb9b210186a7a0d3403d4081ed38/kuminga/data/roster_snapshot_2026_27_v3.csv</x:v>
      </x:c>
      <x:c r="U402" s="87" t="str">
        <x:v>VERY_DEEP</x:v>
      </x:c>
      <x:c r="V402" s="87" t="str">
        <x:v>HIGH</x:v>
      </x:c>
      <x:c r="W402" s="87" t="str">
        <x:v>MODEL</x:v>
      </x:c>
      <x:c r="X402" s="87" t="str">
        <x:v>STANDARD</x:v>
      </x:c>
      <x:c r="Y402" s="87" t="str">
        <x:v>2026-09-28 master / roster context 2026-09-03+</x:v>
      </x:c>
      <x:c r="Z402" s="72" t="str">
        <x:v>https://github.com/plourr03/wolves-front-office/blob/5d152a169188fb9b210186a7a0d3403d4081ed38/kuminga/data/roster_snapshot_2026_27_v3.csv</x:v>
      </x:c>
      <x:c r="AA402" s="72" t="str">
        <x:v>https://github.com/ballacademy/NBA-head-to-head-/blob/5b1decfc31ffb645469c7ffbd01aaca4b18181bd/data/nba-stats/nba-player-stats-202526-regular-season-per-game.csv</x:v>
      </x:c>
    </x:row>
    <x:row r="403" ht="21" customHeight="1">
      <x:c r="A403" s="64" t="n">
        <x:v>398</x:v>
      </x:c>
      <x:c r="B403" s="59" t="str">
        <x:v>Jevon Carter</x:v>
      </x:c>
      <x:c r="C403" s="65" t="str">
        <x:v>ORL</x:v>
      </x:c>
      <x:c r="D403" s="65" t="str">
        <x:v>PG</x:v>
      </x:c>
      <x:c r="E403" s="65" t="str">
        <x:v>PG</x:v>
      </x:c>
      <x:c r="F403" s="66" t="n">
        <x:v>53</x:v>
      </x:c>
      <x:c r="G403" s="67" t="n">
        <x:v>12.1</x:v>
      </x:c>
      <x:c r="H403" s="67" t="n">
        <x:v>7</x:v>
      </x:c>
      <x:c r="I403" s="67" t="n">
        <x:v>14</x:v>
      </x:c>
      <x:c r="J403" s="67" t="n">
        <x:v>60</x:v>
      </x:c>
      <x:c r="K403" s="67" t="str">
        <x:v>DEEP</x:v>
      </x:c>
      <x:c r="L403" s="67" t="n">
        <x:v>10.5</x:v>
      </x:c>
      <x:c r="M403" s="68" t="n">
        <x:v>630</x:v>
      </x:c>
      <x:c r="N403" s="69" t="str">
        <x:v>Available</x:v>
      </x:c>
      <x:c r="O403" s="62" t="str">
        <x:v>Deep-pool model: 2025-26 custom-score production shrunk toward a conservative 2026-27 role estimate; not a published projection.</x:v>
      </x:c>
      <x:c r="P403" s="60"/>
      <x:c r="Q403" s="60"/>
      <x:c r="R403" s="60" t="n">
        <x:v>10.5</x:v>
      </x:c>
      <x:c r="S403" s="60" t="n">
        <x:v>0</x:v>
      </x:c>
      <x:c r="T403" s="72" t="str">
        <x:v>https://github.com/plourr03/wolves-front-office/blob/5d152a169188fb9b210186a7a0d3403d4081ed38/kuminga/data/roster_snapshot_2026_27_v3.csv</x:v>
      </x:c>
      <x:c r="U403" s="87" t="str">
        <x:v>VERY_DEEP</x:v>
      </x:c>
      <x:c r="V403" s="87" t="str">
        <x:v>HIGH</x:v>
      </x:c>
      <x:c r="W403" s="87" t="str">
        <x:v>MODEL</x:v>
      </x:c>
      <x:c r="X403" s="87" t="str">
        <x:v>STANDARD</x:v>
      </x:c>
      <x:c r="Y403" s="87" t="str">
        <x:v>2026-09-28 master / roster context 2026-09-03+</x:v>
      </x:c>
      <x:c r="Z403" s="72" t="str">
        <x:v>https://github.com/plourr03/wolves-front-office/blob/5d152a169188fb9b210186a7a0d3403d4081ed38/kuminga/data/roster_snapshot_2026_27_v3.csv</x:v>
      </x:c>
      <x:c r="AA403" s="72" t="str">
        <x:v>https://github.com/ballacademy/NBA-head-to-head-/blob/5b1decfc31ffb645469c7ffbd01aaca4b18181bd/data/nba-stats/nba-player-stats-202526-regular-season-per-game.csv</x:v>
      </x:c>
    </x:row>
    <x:row r="404" ht="21" customHeight="1">
      <x:c r="A404" s="64" t="n">
        <x:v>399</x:v>
      </x:c>
      <x:c r="B404" s="59" t="str">
        <x:v>Hugo Gonzalez</x:v>
      </x:c>
      <x:c r="C404" s="65" t="str">
        <x:v>BOS</x:v>
      </x:c>
      <x:c r="D404" s="65" t="str">
        <x:v>SF</x:v>
      </x:c>
      <x:c r="E404" s="65" t="str">
        <x:v>GF</x:v>
      </x:c>
      <x:c r="F404" s="66" t="n">
        <x:v>74</x:v>
      </x:c>
      <x:c r="G404" s="67" t="n">
        <x:v>10.7</x:v>
      </x:c>
      <x:c r="H404" s="67" t="n">
        <x:v>6.83</x:v>
      </x:c>
      <x:c r="I404" s="67" t="n">
        <x:v>13.83</x:v>
      </x:c>
      <x:c r="J404" s="67" t="n">
        <x:v>64</x:v>
      </x:c>
      <x:c r="K404" s="67" t="str">
        <x:v>DEEP</x:v>
      </x:c>
      <x:c r="L404" s="67" t="n">
        <x:v>10.33</x:v>
      </x:c>
      <x:c r="M404" s="68" t="n">
        <x:v>661.12</x:v>
      </x:c>
      <x:c r="N404" s="69" t="str">
        <x:v>Available</x:v>
      </x:c>
      <x:c r="O404" s="62" t="str">
        <x:v>Deep-pool model: 2025-26 custom-score production shrunk toward a conservative 2026-27 role estimate; not a published projection.</x:v>
      </x:c>
      <x:c r="P404" s="60"/>
      <x:c r="Q404" s="60"/>
      <x:c r="R404" s="60" t="n">
        <x:v>10.33</x:v>
      </x:c>
      <x:c r="S404" s="60" t="n">
        <x:v>0</x:v>
      </x:c>
      <x:c r="T404" s="72" t="str">
        <x:v>https://github.com/A-V29/NBA.Rosters/blob/main/2026.Summer.League.json</x:v>
      </x:c>
      <x:c r="U404" s="87" t="str">
        <x:v>VERY_DEEP</x:v>
      </x:c>
      <x:c r="V404" s="87" t="str">
        <x:v>HIGH</x:v>
      </x:c>
      <x:c r="W404" s="87" t="str">
        <x:v>MODEL</x:v>
      </x:c>
      <x:c r="X404" s="87" t="str">
        <x:v>CAMP/SUMMER</x:v>
      </x:c>
      <x:c r="Y404" s="87" t="str">
        <x:v>2026-09-28 master / roster context 2026-09-03+</x:v>
      </x:c>
      <x:c r="Z404" s="72" t="str">
        <x:v>https://github.com/A-V29/NBA.Rosters/blob/main/2026.Summer.League.json</x:v>
      </x:c>
      <x:c r="AA404" s="72" t="str">
        <x:v>https://github.com/ballacademy/NBA-head-to-head-/blob/5b1decfc31ffb645469c7ffbd01aaca4b18181bd/data/nba-stats/nba-player-stats-202526-regular-season-per-game.csv</x:v>
      </x:c>
    </x:row>
    <x:row r="405" ht="21" customHeight="1">
      <x:c r="A405" s="64" t="n">
        <x:v>400</x:v>
      </x:c>
      <x:c r="B405" s="59" t="str">
        <x:v>Jahmai Mashack</x:v>
      </x:c>
      <x:c r="C405" s="65" t="str">
        <x:v>MEM</x:v>
      </x:c>
      <x:c r="D405" s="65" t="str">
        <x:v>SG</x:v>
      </x:c>
      <x:c r="E405" s="65" t="str">
        <x:v>SG</x:v>
      </x:c>
      <x:c r="F405" s="66" t="n">
        <x:v>31</x:v>
      </x:c>
      <x:c r="G405" s="67" t="n">
        <x:v>12.85</x:v>
      </x:c>
      <x:c r="H405" s="67" t="n">
        <x:v>6.800000000000001</x:v>
      </x:c>
      <x:c r="I405" s="67" t="n">
        <x:v>13.8</x:v>
      </x:c>
      <x:c r="J405" s="67" t="n">
        <x:v>64</x:v>
      </x:c>
      <x:c r="K405" s="67" t="str">
        <x:v>DEEP</x:v>
      </x:c>
      <x:c r="L405" s="67" t="n">
        <x:v>10.3</x:v>
      </x:c>
      <x:c r="M405" s="68" t="n">
        <x:v>659.2</x:v>
      </x:c>
      <x:c r="N405" s="69" t="str">
        <x:v>Available</x:v>
      </x:c>
      <x:c r="O405" s="62" t="str">
        <x:v>Deep-pool model: 2025-26 custom-score production shrunk toward a conservative 2026-27 role estimate; not a published projection.</x:v>
      </x:c>
      <x:c r="P405" s="60"/>
      <x:c r="Q405" s="60"/>
      <x:c r="R405" s="60" t="n">
        <x:v>10.3</x:v>
      </x:c>
      <x:c r="S405" s="60" t="n">
        <x:v>0</x:v>
      </x:c>
      <x:c r="T405" s="72" t="str">
        <x:v>https://github.com/A-V29/NBA.Rosters/blob/main/2026.Summer.League.json</x:v>
      </x:c>
      <x:c r="U405" s="87" t="str">
        <x:v>VERY_DEEP</x:v>
      </x:c>
      <x:c r="V405" s="87" t="str">
        <x:v>HIGH</x:v>
      </x:c>
      <x:c r="W405" s="87" t="str">
        <x:v>MODEL</x:v>
      </x:c>
      <x:c r="X405" s="87" t="str">
        <x:v>CAMP/SUMMER</x:v>
      </x:c>
      <x:c r="Y405" s="87" t="str">
        <x:v>2026-09-28 master / roster context 2026-09-03+</x:v>
      </x:c>
      <x:c r="Z405" s="72" t="str">
        <x:v>https://github.com/A-V29/NBA.Rosters/blob/main/2026.Summer.League.json</x:v>
      </x:c>
      <x:c r="AA405" s="72" t="str">
        <x:v>https://github.com/ballacademy/NBA-head-to-head-/blob/5b1decfc31ffb645469c7ffbd01aaca4b18181bd/data/nba-stats/nba-player-stats-202526-regular-season-per-game.csv</x:v>
      </x:c>
    </x:row>
    <x:row r="406" ht="21" customHeight="1">
      <x:c r="A406" s="64" t="n">
        <x:v>401</x:v>
      </x:c>
      <x:c r="B406" s="59" t="str">
        <x:v>Joan Beringer</x:v>
      </x:c>
      <x:c r="C406" s="65" t="str">
        <x:v>MIN</x:v>
      </x:c>
      <x:c r="D406" s="65" t="str">
        <x:v>C</x:v>
      </x:c>
      <x:c r="E406" s="65" t="str">
        <x:v>C</x:v>
      </x:c>
      <x:c r="F406" s="66" t="n">
        <x:v>40</x:v>
      </x:c>
      <x:c r="G406" s="67" t="n">
        <x:v>10.9</x:v>
      </x:c>
      <x:c r="H406" s="67" t="n">
        <x:v>6.75</x:v>
      </x:c>
      <x:c r="I406" s="67" t="n">
        <x:v>13.75</x:v>
      </x:c>
      <x:c r="J406" s="67" t="n">
        <x:v>64</x:v>
      </x:c>
      <x:c r="K406" s="67" t="str">
        <x:v>DEEP</x:v>
      </x:c>
      <x:c r="L406" s="67" t="n">
        <x:v>10.25</x:v>
      </x:c>
      <x:c r="M406" s="68" t="n">
        <x:v>656</x:v>
      </x:c>
      <x:c r="N406" s="69" t="str">
        <x:v>Available</x:v>
      </x:c>
      <x:c r="O406" s="62" t="str">
        <x:v>Deep-pool model: 2025-26 custom-score production shrunk toward a conservative 2026-27 role estimate; not a published projection.</x:v>
      </x:c>
      <x:c r="P406" s="60"/>
      <x:c r="Q406" s="60"/>
      <x:c r="R406" s="60" t="n">
        <x:v>10.25</x:v>
      </x:c>
      <x:c r="S406" s="60" t="n">
        <x:v>0</x:v>
      </x:c>
      <x:c r="T406" s="72" t="str">
        <x:v>https://github.com/A-V29/NBA.Rosters/blob/main/2026.Summer.League.json</x:v>
      </x:c>
      <x:c r="U406" s="87" t="str">
        <x:v>VERY_DEEP</x:v>
      </x:c>
      <x:c r="V406" s="87" t="str">
        <x:v>HIGH</x:v>
      </x:c>
      <x:c r="W406" s="87" t="str">
        <x:v>MODEL</x:v>
      </x:c>
      <x:c r="X406" s="87" t="str">
        <x:v>CAMP/SUMMER</x:v>
      </x:c>
      <x:c r="Y406" s="87" t="str">
        <x:v>2026-09-28 master / roster context 2026-09-03+</x:v>
      </x:c>
      <x:c r="Z406" s="72" t="str">
        <x:v>https://github.com/A-V29/NBA.Rosters/blob/main/2026.Summer.League.json</x:v>
      </x:c>
      <x:c r="AA406" s="72" t="str">
        <x:v>https://github.com/ballacademy/NBA-head-to-head-/blob/5b1decfc31ffb645469c7ffbd01aaca4b18181bd/data/nba-stats/nba-player-stats-202526-regular-season-per-game.csv</x:v>
      </x:c>
    </x:row>
    <x:row r="407" ht="21" customHeight="1">
      <x:c r="A407" s="64" t="n">
        <x:v>402</x:v>
      </x:c>
      <x:c r="B407" s="59" t="str">
        <x:v>Pete Nance</x:v>
      </x:c>
      <x:c r="C407" s="65" t="str">
        <x:v>MIL</x:v>
      </x:c>
      <x:c r="D407" s="65" t="str">
        <x:v>PF</x:v>
      </x:c>
      <x:c r="E407" s="65" t="str">
        <x:v>PF</x:v>
      </x:c>
      <x:c r="F407" s="66" t="n">
        <x:v>47</x:v>
      </x:c>
      <x:c r="G407" s="67" t="n">
        <x:v>11.85</x:v>
      </x:c>
      <x:c r="H407" s="67" t="n">
        <x:v>6.609999999999999</x:v>
      </x:c>
      <x:c r="I407" s="67" t="n">
        <x:v>13.61</x:v>
      </x:c>
      <x:c r="J407" s="67" t="n">
        <x:v>64</x:v>
      </x:c>
      <x:c r="K407" s="67" t="str">
        <x:v>DEEP</x:v>
      </x:c>
      <x:c r="L407" s="67" t="n">
        <x:v>10.11</x:v>
      </x:c>
      <x:c r="M407" s="68" t="n">
        <x:v>647.04</x:v>
      </x:c>
      <x:c r="N407" s="69" t="str">
        <x:v>Available</x:v>
      </x:c>
      <x:c r="O407" s="62" t="str">
        <x:v>Deep-pool model: 2025-26 custom-score production shrunk toward a conservative 2026-27 role estimate; not a published projection.</x:v>
      </x:c>
      <x:c r="P407" s="60"/>
      <x:c r="Q407" s="60"/>
      <x:c r="R407" s="60" t="n">
        <x:v>10.11</x:v>
      </x:c>
      <x:c r="S407" s="60" t="n">
        <x:v>0</x:v>
      </x:c>
      <x:c r="T407" s="72" t="str">
        <x:v>https://github.com/A-V29/NBA.Rosters/blob/main/2026.Summer.League.json</x:v>
      </x:c>
      <x:c r="U407" s="87" t="str">
        <x:v>VERY_DEEP</x:v>
      </x:c>
      <x:c r="V407" s="87" t="str">
        <x:v>HIGH</x:v>
      </x:c>
      <x:c r="W407" s="87" t="str">
        <x:v>MODEL</x:v>
      </x:c>
      <x:c r="X407" s="87" t="str">
        <x:v>CAMP/SUMMER</x:v>
      </x:c>
      <x:c r="Y407" s="87" t="str">
        <x:v>2026-09-28 master / roster context 2026-09-03+</x:v>
      </x:c>
      <x:c r="Z407" s="72" t="str">
        <x:v>https://github.com/A-V29/NBA.Rosters/blob/main/2026.Summer.League.json</x:v>
      </x:c>
      <x:c r="AA407" s="72" t="str">
        <x:v>https://github.com/ballacademy/NBA-head-to-head-/blob/5b1decfc31ffb645469c7ffbd01aaca4b18181bd/data/nba-stats/nba-player-stats-202526-regular-season-per-game.csv</x:v>
      </x:c>
    </x:row>
    <x:row r="408" ht="21" customHeight="1">
      <x:c r="A408" s="64" t="n">
        <x:v>403</x:v>
      </x:c>
      <x:c r="B408" s="59" t="str">
        <x:v>Yanic Konan Niederhauser</x:v>
      </x:c>
      <x:c r="C408" s="65" t="str">
        <x:v>LAC</x:v>
      </x:c>
      <x:c r="D408" s="65" t="str">
        <x:v>PF</x:v>
      </x:c>
      <x:c r="E408" s="65" t="str">
        <x:v>F</x:v>
      </x:c>
      <x:c r="F408" s="66" t="n">
        <x:v>41</x:v>
      </x:c>
      <x:c r="G408" s="67" t="n">
        <x:v>11</x:v>
      </x:c>
      <x:c r="H408" s="67" t="n">
        <x:v>6.609999999999999</x:v>
      </x:c>
      <x:c r="I408" s="67" t="n">
        <x:v>13.61</x:v>
      </x:c>
      <x:c r="J408" s="67" t="n">
        <x:v>60</x:v>
      </x:c>
      <x:c r="K408" s="67" t="str">
        <x:v>DEEP</x:v>
      </x:c>
      <x:c r="L408" s="67" t="n">
        <x:v>10.11</x:v>
      </x:c>
      <x:c r="M408" s="68" t="n">
        <x:v>606.5999999999999</x:v>
      </x:c>
      <x:c r="N408" s="69" t="str">
        <x:v>Available</x:v>
      </x:c>
      <x:c r="O408" s="62" t="str">
        <x:v>Deep-pool model: 2025-26 custom-score production shrunk toward a conservative 2026-27 role estimate; not a published projection.</x:v>
      </x:c>
      <x:c r="P408" s="60"/>
      <x:c r="Q408" s="60"/>
      <x:c r="R408" s="60" t="n">
        <x:v>10.11</x:v>
      </x:c>
      <x:c r="S408" s="60" t="n">
        <x:v>0</x:v>
      </x:c>
      <x:c r="T408" s="72" t="str">
        <x:v>https://github.com/plourr03/wolves-front-office/blob/5d152a169188fb9b210186a7a0d3403d4081ed38/kuminga/data/roster_snapshot_2026_27_v3.csv</x:v>
      </x:c>
      <x:c r="U408" s="87" t="str">
        <x:v>VERY_DEEP</x:v>
      </x:c>
      <x:c r="V408" s="87" t="str">
        <x:v>HIGH</x:v>
      </x:c>
      <x:c r="W408" s="87" t="str">
        <x:v>MODEL</x:v>
      </x:c>
      <x:c r="X408" s="87" t="str">
        <x:v>STANDARD</x:v>
      </x:c>
      <x:c r="Y408" s="87" t="str">
        <x:v>2026-09-28 master / roster context 2026-09-03+</x:v>
      </x:c>
      <x:c r="Z408" s="72" t="str">
        <x:v>https://github.com/plourr03/wolves-front-office/blob/5d152a169188fb9b210186a7a0d3403d4081ed38/kuminga/data/roster_snapshot_2026_27_v3.csv</x:v>
      </x:c>
      <x:c r="AA408" s="72" t="str">
        <x:v>https://github.com/ballacademy/NBA-head-to-head-/blob/5b1decfc31ffb645469c7ffbd01aaca4b18181bd/data/nba-stats/nba-player-stats-202526-regular-season-per-game.csv</x:v>
      </x:c>
    </x:row>
    <x:row r="409" ht="21" customHeight="1">
      <x:c r="A409" s="64" t="n">
        <x:v>404</x:v>
      </x:c>
      <x:c r="B409" s="59" t="str">
        <x:v>Payton Sandfort</x:v>
      </x:c>
      <x:c r="C409" s="65" t="str">
        <x:v>OKC</x:v>
      </x:c>
      <x:c r="D409" s="65" t="str">
        <x:v>SF</x:v>
      </x:c>
      <x:c r="E409" s="65" t="str">
        <x:v>SF</x:v>
      </x:c>
      <x:c r="F409" s="66" t="n">
        <x:v>4</x:v>
      </x:c>
      <x:c r="G409" s="67" t="n">
        <x:v>13.8</x:v>
      </x:c>
      <x:c r="H409" s="67" t="n">
        <x:v>6.4</x:v>
      </x:c>
      <x:c r="I409" s="67" t="n">
        <x:v>13.4</x:v>
      </x:c>
      <x:c r="J409" s="67" t="n">
        <x:v>64</x:v>
      </x:c>
      <x:c r="K409" s="67" t="str">
        <x:v>VERY_DEEP</x:v>
      </x:c>
      <x:c r="L409" s="67" t="n">
        <x:v>9.9</x:v>
      </x:c>
      <x:c r="M409" s="68" t="n">
        <x:v>633.6</x:v>
      </x:c>
      <x:c r="N409" s="69" t="str">
        <x:v>Available</x:v>
      </x:c>
      <x:c r="O409" s="62" t="str">
        <x:v>Very-deep model estimate with limited sample/role certainty. Use as a search/watch-list value and refresh once final rotations are known.</x:v>
      </x:c>
      <x:c r="P409" s="60"/>
      <x:c r="Q409" s="60"/>
      <x:c r="R409" s="60" t="n">
        <x:v>9.9</x:v>
      </x:c>
      <x:c r="S409" s="60" t="n">
        <x:v>0</x:v>
      </x:c>
      <x:c r="T409" s="72" t="str">
        <x:v>https://github.com/A-V29/NBA.Rosters/blob/main/2026.Summer.League.json</x:v>
      </x:c>
      <x:c r="U409" s="87" t="str">
        <x:v>VERY_DEEP</x:v>
      </x:c>
      <x:c r="V409" s="87" t="str">
        <x:v>MEDIUM</x:v>
      </x:c>
      <x:c r="W409" s="87" t="str">
        <x:v>MODEL</x:v>
      </x:c>
      <x:c r="X409" s="87" t="str">
        <x:v>CAMP/SUMMER</x:v>
      </x:c>
      <x:c r="Y409" s="87" t="str">
        <x:v>2026-09-28 master / roster context 2026-09-03+</x:v>
      </x:c>
      <x:c r="Z409" s="72" t="str">
        <x:v>https://github.com/A-V29/NBA.Rosters/blob/main/2026.Summer.League.json</x:v>
      </x:c>
      <x:c r="AA409" s="72" t="str">
        <x:v>https://github.com/ballacademy/NBA-head-to-head-/blob/5b1decfc31ffb645469c7ffbd01aaca4b18181bd/data/nba-stats/nba-player-stats-202526-regular-season-per-game.csv</x:v>
      </x:c>
    </x:row>
    <x:row r="410" ht="21" customHeight="1">
      <x:c r="A410" s="64" t="n">
        <x:v>405</x:v>
      </x:c>
      <x:c r="B410" s="59" t="str">
        <x:v>Haywood Highsmith</x:v>
      </x:c>
      <x:c r="C410" s="65" t="str">
        <x:v>PHX</x:v>
      </x:c>
      <x:c r="D410" s="65" t="str">
        <x:v>PF</x:v>
      </x:c>
      <x:c r="E410" s="65" t="str">
        <x:v>F</x:v>
      </x:c>
      <x:c r="F410" s="66" t="n">
        <x:v>7</x:v>
      </x:c>
      <x:c r="G410" s="67" t="n">
        <x:v>13.8</x:v>
      </x:c>
      <x:c r="H410" s="67" t="n">
        <x:v>6.49</x:v>
      </x:c>
      <x:c r="I410" s="67" t="n">
        <x:v>13.49</x:v>
      </x:c>
      <x:c r="J410" s="67" t="n">
        <x:v>60</x:v>
      </x:c>
      <x:c r="K410" s="67" t="str">
        <x:v>VERY_DEEP</x:v>
      </x:c>
      <x:c r="L410" s="67" t="n">
        <x:v>9.99</x:v>
      </x:c>
      <x:c r="M410" s="68" t="n">
        <x:v>599.4</x:v>
      </x:c>
      <x:c r="N410" s="69" t="str">
        <x:v>Available</x:v>
      </x:c>
      <x:c r="O410" s="62" t="str">
        <x:v>Very-deep model estimate with limited sample/role certainty. Use as a search/watch-list value and refresh once final rotations are known.</x:v>
      </x:c>
      <x:c r="P410" s="60"/>
      <x:c r="Q410" s="60"/>
      <x:c r="R410" s="60" t="n">
        <x:v>9.99</x:v>
      </x:c>
      <x:c r="S410" s="60" t="n">
        <x:v>0</x:v>
      </x:c>
      <x:c r="T410" s="72" t="str">
        <x:v>https://github.com/plourr03/wolves-front-office/blob/5d152a169188fb9b210186a7a0d3403d4081ed38/kuminga/data/roster_snapshot_2026_27_v3.csv</x:v>
      </x:c>
      <x:c r="U410" s="87" t="str">
        <x:v>VERY_DEEP</x:v>
      </x:c>
      <x:c r="V410" s="87" t="str">
        <x:v>MEDIUM</x:v>
      </x:c>
      <x:c r="W410" s="87" t="str">
        <x:v>MODEL</x:v>
      </x:c>
      <x:c r="X410" s="87" t="str">
        <x:v>STANDARD</x:v>
      </x:c>
      <x:c r="Y410" s="87" t="str">
        <x:v>2026-09-28 master / roster context 2026-09-03+</x:v>
      </x:c>
      <x:c r="Z410" s="72" t="str">
        <x:v>https://github.com/plourr03/wolves-front-office/blob/5d152a169188fb9b210186a7a0d3403d4081ed38/kuminga/data/roster_snapshot_2026_27_v3.csv</x:v>
      </x:c>
      <x:c r="AA410" s="72" t="str">
        <x:v>https://github.com/ballacademy/NBA-head-to-head-/blob/5b1decfc31ffb645469c7ffbd01aaca4b18181bd/data/nba-stats/nba-player-stats-202526-regular-season-per-game.csv</x:v>
      </x:c>
    </x:row>
    <x:row r="411" ht="21" customHeight="1">
      <x:c r="A411" s="64" t="n">
        <x:v>406</x:v>
      </x:c>
      <x:c r="B411" s="59" t="str">
        <x:v>Josh Green</x:v>
      </x:c>
      <x:c r="C411" s="65" t="str">
        <x:v>UTA</x:v>
      </x:c>
      <x:c r="D411" s="65" t="str">
        <x:v>SG</x:v>
      </x:c>
      <x:c r="E411" s="65" t="str">
        <x:v>SG</x:v>
      </x:c>
      <x:c r="F411" s="66" t="n">
        <x:v>58</x:v>
      </x:c>
      <x:c r="G411" s="67" t="n">
        <x:v>10.05</x:v>
      </x:c>
      <x:c r="H411" s="67" t="n">
        <x:v>6.42</x:v>
      </x:c>
      <x:c r="I411" s="67" t="n">
        <x:v>13.42</x:v>
      </x:c>
      <x:c r="J411" s="67" t="n">
        <x:v>60</x:v>
      </x:c>
      <x:c r="K411" s="67" t="str">
        <x:v>DEEP</x:v>
      </x:c>
      <x:c r="L411" s="67" t="n">
        <x:v>9.92</x:v>
      </x:c>
      <x:c r="M411" s="68" t="n">
        <x:v>595.2</x:v>
      </x:c>
      <x:c r="N411" s="69" t="str">
        <x:v>Available</x:v>
      </x:c>
      <x:c r="O411" s="62" t="str">
        <x:v>Deep-pool model: 2025-26 custom-score production shrunk toward a conservative 2026-27 role estimate; not a published projection.</x:v>
      </x:c>
      <x:c r="P411" s="60"/>
      <x:c r="Q411" s="60"/>
      <x:c r="R411" s="60" t="n">
        <x:v>9.92</x:v>
      </x:c>
      <x:c r="S411" s="60" t="n">
        <x:v>0</x:v>
      </x:c>
      <x:c r="T411" s="72" t="str">
        <x:v>https://github.com/plourr03/wolves-front-office/blob/5d152a169188fb9b210186a7a0d3403d4081ed38/kuminga/data/roster_snapshot_2026_27_v3.csv</x:v>
      </x:c>
      <x:c r="U411" s="87" t="str">
        <x:v>VERY_DEEP</x:v>
      </x:c>
      <x:c r="V411" s="87" t="str">
        <x:v>HIGH</x:v>
      </x:c>
      <x:c r="W411" s="87" t="str">
        <x:v>MODEL</x:v>
      </x:c>
      <x:c r="X411" s="87" t="str">
        <x:v>STANDARD</x:v>
      </x:c>
      <x:c r="Y411" s="87" t="str">
        <x:v>2026-09-28 master / roster context 2026-09-03+</x:v>
      </x:c>
      <x:c r="Z411" s="72" t="str">
        <x:v>https://github.com/plourr03/wolves-front-office/blob/5d152a169188fb9b210186a7a0d3403d4081ed38/kuminga/data/roster_snapshot_2026_27_v3.csv</x:v>
      </x:c>
      <x:c r="AA411" s="72" t="str">
        <x:v>https://github.com/ballacademy/NBA-head-to-head-/blob/5b1decfc31ffb645469c7ffbd01aaca4b18181bd/data/nba-stats/nba-player-stats-202526-regular-season-per-game.csv</x:v>
      </x:c>
    </x:row>
    <x:row r="412" ht="21" customHeight="1">
      <x:c r="A412" s="64" t="n">
        <x:v>407</x:v>
      </x:c>
      <x:c r="B412" s="59" t="str">
        <x:v>Cameron Christie</x:v>
      </x:c>
      <x:c r="C412" s="65" t="str">
        <x:v>LAC</x:v>
      </x:c>
      <x:c r="D412" s="65" t="str">
        <x:v>SG</x:v>
      </x:c>
      <x:c r="E412" s="65" t="str">
        <x:v>SG</x:v>
      </x:c>
      <x:c r="F412" s="66"/>
      <x:c r="G412" s="67"/>
      <x:c r="H412" s="67" t="n">
        <x:v>5.925000000000001</x:v>
      </x:c>
      <x:c r="I412" s="67" t="n">
        <x:v>13.835</x:v>
      </x:c>
      <x:c r="J412" s="67" t="n">
        <x:v>60</x:v>
      </x:c>
      <x:c r="K412" s="67" t="str">
        <x:v>WATCH</x:v>
      </x:c>
      <x:c r="L412" s="67" t="n">
        <x:v>9.88</x:v>
      </x:c>
      <x:c r="M412" s="68" t="n">
        <x:v>592.8000000000001</x:v>
      </x:c>
      <x:c r="N412" s="69" t="str">
        <x:v>Available</x:v>
      </x:c>
      <x:c r="O412" s="62" t="str">
        <x:v>Rookie/depth role estimate with a wide band and limited NBA evidence. Treat as a watch-list projection, not a published forecast.</x:v>
      </x:c>
      <x:c r="P412" s="60"/>
      <x:c r="Q412" s="60"/>
      <x:c r="R412" s="60" t="n">
        <x:v>9.88</x:v>
      </x:c>
      <x:c r="S412" s="60" t="n">
        <x:v>0</x:v>
      </x:c>
      <x:c r="T412" s="72" t="str">
        <x:v>https://github.com/plourr03/wolves-front-office/blob/5d152a169188fb9b210186a7a0d3403d4081ed38/kuminga/data/roster_snapshot_2026_27_v3.csv</x:v>
      </x:c>
      <x:c r="U412" s="87" t="str">
        <x:v>VERY_DEEP</x:v>
      </x:c>
      <x:c r="V412" s="87" t="str">
        <x:v>LOW</x:v>
      </x:c>
      <x:c r="W412" s="87" t="str">
        <x:v>MODEL-ROOKIE</x:v>
      </x:c>
      <x:c r="X412" s="87" t="str">
        <x:v>STANDARD</x:v>
      </x:c>
      <x:c r="Y412" s="87" t="str">
        <x:v>2026-09-28 master / roster context 2026-09-03+</x:v>
      </x:c>
      <x:c r="Z412" s="72" t="str">
        <x:v>https://github.com/plourr03/wolves-front-office/blob/5d152a169188fb9b210186a7a0d3403d4081ed38/kuminga/data/roster_snapshot_2026_27_v3.csv</x:v>
      </x:c>
      <x:c r="AA412" s="72" t="str">
        <x:v>https://github.com/ballacademy/NBA-head-to-head-/blob/5b1decfc31ffb645469c7ffbd01aaca4b18181bd/data/nba-stats/nba-player-stats-202526-regular-season-per-game.csv</x:v>
      </x:c>
    </x:row>
    <x:row r="413" ht="21" customHeight="1">
      <x:c r="A413" s="64" t="n">
        <x:v>408</x:v>
      </x:c>
      <x:c r="B413" s="59" t="str">
        <x:v>Jamaree Bouyea</x:v>
      </x:c>
      <x:c r="C413" s="65" t="str">
        <x:v>PHX</x:v>
      </x:c>
      <x:c r="D413" s="65" t="str">
        <x:v>PG</x:v>
      </x:c>
      <x:c r="E413" s="65" t="str">
        <x:v>PG</x:v>
      </x:c>
      <x:c r="F413" s="66" t="n">
        <x:v>46</x:v>
      </x:c>
      <x:c r="G413" s="67" t="n">
        <x:v>11.45</x:v>
      </x:c>
      <x:c r="H413" s="67" t="n">
        <x:v>6.27</x:v>
      </x:c>
      <x:c r="I413" s="67" t="n">
        <x:v>13.27</x:v>
      </x:c>
      <x:c r="J413" s="67" t="n">
        <x:v>60</x:v>
      </x:c>
      <x:c r="K413" s="67" t="str">
        <x:v>DEEP</x:v>
      </x:c>
      <x:c r="L413" s="67" t="n">
        <x:v>9.77</x:v>
      </x:c>
      <x:c r="M413" s="68" t="n">
        <x:v>586.1999999999999</x:v>
      </x:c>
      <x:c r="N413" s="69" t="str">
        <x:v>Available</x:v>
      </x:c>
      <x:c r="O413" s="62" t="str">
        <x:v>Deep-pool model: 2025-26 custom-score production shrunk toward a conservative 2026-27 role estimate; not a published projection.</x:v>
      </x:c>
      <x:c r="P413" s="60"/>
      <x:c r="Q413" s="60"/>
      <x:c r="R413" s="60" t="n">
        <x:v>9.77</x:v>
      </x:c>
      <x:c r="S413" s="60" t="n">
        <x:v>0</x:v>
      </x:c>
      <x:c r="T413" s="72" t="str">
        <x:v>https://github.com/plourr03/wolves-front-office/blob/5d152a169188fb9b210186a7a0d3403d4081ed38/kuminga/data/roster_snapshot_2026_27_v3.csv</x:v>
      </x:c>
      <x:c r="U413" s="87" t="str">
        <x:v>VERY_DEEP</x:v>
      </x:c>
      <x:c r="V413" s="87" t="str">
        <x:v>HIGH</x:v>
      </x:c>
      <x:c r="W413" s="87" t="str">
        <x:v>MODEL</x:v>
      </x:c>
      <x:c r="X413" s="87" t="str">
        <x:v>STANDARD</x:v>
      </x:c>
      <x:c r="Y413" s="87" t="str">
        <x:v>2026-09-28 master / roster context 2026-09-03+</x:v>
      </x:c>
      <x:c r="Z413" s="72" t="str">
        <x:v>https://github.com/plourr03/wolves-front-office/blob/5d152a169188fb9b210186a7a0d3403d4081ed38/kuminga/data/roster_snapshot_2026_27_v3.csv</x:v>
      </x:c>
      <x:c r="AA413" s="72" t="str">
        <x:v>https://github.com/ballacademy/NBA-head-to-head-/blob/5b1decfc31ffb645469c7ffbd01aaca4b18181bd/data/nba-stats/nba-player-stats-202526-regular-season-per-game.csv</x:v>
      </x:c>
    </x:row>
    <x:row r="414" ht="21" customHeight="1">
      <x:c r="A414" s="64" t="n">
        <x:v>409</x:v>
      </x:c>
      <x:c r="B414" s="59" t="str">
        <x:v>Mike Conley</x:v>
      </x:c>
      <x:c r="C414" s="65" t="str">
        <x:v>BOS</x:v>
      </x:c>
      <x:c r="D414" s="65" t="str">
        <x:v>PG</x:v>
      </x:c>
      <x:c r="E414" s="65" t="str">
        <x:v>PG</x:v>
      </x:c>
      <x:c r="F414" s="66" t="n">
        <x:v>54</x:v>
      </x:c>
      <x:c r="G414" s="67" t="n">
        <x:v>11.9</x:v>
      </x:c>
      <x:c r="H414" s="67" t="n">
        <x:v>6.17</x:v>
      </x:c>
      <x:c r="I414" s="67" t="n">
        <x:v>13.17</x:v>
      </x:c>
      <x:c r="J414" s="67" t="n">
        <x:v>60</x:v>
      </x:c>
      <x:c r="K414" s="67" t="str">
        <x:v>DEEP</x:v>
      </x:c>
      <x:c r="L414" s="67" t="n">
        <x:v>9.67</x:v>
      </x:c>
      <x:c r="M414" s="68" t="n">
        <x:v>580.2</x:v>
      </x:c>
      <x:c r="N414" s="69" t="str">
        <x:v>Available</x:v>
      </x:c>
      <x:c r="O414" s="62" t="str">
        <x:v>Deep-pool model: 2025-26 custom-score production shrunk toward a conservative 2026-27 role estimate; not a published projection.</x:v>
      </x:c>
      <x:c r="P414" s="60"/>
      <x:c r="Q414" s="60"/>
      <x:c r="R414" s="60" t="n">
        <x:v>9.67</x:v>
      </x:c>
      <x:c r="S414" s="60" t="n">
        <x:v>0</x:v>
      </x:c>
      <x:c r="T414" s="72" t="str">
        <x:v>https://github.com/plourr03/wolves-front-office/blob/5d152a169188fb9b210186a7a0d3403d4081ed38/kuminga/data/roster_snapshot_2026_27_v3.csv</x:v>
      </x:c>
      <x:c r="U414" s="87" t="str">
        <x:v>VERY_DEEP</x:v>
      </x:c>
      <x:c r="V414" s="87" t="str">
        <x:v>HIGH</x:v>
      </x:c>
      <x:c r="W414" s="87" t="str">
        <x:v>MODEL</x:v>
      </x:c>
      <x:c r="X414" s="87" t="str">
        <x:v>STANDARD</x:v>
      </x:c>
      <x:c r="Y414" s="87" t="str">
        <x:v>2026-09-28 master / roster context 2026-09-03+</x:v>
      </x:c>
      <x:c r="Z414" s="72" t="str">
        <x:v>https://github.com/plourr03/wolves-front-office/blob/5d152a169188fb9b210186a7a0d3403d4081ed38/kuminga/data/roster_snapshot_2026_27_v3.csv</x:v>
      </x:c>
      <x:c r="AA414" s="72" t="str">
        <x:v>https://github.com/ballacademy/NBA-head-to-head-/blob/5b1decfc31ffb645469c7ffbd01aaca4b18181bd/data/nba-stats/nba-player-stats-202526-regular-season-per-game.csv</x:v>
      </x:c>
    </x:row>
    <x:row r="415" ht="21" customHeight="1">
      <x:c r="A415" s="64" t="n">
        <x:v>410</x:v>
      </x:c>
      <x:c r="B415" s="59" t="str">
        <x:v>Bogdan Bogdanovic</x:v>
      </x:c>
      <x:c r="C415" s="65" t="str">
        <x:v>HOU</x:v>
      </x:c>
      <x:c r="D415" s="65" t="str">
        <x:v>SG</x:v>
      </x:c>
      <x:c r="E415" s="65" t="str">
        <x:v>SG</x:v>
      </x:c>
      <x:c r="F415" s="66" t="n">
        <x:v>23</x:v>
      </x:c>
      <x:c r="G415" s="67" t="n">
        <x:v>13.15</x:v>
      </x:c>
      <x:c r="H415" s="67" t="n">
        <x:v>5.98</x:v>
      </x:c>
      <x:c r="I415" s="67" t="n">
        <x:v>12.98</x:v>
      </x:c>
      <x:c r="J415" s="67" t="n">
        <x:v>60</x:v>
      </x:c>
      <x:c r="K415" s="67" t="str">
        <x:v>VERY_DEEP</x:v>
      </x:c>
      <x:c r="L415" s="67" t="n">
        <x:v>9.48</x:v>
      </x:c>
      <x:c r="M415" s="68" t="n">
        <x:v>568.8000000000001</x:v>
      </x:c>
      <x:c r="N415" s="69" t="str">
        <x:v>Available</x:v>
      </x:c>
      <x:c r="O415" s="62" t="str">
        <x:v>Very-deep model estimate with limited sample/role certainty. Use as a search/watch-list value and refresh once final rotations are known.</x:v>
      </x:c>
      <x:c r="P415" s="60"/>
      <x:c r="Q415" s="60"/>
      <x:c r="R415" s="60" t="n">
        <x:v>9.48</x:v>
      </x:c>
      <x:c r="S415" s="60" t="n">
        <x:v>0</x:v>
      </x:c>
      <x:c r="T415" s="72" t="str">
        <x:v>https://github.com/plourr03/wolves-front-office/blob/5d152a169188fb9b210186a7a0d3403d4081ed38/kuminga/data/roster_snapshot_2026_27_v3.csv</x:v>
      </x:c>
      <x:c r="U415" s="87" t="str">
        <x:v>VERY_DEEP</x:v>
      </x:c>
      <x:c r="V415" s="87" t="str">
        <x:v>MEDIUM</x:v>
      </x:c>
      <x:c r="W415" s="87" t="str">
        <x:v>MODEL</x:v>
      </x:c>
      <x:c r="X415" s="87" t="str">
        <x:v>STANDARD</x:v>
      </x:c>
      <x:c r="Y415" s="87" t="str">
        <x:v>2026-09-28 master / roster context 2026-09-03+</x:v>
      </x:c>
      <x:c r="Z415" s="72" t="str">
        <x:v>https://github.com/plourr03/wolves-front-office/blob/5d152a169188fb9b210186a7a0d3403d4081ed38/kuminga/data/roster_snapshot_2026_27_v3.csv</x:v>
      </x:c>
      <x:c r="AA415" s="72" t="str">
        <x:v>https://github.com/ballacademy/NBA-head-to-head-/blob/5b1decfc31ffb645469c7ffbd01aaca4b18181bd/data/nba-stats/nba-player-stats-202526-regular-season-per-game.csv</x:v>
      </x:c>
    </x:row>
    <x:row r="416" ht="21" customHeight="1">
      <x:c r="A416" s="64" t="n">
        <x:v>411</x:v>
      </x:c>
      <x:c r="B416" s="59" t="str">
        <x:v>Hayden Gray</x:v>
      </x:c>
      <x:c r="C416" s="65" t="str">
        <x:v>UTA</x:v>
      </x:c>
      <x:c r="D416" s="65" t="str">
        <x:v>SG</x:v>
      </x:c>
      <x:c r="E416" s="65" t="str">
        <x:v>SG</x:v>
      </x:c>
      <x:c r="F416" s="66" t="n">
        <x:v>1</x:v>
      </x:c>
      <x:c r="G416" s="67" t="n">
        <x:v>12</x:v>
      </x:c>
      <x:c r="H416" s="67" t="n">
        <x:v>5.8100000000000005</x:v>
      </x:c>
      <x:c r="I416" s="67" t="n">
        <x:v>12.81</x:v>
      </x:c>
      <x:c r="J416" s="67" t="n">
        <x:v>64</x:v>
      </x:c>
      <x:c r="K416" s="67" t="str">
        <x:v>VERY_DEEP</x:v>
      </x:c>
      <x:c r="L416" s="67" t="n">
        <x:v>9.31</x:v>
      </x:c>
      <x:c r="M416" s="68" t="n">
        <x:v>595.84</x:v>
      </x:c>
      <x:c r="N416" s="69" t="str">
        <x:v>Available</x:v>
      </x:c>
      <x:c r="O416" s="62" t="str">
        <x:v>Very-deep model estimate with limited sample/role certainty. Use as a search/watch-list value and refresh once final rotations are known.</x:v>
      </x:c>
      <x:c r="P416" s="60"/>
      <x:c r="Q416" s="60"/>
      <x:c r="R416" s="60" t="n">
        <x:v>9.31</x:v>
      </x:c>
      <x:c r="S416" s="60" t="n">
        <x:v>0</x:v>
      </x:c>
      <x:c r="T416" s="72" t="str">
        <x:v>https://github.com/A-V29/NBA.Rosters/blob/main/2026.Summer.League.json</x:v>
      </x:c>
      <x:c r="U416" s="87" t="str">
        <x:v>VERY_DEEP</x:v>
      </x:c>
      <x:c r="V416" s="87" t="str">
        <x:v>MEDIUM</x:v>
      </x:c>
      <x:c r="W416" s="87" t="str">
        <x:v>MODEL</x:v>
      </x:c>
      <x:c r="X416" s="87" t="str">
        <x:v>CAMP/SUMMER</x:v>
      </x:c>
      <x:c r="Y416" s="87" t="str">
        <x:v>2026-09-28 master / roster context 2026-09-03+</x:v>
      </x:c>
      <x:c r="Z416" s="72" t="str">
        <x:v>https://github.com/A-V29/NBA.Rosters/blob/main/2026.Summer.League.json</x:v>
      </x:c>
      <x:c r="AA416" s="72" t="str">
        <x:v>https://github.com/ballacademy/NBA-head-to-head-/blob/5b1decfc31ffb645469c7ffbd01aaca4b18181bd/data/nba-stats/nba-player-stats-202526-regular-season-per-game.csv</x:v>
      </x:c>
    </x:row>
    <x:row r="417" ht="21" customHeight="1">
      <x:c r="A417" s="64" t="n">
        <x:v>412</x:v>
      </x:c>
      <x:c r="B417" s="59" t="str">
        <x:v>Nikola Topic</x:v>
      </x:c>
      <x:c r="C417" s="65" t="str">
        <x:v>OKC</x:v>
      </x:c>
      <x:c r="D417" s="65" t="str">
        <x:v>PG</x:v>
      </x:c>
      <x:c r="E417" s="65" t="str">
        <x:v>PG</x:v>
      </x:c>
      <x:c r="F417" s="66" t="n">
        <x:v>10</x:v>
      </x:c>
      <x:c r="G417" s="67" t="n">
        <x:v>10.9</x:v>
      </x:c>
      <x:c r="H417" s="67" t="n">
        <x:v>5.9</x:v>
      </x:c>
      <x:c r="I417" s="67" t="n">
        <x:v>12.9</x:v>
      </x:c>
      <x:c r="J417" s="67" t="n">
        <x:v>60</x:v>
      </x:c>
      <x:c r="K417" s="67" t="str">
        <x:v>VERY_DEEP</x:v>
      </x:c>
      <x:c r="L417" s="67" t="n">
        <x:v>9.4</x:v>
      </x:c>
      <x:c r="M417" s="68" t="n">
        <x:v>564</x:v>
      </x:c>
      <x:c r="N417" s="69" t="str">
        <x:v>Available</x:v>
      </x:c>
      <x:c r="O417" s="62" t="str">
        <x:v>Very-deep model estimate with limited sample/role certainty. Use as a search/watch-list value and refresh once final rotations are known.</x:v>
      </x:c>
      <x:c r="P417" s="60"/>
      <x:c r="Q417" s="60"/>
      <x:c r="R417" s="60" t="n">
        <x:v>9.4</x:v>
      </x:c>
      <x:c r="S417" s="60" t="n">
        <x:v>0</x:v>
      </x:c>
      <x:c r="T417" s="72" t="str">
        <x:v>https://github.com/plourr03/wolves-front-office/blob/5d152a169188fb9b210186a7a0d3403d4081ed38/kuminga/data/roster_snapshot_2026_27_v3.csv</x:v>
      </x:c>
      <x:c r="U417" s="87" t="str">
        <x:v>VERY_DEEP</x:v>
      </x:c>
      <x:c r="V417" s="87" t="str">
        <x:v>MEDIUM</x:v>
      </x:c>
      <x:c r="W417" s="87" t="str">
        <x:v>MODEL</x:v>
      </x:c>
      <x:c r="X417" s="87" t="str">
        <x:v>STANDARD</x:v>
      </x:c>
      <x:c r="Y417" s="87" t="str">
        <x:v>2026-09-28 master / roster context 2026-09-03+</x:v>
      </x:c>
      <x:c r="Z417" s="72" t="str">
        <x:v>https://github.com/plourr03/wolves-front-office/blob/5d152a169188fb9b210186a7a0d3403d4081ed38/kuminga/data/roster_snapshot_2026_27_v3.csv</x:v>
      </x:c>
      <x:c r="AA417" s="72" t="str">
        <x:v>https://github.com/ballacademy/NBA-head-to-head-/blob/5b1decfc31ffb645469c7ffbd01aaca4b18181bd/data/nba-stats/nba-player-stats-202526-regular-season-per-game.csv</x:v>
      </x:c>
    </x:row>
    <x:row r="418" ht="21" customHeight="1">
      <x:c r="A418" s="64" t="n">
        <x:v>413</x:v>
      </x:c>
      <x:c r="B418" s="59" t="str">
        <x:v>Rasheer Fleming</x:v>
      </x:c>
      <x:c r="C418" s="65" t="str">
        <x:v>PHX</x:v>
      </x:c>
      <x:c r="D418" s="65" t="str">
        <x:v>C</x:v>
      </x:c>
      <x:c r="E418" s="65" t="str">
        <x:v>FC</x:v>
      </x:c>
      <x:c r="F418" s="66" t="n">
        <x:v>55</x:v>
      </x:c>
      <x:c r="G418" s="67" t="n">
        <x:v>9.55</x:v>
      </x:c>
      <x:c r="H418" s="67" t="n">
        <x:v>5.73</x:v>
      </x:c>
      <x:c r="I418" s="67" t="n">
        <x:v>12.73</x:v>
      </x:c>
      <x:c r="J418" s="67" t="n">
        <x:v>64</x:v>
      </x:c>
      <x:c r="K418" s="67" t="str">
        <x:v>DEEP</x:v>
      </x:c>
      <x:c r="L418" s="67" t="n">
        <x:v>9.23</x:v>
      </x:c>
      <x:c r="M418" s="68" t="n">
        <x:v>590.72</x:v>
      </x:c>
      <x:c r="N418" s="69" t="str">
        <x:v>Available</x:v>
      </x:c>
      <x:c r="O418" s="62" t="str">
        <x:v>Deep-pool model: 2025-26 custom-score production shrunk toward a conservative 2026-27 role estimate; not a published projection.</x:v>
      </x:c>
      <x:c r="P418" s="60"/>
      <x:c r="Q418" s="60"/>
      <x:c r="R418" s="60" t="n">
        <x:v>9.23</x:v>
      </x:c>
      <x:c r="S418" s="60" t="n">
        <x:v>0</x:v>
      </x:c>
      <x:c r="T418" s="72" t="str">
        <x:v>https://github.com/A-V29/NBA.Rosters/blob/main/2026.Summer.League.json</x:v>
      </x:c>
      <x:c r="U418" s="87" t="str">
        <x:v>VERY_DEEP</x:v>
      </x:c>
      <x:c r="V418" s="87" t="str">
        <x:v>HIGH</x:v>
      </x:c>
      <x:c r="W418" s="87" t="str">
        <x:v>MODEL</x:v>
      </x:c>
      <x:c r="X418" s="87" t="str">
        <x:v>CAMP/SUMMER</x:v>
      </x:c>
      <x:c r="Y418" s="87" t="str">
        <x:v>2026-09-28 master / roster context 2026-09-03+</x:v>
      </x:c>
      <x:c r="Z418" s="72" t="str">
        <x:v>https://github.com/A-V29/NBA.Rosters/blob/main/2026.Summer.League.json</x:v>
      </x:c>
      <x:c r="AA418" s="72" t="str">
        <x:v>https://github.com/ballacademy/NBA-head-to-head-/blob/5b1decfc31ffb645469c7ffbd01aaca4b18181bd/data/nba-stats/nba-player-stats-202526-regular-season-per-game.csv</x:v>
      </x:c>
    </x:row>
    <x:row r="419" ht="21" customHeight="1">
      <x:c r="A419" s="64" t="n">
        <x:v>414</x:v>
      </x:c>
      <x:c r="B419" s="59" t="str">
        <x:v>Jamal Cain</x:v>
      </x:c>
      <x:c r="C419" s="65" t="str">
        <x:v>ORL</x:v>
      </x:c>
      <x:c r="D419" s="65" t="str">
        <x:v>SF</x:v>
      </x:c>
      <x:c r="E419" s="65" t="str">
        <x:v>SF</x:v>
      </x:c>
      <x:c r="F419" s="66" t="n">
        <x:v>40</x:v>
      </x:c>
      <x:c r="G419" s="67" t="n">
        <x:v>11.1</x:v>
      </x:c>
      <x:c r="H419" s="67" t="n">
        <x:v>5.800000000000001</x:v>
      </x:c>
      <x:c r="I419" s="67" t="n">
        <x:v>12.8</x:v>
      </x:c>
      <x:c r="J419" s="67" t="n">
        <x:v>60</x:v>
      </x:c>
      <x:c r="K419" s="67" t="str">
        <x:v>DEEP</x:v>
      </x:c>
      <x:c r="L419" s="67" t="n">
        <x:v>9.3</x:v>
      </x:c>
      <x:c r="M419" s="68" t="n">
        <x:v>558</x:v>
      </x:c>
      <x:c r="N419" s="69" t="str">
        <x:v>Available</x:v>
      </x:c>
      <x:c r="O419" s="62" t="str">
        <x:v>Deep-pool model: 2025-26 custom-score production shrunk toward a conservative 2026-27 role estimate; not a published projection.</x:v>
      </x:c>
      <x:c r="P419" s="60"/>
      <x:c r="Q419" s="60"/>
      <x:c r="R419" s="60" t="n">
        <x:v>9.3</x:v>
      </x:c>
      <x:c r="S419" s="60" t="n">
        <x:v>0</x:v>
      </x:c>
      <x:c r="T419" s="72" t="str">
        <x:v>https://github.com/plourr03/wolves-front-office/blob/5d152a169188fb9b210186a7a0d3403d4081ed38/kuminga/data/roster_snapshot_2026_27_v3.csv</x:v>
      </x:c>
      <x:c r="U419" s="87" t="str">
        <x:v>VERY_DEEP</x:v>
      </x:c>
      <x:c r="V419" s="87" t="str">
        <x:v>HIGH</x:v>
      </x:c>
      <x:c r="W419" s="87" t="str">
        <x:v>MODEL</x:v>
      </x:c>
      <x:c r="X419" s="87" t="str">
        <x:v>STANDARD</x:v>
      </x:c>
      <x:c r="Y419" s="87" t="str">
        <x:v>2026-09-28 master / roster context 2026-09-03+</x:v>
      </x:c>
      <x:c r="Z419" s="72" t="str">
        <x:v>https://github.com/plourr03/wolves-front-office/blob/5d152a169188fb9b210186a7a0d3403d4081ed38/kuminga/data/roster_snapshot_2026_27_v3.csv</x:v>
      </x:c>
      <x:c r="AA419" s="72" t="str">
        <x:v>https://github.com/ballacademy/NBA-head-to-head-/blob/5b1decfc31ffb645469c7ffbd01aaca4b18181bd/data/nba-stats/nba-player-stats-202526-regular-season-per-game.csv</x:v>
      </x:c>
    </x:row>
    <x:row r="420" ht="21" customHeight="1">
      <x:c r="A420" s="64" t="n">
        <x:v>415</x:v>
      </x:c>
      <x:c r="B420" s="59" t="str">
        <x:v>Khaman Maluach</x:v>
      </x:c>
      <x:c r="C420" s="65" t="str">
        <x:v>PHX</x:v>
      </x:c>
      <x:c r="D420" s="65" t="str">
        <x:v>C</x:v>
      </x:c>
      <x:c r="E420" s="65" t="str">
        <x:v>C</x:v>
      </x:c>
      <x:c r="F420" s="66" t="n">
        <x:v>46</x:v>
      </x:c>
      <x:c r="G420" s="67" t="n">
        <x:v>9</x:v>
      </x:c>
      <x:c r="H420" s="67" t="n">
        <x:v>5.65</x:v>
      </x:c>
      <x:c r="I420" s="67" t="n">
        <x:v>12.65</x:v>
      </x:c>
      <x:c r="J420" s="67" t="n">
        <x:v>64</x:v>
      </x:c>
      <x:c r="K420" s="67" t="str">
        <x:v>DEEP</x:v>
      </x:c>
      <x:c r="L420" s="67" t="n">
        <x:v>9.15</x:v>
      </x:c>
      <x:c r="M420" s="68" t="n">
        <x:v>585.6</x:v>
      </x:c>
      <x:c r="N420" s="69" t="str">
        <x:v>Available</x:v>
      </x:c>
      <x:c r="O420" s="62" t="str">
        <x:v>Deep-pool model: 2025-26 custom-score production shrunk toward a conservative 2026-27 role estimate; not a published projection.</x:v>
      </x:c>
      <x:c r="P420" s="60"/>
      <x:c r="Q420" s="60"/>
      <x:c r="R420" s="60" t="n">
        <x:v>9.15</x:v>
      </x:c>
      <x:c r="S420" s="60" t="n">
        <x:v>0</x:v>
      </x:c>
      <x:c r="T420" s="72" t="str">
        <x:v>https://github.com/A-V29/NBA.Rosters/blob/main/2026.Summer.League.json</x:v>
      </x:c>
      <x:c r="U420" s="87" t="str">
        <x:v>VERY_DEEP</x:v>
      </x:c>
      <x:c r="V420" s="87" t="str">
        <x:v>HIGH</x:v>
      </x:c>
      <x:c r="W420" s="87" t="str">
        <x:v>MODEL</x:v>
      </x:c>
      <x:c r="X420" s="87" t="str">
        <x:v>CAMP/SUMMER</x:v>
      </x:c>
      <x:c r="Y420" s="87" t="str">
        <x:v>2026-09-28 master / roster context 2026-09-03+</x:v>
      </x:c>
      <x:c r="Z420" s="72" t="str">
        <x:v>https://github.com/A-V29/NBA.Rosters/blob/main/2026.Summer.League.json</x:v>
      </x:c>
      <x:c r="AA420" s="72" t="str">
        <x:v>https://github.com/ballacademy/NBA-head-to-head-/blob/5b1decfc31ffb645469c7ffbd01aaca4b18181bd/data/nba-stats/nba-player-stats-202526-regular-season-per-game.csv</x:v>
      </x:c>
    </x:row>
    <x:row r="421" ht="21" customHeight="1">
      <x:c r="A421" s="64" t="n">
        <x:v>416</x:v>
      </x:c>
      <x:c r="B421" s="59" t="str">
        <x:v>Henri Veesaar</x:v>
      </x:c>
      <x:c r="C421" s="65" t="str">
        <x:v>ATL</x:v>
      </x:c>
      <x:c r="D421" s="65" t="str">
        <x:v>C</x:v>
      </x:c>
      <x:c r="E421" s="65" t="str">
        <x:v>C</x:v>
      </x:c>
      <x:c r="F421" s="66"/>
      <x:c r="G421" s="67"/>
      <x:c r="H421" s="67" t="n">
        <x:v>5.519999999999999</x:v>
      </x:c>
      <x:c r="I421" s="67" t="n">
        <x:v>12.879999999999999</x:v>
      </x:c>
      <x:c r="J421" s="67" t="n">
        <x:v>60</x:v>
      </x:c>
      <x:c r="K421" s="67" t="str">
        <x:v>WATCH</x:v>
      </x:c>
      <x:c r="L421" s="67" t="n">
        <x:v>9.2</x:v>
      </x:c>
      <x:c r="M421" s="68" t="n">
        <x:v>552</x:v>
      </x:c>
      <x:c r="N421" s="69" t="str">
        <x:v>Available</x:v>
      </x:c>
      <x:c r="O421" s="62" t="str">
        <x:v>Rookie/depth role estimate with a wide band and limited NBA evidence. Treat as a watch-list projection, not a published forecast.</x:v>
      </x:c>
      <x:c r="P421" s="60"/>
      <x:c r="Q421" s="60"/>
      <x:c r="R421" s="60" t="n">
        <x:v>9.2</x:v>
      </x:c>
      <x:c r="S421" s="60" t="n">
        <x:v>0</x:v>
      </x:c>
      <x:c r="T421" s="72" t="str">
        <x:v>https://github.com/plourr03/wolves-front-office/blob/5d152a169188fb9b210186a7a0d3403d4081ed38/kuminga/data/roster_snapshot_2026_27_v3.csv</x:v>
      </x:c>
      <x:c r="U421" s="87" t="str">
        <x:v>VERY_DEEP</x:v>
      </x:c>
      <x:c r="V421" s="87" t="str">
        <x:v>LOW</x:v>
      </x:c>
      <x:c r="W421" s="87" t="str">
        <x:v>MODEL-ROOKIE</x:v>
      </x:c>
      <x:c r="X421" s="87" t="str">
        <x:v>STANDARD</x:v>
      </x:c>
      <x:c r="Y421" s="87" t="str">
        <x:v>2026-09-28 master / roster context 2026-09-03+</x:v>
      </x:c>
      <x:c r="Z421" s="72" t="str">
        <x:v>https://github.com/plourr03/wolves-front-office/blob/5d152a169188fb9b210186a7a0d3403d4081ed38/kuminga/data/roster_snapshot_2026_27_v3.csv</x:v>
      </x:c>
      <x:c r="AA421" s="72" t="str">
        <x:v>https://github.com/ballacademy/NBA-head-to-head-/blob/5b1decfc31ffb645469c7ffbd01aaca4b18181bd/data/nba-stats/nba-player-stats-202526-regular-season-per-game.csv</x:v>
      </x:c>
    </x:row>
    <x:row r="422" ht="21" customHeight="1">
      <x:c r="A422" s="64" t="n">
        <x:v>417</x:v>
      </x:c>
      <x:c r="B422" s="59" t="str">
        <x:v>Carter Bryant</x:v>
      </x:c>
      <x:c r="C422" s="65" t="str">
        <x:v>SAS</x:v>
      </x:c>
      <x:c r="D422" s="65" t="str">
        <x:v>PF</x:v>
      </x:c>
      <x:c r="E422" s="65" t="str">
        <x:v>F</x:v>
      </x:c>
      <x:c r="F422" s="66" t="n">
        <x:v>71</x:v>
      </x:c>
      <x:c r="G422" s="67" t="n">
        <x:v>8.8</x:v>
      </x:c>
      <x:c r="H422" s="67" t="n">
        <x:v>5.609999999999999</x:v>
      </x:c>
      <x:c r="I422" s="67" t="n">
        <x:v>12.61</x:v>
      </x:c>
      <x:c r="J422" s="67" t="n">
        <x:v>64</x:v>
      </x:c>
      <x:c r="K422" s="67" t="str">
        <x:v>DEEP</x:v>
      </x:c>
      <x:c r="L422" s="67" t="n">
        <x:v>9.11</x:v>
      </x:c>
      <x:c r="M422" s="68" t="n">
        <x:v>583.04</x:v>
      </x:c>
      <x:c r="N422" s="69" t="str">
        <x:v>Available</x:v>
      </x:c>
      <x:c r="O422" s="62" t="str">
        <x:v>Deep-pool model: 2025-26 custom-score production shrunk toward a conservative 2026-27 role estimate; not a published projection.</x:v>
      </x:c>
      <x:c r="P422" s="60"/>
      <x:c r="Q422" s="60"/>
      <x:c r="R422" s="60" t="n">
        <x:v>9.11</x:v>
      </x:c>
      <x:c r="S422" s="60" t="n">
        <x:v>0</x:v>
      </x:c>
      <x:c r="T422" s="72" t="str">
        <x:v>https://github.com/A-V29/NBA.Rosters/blob/main/2026.Summer.League.json</x:v>
      </x:c>
      <x:c r="U422" s="87" t="str">
        <x:v>VERY_DEEP</x:v>
      </x:c>
      <x:c r="V422" s="87" t="str">
        <x:v>HIGH</x:v>
      </x:c>
      <x:c r="W422" s="87" t="str">
        <x:v>MODEL</x:v>
      </x:c>
      <x:c r="X422" s="87" t="str">
        <x:v>CAMP/SUMMER</x:v>
      </x:c>
      <x:c r="Y422" s="87" t="str">
        <x:v>2026-09-28 master / roster context 2026-09-03+</x:v>
      </x:c>
      <x:c r="Z422" s="72" t="str">
        <x:v>https://github.com/A-V29/NBA.Rosters/blob/main/2026.Summer.League.json</x:v>
      </x:c>
      <x:c r="AA422" s="72" t="str">
        <x:v>https://github.com/ballacademy/NBA-head-to-head-/blob/5b1decfc31ffb645469c7ffbd01aaca4b18181bd/data/nba-stats/nba-player-stats-202526-regular-season-per-game.csv</x:v>
      </x:c>
    </x:row>
    <x:row r="423" ht="21" customHeight="1">
      <x:c r="A423" s="64" t="n">
        <x:v>418</x:v>
      </x:c>
      <x:c r="B423" s="59" t="str">
        <x:v>Tyrese Proctor</x:v>
      </x:c>
      <x:c r="C423" s="65" t="str">
        <x:v>CLE</x:v>
      </x:c>
      <x:c r="D423" s="65" t="str">
        <x:v>SG</x:v>
      </x:c>
      <x:c r="E423" s="65" t="str">
        <x:v>SG</x:v>
      </x:c>
      <x:c r="F423" s="66" t="n">
        <x:v>50</x:v>
      </x:c>
      <x:c r="G423" s="67" t="n">
        <x:v>9.65</x:v>
      </x:c>
      <x:c r="H423" s="67" t="n">
        <x:v>5.67</x:v>
      </x:c>
      <x:c r="I423" s="67" t="n">
        <x:v>12.67</x:v>
      </x:c>
      <x:c r="J423" s="67" t="n">
        <x:v>60</x:v>
      </x:c>
      <x:c r="K423" s="67" t="str">
        <x:v>DEEP</x:v>
      </x:c>
      <x:c r="L423" s="67" t="n">
        <x:v>9.17</x:v>
      </x:c>
      <x:c r="M423" s="68" t="n">
        <x:v>550.2</x:v>
      </x:c>
      <x:c r="N423" s="69" t="str">
        <x:v>Available</x:v>
      </x:c>
      <x:c r="O423" s="62" t="str">
        <x:v>Deep-pool model: 2025-26 custom-score production shrunk toward a conservative 2026-27 role estimate; not a published projection.</x:v>
      </x:c>
      <x:c r="P423" s="60"/>
      <x:c r="Q423" s="60"/>
      <x:c r="R423" s="60" t="n">
        <x:v>9.17</x:v>
      </x:c>
      <x:c r="S423" s="60" t="n">
        <x:v>0</x:v>
      </x:c>
      <x:c r="T423" s="72" t="str">
        <x:v>https://github.com/plourr03/wolves-front-office/blob/5d152a169188fb9b210186a7a0d3403d4081ed38/kuminga/data/roster_snapshot_2026_27_v3.csv</x:v>
      </x:c>
      <x:c r="U423" s="87" t="str">
        <x:v>VERY_DEEP</x:v>
      </x:c>
      <x:c r="V423" s="87" t="str">
        <x:v>HIGH</x:v>
      </x:c>
      <x:c r="W423" s="87" t="str">
        <x:v>MODEL</x:v>
      </x:c>
      <x:c r="X423" s="87" t="str">
        <x:v>STANDARD</x:v>
      </x:c>
      <x:c r="Y423" s="87" t="str">
        <x:v>2026-09-28 master / roster context 2026-09-03+</x:v>
      </x:c>
      <x:c r="Z423" s="72" t="str">
        <x:v>https://github.com/plourr03/wolves-front-office/blob/5d152a169188fb9b210186a7a0d3403d4081ed38/kuminga/data/roster_snapshot_2026_27_v3.csv</x:v>
      </x:c>
      <x:c r="AA423" s="72" t="str">
        <x:v>https://github.com/ballacademy/NBA-head-to-head-/blob/5b1decfc31ffb645469c7ffbd01aaca4b18181bd/data/nba-stats/nba-player-stats-202526-regular-season-per-game.csv</x:v>
      </x:c>
    </x:row>
    <x:row r="424" ht="21" customHeight="1">
      <x:c r="A424" s="64" t="n">
        <x:v>419</x:v>
      </x:c>
      <x:c r="B424" s="59" t="str">
        <x:v>Myron Gardner</x:v>
      </x:c>
      <x:c r="C424" s="65" t="str">
        <x:v>MIA</x:v>
      </x:c>
      <x:c r="D424" s="65" t="str">
        <x:v>SG</x:v>
      </x:c>
      <x:c r="E424" s="65" t="str">
        <x:v>SG</x:v>
      </x:c>
      <x:c r="F424" s="66" t="n">
        <x:v>45</x:v>
      </x:c>
      <x:c r="G424" s="67" t="n">
        <x:v>10.6</x:v>
      </x:c>
      <x:c r="H424" s="67" t="n">
        <x:v>5.57</x:v>
      </x:c>
      <x:c r="I424" s="67" t="n">
        <x:v>12.57</x:v>
      </x:c>
      <x:c r="J424" s="67" t="n">
        <x:v>64</x:v>
      </x:c>
      <x:c r="K424" s="67" t="str">
        <x:v>DEEP</x:v>
      </x:c>
      <x:c r="L424" s="67" t="n">
        <x:v>9.07</x:v>
      </x:c>
      <x:c r="M424" s="68" t="n">
        <x:v>580.48</x:v>
      </x:c>
      <x:c r="N424" s="69" t="str">
        <x:v>Available</x:v>
      </x:c>
      <x:c r="O424" s="62" t="str">
        <x:v>Deep-pool model: 2025-26 custom-score production shrunk toward a conservative 2026-27 role estimate; not a published projection.</x:v>
      </x:c>
      <x:c r="P424" s="60"/>
      <x:c r="Q424" s="60"/>
      <x:c r="R424" s="60" t="n">
        <x:v>9.07</x:v>
      </x:c>
      <x:c r="S424" s="60" t="n">
        <x:v>0</x:v>
      </x:c>
      <x:c r="T424" s="72" t="str">
        <x:v>https://github.com/A-V29/NBA.Rosters/blob/main/2026.Summer.League.json</x:v>
      </x:c>
      <x:c r="U424" s="87" t="str">
        <x:v>VERY_DEEP</x:v>
      </x:c>
      <x:c r="V424" s="87" t="str">
        <x:v>HIGH</x:v>
      </x:c>
      <x:c r="W424" s="87" t="str">
        <x:v>MODEL</x:v>
      </x:c>
      <x:c r="X424" s="87" t="str">
        <x:v>CAMP/SUMMER</x:v>
      </x:c>
      <x:c r="Y424" s="87" t="str">
        <x:v>2026-09-28 master / roster context 2026-09-03+</x:v>
      </x:c>
      <x:c r="Z424" s="72" t="str">
        <x:v>https://github.com/A-V29/NBA.Rosters/blob/main/2026.Summer.League.json</x:v>
      </x:c>
      <x:c r="AA424" s="72" t="str">
        <x:v>https://github.com/ballacademy/NBA-head-to-head-/blob/5b1decfc31ffb645469c7ffbd01aaca4b18181bd/data/nba-stats/nba-player-stats-202526-regular-season-per-game.csv</x:v>
      </x:c>
    </x:row>
    <x:row r="425" ht="21" customHeight="1">
      <x:c r="A425" s="64" t="n">
        <x:v>420</x:v>
      </x:c>
      <x:c r="B425" s="59" t="str">
        <x:v>Trayce Jackson-Davis</x:v>
      </x:c>
      <x:c r="C425" s="65" t="str">
        <x:v>TOR</x:v>
      </x:c>
      <x:c r="D425" s="65" t="str">
        <x:v>PF</x:v>
      </x:c>
      <x:c r="E425" s="65" t="str">
        <x:v>PF</x:v>
      </x:c>
      <x:c r="F425" s="66" t="n">
        <x:v>53</x:v>
      </x:c>
      <x:c r="G425" s="67" t="n">
        <x:v>10.4</x:v>
      </x:c>
      <x:c r="H425" s="67" t="n">
        <x:v>5.619999999999999</x:v>
      </x:c>
      <x:c r="I425" s="67" t="n">
        <x:v>12.62</x:v>
      </x:c>
      <x:c r="J425" s="67" t="n">
        <x:v>60</x:v>
      </x:c>
      <x:c r="K425" s="67" t="str">
        <x:v>DEEP</x:v>
      </x:c>
      <x:c r="L425" s="67" t="n">
        <x:v>9.12</x:v>
      </x:c>
      <x:c r="M425" s="68" t="n">
        <x:v>547.1999999999999</x:v>
      </x:c>
      <x:c r="N425" s="69" t="str">
        <x:v>Available</x:v>
      </x:c>
      <x:c r="O425" s="62" t="str">
        <x:v>Deep-pool model: 2025-26 custom-score production shrunk toward a conservative 2026-27 role estimate; not a published projection.</x:v>
      </x:c>
      <x:c r="P425" s="60"/>
      <x:c r="Q425" s="60"/>
      <x:c r="R425" s="60" t="n">
        <x:v>9.12</x:v>
      </x:c>
      <x:c r="S425" s="60" t="n">
        <x:v>0</x:v>
      </x:c>
      <x:c r="T425" s="72" t="str">
        <x:v>https://github.com/plourr03/wolves-front-office/blob/5d152a169188fb9b210186a7a0d3403d4081ed38/kuminga/data/roster_snapshot_2026_27_v3.csv</x:v>
      </x:c>
      <x:c r="U425" s="87" t="str">
        <x:v>VERY_DEEP</x:v>
      </x:c>
      <x:c r="V425" s="87" t="str">
        <x:v>HIGH</x:v>
      </x:c>
      <x:c r="W425" s="87" t="str">
        <x:v>MODEL</x:v>
      </x:c>
      <x:c r="X425" s="87" t="str">
        <x:v>STANDARD</x:v>
      </x:c>
      <x:c r="Y425" s="87" t="str">
        <x:v>2026-09-28 master / roster context 2026-09-03+</x:v>
      </x:c>
      <x:c r="Z425" s="72" t="str">
        <x:v>https://github.com/plourr03/wolves-front-office/blob/5d152a169188fb9b210186a7a0d3403d4081ed38/kuminga/data/roster_snapshot_2026_27_v3.csv</x:v>
      </x:c>
      <x:c r="AA425" s="72" t="str">
        <x:v>https://github.com/ballacademy/NBA-head-to-head-/blob/5b1decfc31ffb645469c7ffbd01aaca4b18181bd/data/nba-stats/nba-player-stats-202526-regular-season-per-game.csv</x:v>
      </x:c>
    </x:row>
    <x:row r="426" ht="21" customHeight="1">
      <x:c r="A426" s="64" t="n">
        <x:v>421</x:v>
      </x:c>
      <x:c r="B426" s="59" t="str">
        <x:v>Isaiah Stevens</x:v>
      </x:c>
      <x:c r="C426" s="65" t="str">
        <x:v>SAC</x:v>
      </x:c>
      <x:c r="D426" s="65" t="str">
        <x:v>PG</x:v>
      </x:c>
      <x:c r="E426" s="65" t="str">
        <x:v>PG</x:v>
      </x:c>
      <x:c r="F426" s="66" t="n">
        <x:v>3</x:v>
      </x:c>
      <x:c r="G426" s="67" t="n">
        <x:v>13.65</x:v>
      </x:c>
      <x:c r="H426" s="67" t="n">
        <x:v>5.470000000000001</x:v>
      </x:c>
      <x:c r="I426" s="67" t="n">
        <x:v>12.47</x:v>
      </x:c>
      <x:c r="J426" s="67" t="n">
        <x:v>64</x:v>
      </x:c>
      <x:c r="K426" s="67" t="str">
        <x:v>VERY_DEEP</x:v>
      </x:c>
      <x:c r="L426" s="67" t="n">
        <x:v>8.97</x:v>
      </x:c>
      <x:c r="M426" s="68" t="n">
        <x:v>574.08</x:v>
      </x:c>
      <x:c r="N426" s="69" t="str">
        <x:v>Available</x:v>
      </x:c>
      <x:c r="O426" s="62" t="str">
        <x:v>Very-deep model estimate with limited sample/role certainty. Use as a search/watch-list value and refresh once final rotations are known.</x:v>
      </x:c>
      <x:c r="P426" s="60"/>
      <x:c r="Q426" s="60"/>
      <x:c r="R426" s="60" t="n">
        <x:v>8.97</x:v>
      </x:c>
      <x:c r="S426" s="60" t="n">
        <x:v>0</x:v>
      </x:c>
      <x:c r="T426" s="72" t="str">
        <x:v>https://github.com/A-V29/NBA.Rosters/blob/main/2026.Summer.League.json</x:v>
      </x:c>
      <x:c r="U426" s="87" t="str">
        <x:v>VERY_DEEP</x:v>
      </x:c>
      <x:c r="V426" s="87" t="str">
        <x:v>MEDIUM</x:v>
      </x:c>
      <x:c r="W426" s="87" t="str">
        <x:v>MODEL</x:v>
      </x:c>
      <x:c r="X426" s="87" t="str">
        <x:v>CAMP/SUMMER</x:v>
      </x:c>
      <x:c r="Y426" s="87" t="str">
        <x:v>2026-09-28 master / roster context 2026-09-03+</x:v>
      </x:c>
      <x:c r="Z426" s="72" t="str">
        <x:v>https://github.com/A-V29/NBA.Rosters/blob/main/2026.Summer.League.json</x:v>
      </x:c>
      <x:c r="AA426" s="72" t="str">
        <x:v>https://github.com/ballacademy/NBA-head-to-head-/blob/5b1decfc31ffb645469c7ffbd01aaca4b18181bd/data/nba-stats/nba-player-stats-202526-regular-season-per-game.csv</x:v>
      </x:c>
    </x:row>
    <x:row r="427" ht="21" customHeight="1">
      <x:c r="A427" s="64" t="n">
        <x:v>422</x:v>
      </x:c>
      <x:c r="B427" s="59" t="str">
        <x:v>Zeke Nnaji</x:v>
      </x:c>
      <x:c r="C427" s="65" t="str">
        <x:v>DEN</x:v>
      </x:c>
      <x:c r="D427" s="65" t="str">
        <x:v>PF</x:v>
      </x:c>
      <x:c r="E427" s="65" t="str">
        <x:v>PF</x:v>
      </x:c>
      <x:c r="F427" s="66" t="n">
        <x:v>52</x:v>
      </x:c>
      <x:c r="G427" s="67" t="n">
        <x:v>9.55</x:v>
      </x:c>
      <x:c r="H427" s="67" t="n">
        <x:v>5.550000000000001</x:v>
      </x:c>
      <x:c r="I427" s="67" t="n">
        <x:v>12.55</x:v>
      </x:c>
      <x:c r="J427" s="67" t="n">
        <x:v>60</x:v>
      </x:c>
      <x:c r="K427" s="67" t="str">
        <x:v>DEEP</x:v>
      </x:c>
      <x:c r="L427" s="67" t="n">
        <x:v>9.05</x:v>
      </x:c>
      <x:c r="M427" s="68" t="n">
        <x:v>543</x:v>
      </x:c>
      <x:c r="N427" s="69" t="str">
        <x:v>Available</x:v>
      </x:c>
      <x:c r="O427" s="62" t="str">
        <x:v>Deep-pool model: 2025-26 custom-score production shrunk toward a conservative 2026-27 role estimate; not a published projection.</x:v>
      </x:c>
      <x:c r="P427" s="60"/>
      <x:c r="Q427" s="60"/>
      <x:c r="R427" s="60" t="n">
        <x:v>9.05</x:v>
      </x:c>
      <x:c r="S427" s="60" t="n">
        <x:v>0</x:v>
      </x:c>
      <x:c r="T427" s="72" t="str">
        <x:v>https://github.com/plourr03/wolves-front-office/blob/5d152a169188fb9b210186a7a0d3403d4081ed38/kuminga/data/roster_snapshot_2026_27_v3.csv</x:v>
      </x:c>
      <x:c r="U427" s="87" t="str">
        <x:v>VERY_DEEP</x:v>
      </x:c>
      <x:c r="V427" s="87" t="str">
        <x:v>HIGH</x:v>
      </x:c>
      <x:c r="W427" s="87" t="str">
        <x:v>MODEL</x:v>
      </x:c>
      <x:c r="X427" s="87" t="str">
        <x:v>STANDARD</x:v>
      </x:c>
      <x:c r="Y427" s="87" t="str">
        <x:v>2026-09-28 master / roster context 2026-09-03+</x:v>
      </x:c>
      <x:c r="Z427" s="72" t="str">
        <x:v>https://github.com/plourr03/wolves-front-office/blob/5d152a169188fb9b210186a7a0d3403d4081ed38/kuminga/data/roster_snapshot_2026_27_v3.csv</x:v>
      </x:c>
      <x:c r="AA427" s="72" t="str">
        <x:v>https://github.com/ballacademy/NBA-head-to-head-/blob/5b1decfc31ffb645469c7ffbd01aaca4b18181bd/data/nba-stats/nba-player-stats-202526-regular-season-per-game.csv</x:v>
      </x:c>
    </x:row>
    <x:row r="428" ht="21" customHeight="1">
      <x:c r="A428" s="64" t="n">
        <x:v>423</x:v>
      </x:c>
      <x:c r="B428" s="59" t="str">
        <x:v>Tolu Smith III</x:v>
      </x:c>
      <x:c r="C428" s="65" t="str">
        <x:v>DET</x:v>
      </x:c>
      <x:c r="D428" s="65" t="str">
        <x:v>PF</x:v>
      </x:c>
      <x:c r="E428" s="65" t="str">
        <x:v>F</x:v>
      </x:c>
      <x:c r="F428" s="66" t="n">
        <x:v>15</x:v>
      </x:c>
      <x:c r="G428" s="67" t="n">
        <x:v>11.75</x:v>
      </x:c>
      <x:c r="H428" s="67" t="n">
        <x:v>5.390000000000001</x:v>
      </x:c>
      <x:c r="I428" s="67" t="n">
        <x:v>12.39</x:v>
      </x:c>
      <x:c r="J428" s="67" t="n">
        <x:v>60</x:v>
      </x:c>
      <x:c r="K428" s="67" t="str">
        <x:v>VERY_DEEP</x:v>
      </x:c>
      <x:c r="L428" s="67" t="n">
        <x:v>8.89</x:v>
      </x:c>
      <x:c r="M428" s="68" t="n">
        <x:v>533.4000000000001</x:v>
      </x:c>
      <x:c r="N428" s="69" t="str">
        <x:v>Available</x:v>
      </x:c>
      <x:c r="O428" s="62" t="str">
        <x:v>Very-deep model estimate with limited sample/role certainty. Use as a search/watch-list value and refresh once final rotations are known.</x:v>
      </x:c>
      <x:c r="P428" s="60"/>
      <x:c r="Q428" s="60"/>
      <x:c r="R428" s="60" t="n">
        <x:v>8.89</x:v>
      </x:c>
      <x:c r="S428" s="60" t="n">
        <x:v>0</x:v>
      </x:c>
      <x:c r="T428" s="72" t="str">
        <x:v>https://github.com/plourr03/wolves-front-office/blob/5d152a169188fb9b210186a7a0d3403d4081ed38/kuminga/data/roster_snapshot_2026_27_v3.csv</x:v>
      </x:c>
      <x:c r="U428" s="87" t="str">
        <x:v>VERY_DEEP</x:v>
      </x:c>
      <x:c r="V428" s="87" t="str">
        <x:v>MEDIUM</x:v>
      </x:c>
      <x:c r="W428" s="87" t="str">
        <x:v>MODEL</x:v>
      </x:c>
      <x:c r="X428" s="87" t="str">
        <x:v>STANDARD</x:v>
      </x:c>
      <x:c r="Y428" s="87" t="str">
        <x:v>2026-09-28 master / roster context 2026-09-03+</x:v>
      </x:c>
      <x:c r="Z428" s="72" t="str">
        <x:v>https://github.com/plourr03/wolves-front-office/blob/5d152a169188fb9b210186a7a0d3403d4081ed38/kuminga/data/roster_snapshot_2026_27_v3.csv</x:v>
      </x:c>
      <x:c r="AA428" s="72" t="str">
        <x:v>https://github.com/ballacademy/NBA-head-to-head-/blob/5b1decfc31ffb645469c7ffbd01aaca4b18181bd/data/nba-stats/nba-player-stats-202526-regular-season-per-game.csv</x:v>
      </x:c>
    </x:row>
    <x:row r="429" ht="21" customHeight="1">
      <x:c r="A429" s="64" t="n">
        <x:v>424</x:v>
      </x:c>
      <x:c r="B429" s="59" t="str">
        <x:v>Micah Peavy</x:v>
      </x:c>
      <x:c r="C429" s="65" t="str">
        <x:v>NOP</x:v>
      </x:c>
      <x:c r="D429" s="65" t="str">
        <x:v>SG</x:v>
      </x:c>
      <x:c r="E429" s="65" t="str">
        <x:v>SG</x:v>
      </x:c>
      <x:c r="F429" s="66" t="n">
        <x:v>61</x:v>
      </x:c>
      <x:c r="G429" s="67" t="n">
        <x:v>9.95</x:v>
      </x:c>
      <x:c r="H429" s="67" t="n">
        <x:v>5.25</x:v>
      </x:c>
      <x:c r="I429" s="67" t="n">
        <x:v>12.25</x:v>
      </x:c>
      <x:c r="J429" s="67" t="n">
        <x:v>64</x:v>
      </x:c>
      <x:c r="K429" s="67" t="str">
        <x:v>DEEP</x:v>
      </x:c>
      <x:c r="L429" s="67" t="n">
        <x:v>8.75</x:v>
      </x:c>
      <x:c r="M429" s="68" t="n">
        <x:v>560</x:v>
      </x:c>
      <x:c r="N429" s="69" t="str">
        <x:v>Available</x:v>
      </x:c>
      <x:c r="O429" s="62" t="str">
        <x:v>Deep-pool model: 2025-26 custom-score production shrunk toward a conservative 2026-27 role estimate; not a published projection.</x:v>
      </x:c>
      <x:c r="P429" s="60"/>
      <x:c r="Q429" s="60"/>
      <x:c r="R429" s="60" t="n">
        <x:v>8.75</x:v>
      </x:c>
      <x:c r="S429" s="60" t="n">
        <x:v>0</x:v>
      </x:c>
      <x:c r="T429" s="72" t="str">
        <x:v>https://github.com/A-V29/NBA.Rosters/blob/main/2026.Summer.League.json</x:v>
      </x:c>
      <x:c r="U429" s="87" t="str">
        <x:v>VERY_DEEP</x:v>
      </x:c>
      <x:c r="V429" s="87" t="str">
        <x:v>HIGH</x:v>
      </x:c>
      <x:c r="W429" s="87" t="str">
        <x:v>MODEL</x:v>
      </x:c>
      <x:c r="X429" s="87" t="str">
        <x:v>CAMP/SUMMER</x:v>
      </x:c>
      <x:c r="Y429" s="87" t="str">
        <x:v>2026-09-28 master / roster context 2026-09-03+</x:v>
      </x:c>
      <x:c r="Z429" s="72" t="str">
        <x:v>https://github.com/A-V29/NBA.Rosters/blob/main/2026.Summer.League.json</x:v>
      </x:c>
      <x:c r="AA429" s="72" t="str">
        <x:v>https://github.com/ballacademy/NBA-head-to-head-/blob/5b1decfc31ffb645469c7ffbd01aaca4b18181bd/data/nba-stats/nba-player-stats-202526-regular-season-per-game.csv</x:v>
      </x:c>
    </x:row>
    <x:row r="430" ht="21" customHeight="1">
      <x:c r="A430" s="64" t="n">
        <x:v>425</x:v>
      </x:c>
      <x:c r="B430" s="59" t="str">
        <x:v>Tyler Kolek</x:v>
      </x:c>
      <x:c r="C430" s="65" t="str">
        <x:v>NYK</x:v>
      </x:c>
      <x:c r="D430" s="65" t="str">
        <x:v>PG</x:v>
      </x:c>
      <x:c r="E430" s="65" t="str">
        <x:v>PG</x:v>
      </x:c>
      <x:c r="F430" s="66" t="n">
        <x:v>62</x:v>
      </x:c>
      <x:c r="G430" s="67" t="n">
        <x:v>10</x:v>
      </x:c>
      <x:c r="H430" s="67" t="n">
        <x:v>5.33</x:v>
      </x:c>
      <x:c r="I430" s="67" t="n">
        <x:v>12.33</x:v>
      </x:c>
      <x:c r="J430" s="67" t="n">
        <x:v>60</x:v>
      </x:c>
      <x:c r="K430" s="67" t="str">
        <x:v>DEEP</x:v>
      </x:c>
      <x:c r="L430" s="67" t="n">
        <x:v>8.83</x:v>
      </x:c>
      <x:c r="M430" s="68" t="n">
        <x:v>529.8</x:v>
      </x:c>
      <x:c r="N430" s="69" t="str">
        <x:v>Available</x:v>
      </x:c>
      <x:c r="O430" s="62" t="str">
        <x:v>Deep-pool model: 2025-26 custom-score production shrunk toward a conservative 2026-27 role estimate; not a published projection.</x:v>
      </x:c>
      <x:c r="P430" s="60"/>
      <x:c r="Q430" s="60"/>
      <x:c r="R430" s="60" t="n">
        <x:v>8.83</x:v>
      </x:c>
      <x:c r="S430" s="60" t="n">
        <x:v>0</x:v>
      </x:c>
      <x:c r="T430" s="72" t="str">
        <x:v>https://github.com/plourr03/wolves-front-office/blob/5d152a169188fb9b210186a7a0d3403d4081ed38/kuminga/data/roster_snapshot_2026_27_v3.csv</x:v>
      </x:c>
      <x:c r="U430" s="87" t="str">
        <x:v>VERY_DEEP</x:v>
      </x:c>
      <x:c r="V430" s="87" t="str">
        <x:v>HIGH</x:v>
      </x:c>
      <x:c r="W430" s="87" t="str">
        <x:v>MODEL</x:v>
      </x:c>
      <x:c r="X430" s="87" t="str">
        <x:v>STANDARD</x:v>
      </x:c>
      <x:c r="Y430" s="87" t="str">
        <x:v>2026-09-28 master / roster context 2026-09-03+</x:v>
      </x:c>
      <x:c r="Z430" s="72" t="str">
        <x:v>https://github.com/plourr03/wolves-front-office/blob/5d152a169188fb9b210186a7a0d3403d4081ed38/kuminga/data/roster_snapshot_2026_27_v3.csv</x:v>
      </x:c>
      <x:c r="AA430" s="72" t="str">
        <x:v>https://github.com/ballacademy/NBA-head-to-head-/blob/5b1decfc31ffb645469c7ffbd01aaca4b18181bd/data/nba-stats/nba-player-stats-202526-regular-season-per-game.csv</x:v>
      </x:c>
    </x:row>
    <x:row r="431" ht="21" customHeight="1">
      <x:c r="A431" s="64" t="n">
        <x:v>426</x:v>
      </x:c>
      <x:c r="B431" s="59" t="str">
        <x:v>Jaylen Clark</x:v>
      </x:c>
      <x:c r="C431" s="65" t="str">
        <x:v>MIN</x:v>
      </x:c>
      <x:c r="D431" s="65" t="str">
        <x:v>SG</x:v>
      </x:c>
      <x:c r="E431" s="65" t="str">
        <x:v>SG</x:v>
      </x:c>
      <x:c r="F431" s="66" t="n">
        <x:v>68</x:v>
      </x:c>
      <x:c r="G431" s="67" t="n">
        <x:v>9.55</x:v>
      </x:c>
      <x:c r="H431" s="67" t="n">
        <x:v>5.130000000000001</x:v>
      </x:c>
      <x:c r="I431" s="67" t="n">
        <x:v>12.13</x:v>
      </x:c>
      <x:c r="J431" s="67" t="n">
        <x:v>60</x:v>
      </x:c>
      <x:c r="K431" s="67" t="str">
        <x:v>DEEP</x:v>
      </x:c>
      <x:c r="L431" s="67" t="n">
        <x:v>8.63</x:v>
      </x:c>
      <x:c r="M431" s="68" t="n">
        <x:v>517.8000000000001</x:v>
      </x:c>
      <x:c r="N431" s="69" t="str">
        <x:v>Available</x:v>
      </x:c>
      <x:c r="O431" s="62" t="str">
        <x:v>Deep-pool model: 2025-26 custom-score production shrunk toward a conservative 2026-27 role estimate; not a published projection.</x:v>
      </x:c>
      <x:c r="P431" s="60"/>
      <x:c r="Q431" s="60"/>
      <x:c r="R431" s="60" t="n">
        <x:v>8.63</x:v>
      </x:c>
      <x:c r="S431" s="60" t="n">
        <x:v>0</x:v>
      </x:c>
      <x:c r="T431" s="72" t="str">
        <x:v>https://github.com/plourr03/wolves-front-office/blob/5d152a169188fb9b210186a7a0d3403d4081ed38/kuminga/data/roster_snapshot_2026_27_v3.csv</x:v>
      </x:c>
      <x:c r="U431" s="87" t="str">
        <x:v>VERY_DEEP</x:v>
      </x:c>
      <x:c r="V431" s="87" t="str">
        <x:v>HIGH</x:v>
      </x:c>
      <x:c r="W431" s="87" t="str">
        <x:v>MODEL</x:v>
      </x:c>
      <x:c r="X431" s="87" t="str">
        <x:v>STANDARD</x:v>
      </x:c>
      <x:c r="Y431" s="87" t="str">
        <x:v>2026-09-28 master / roster context 2026-09-03+</x:v>
      </x:c>
      <x:c r="Z431" s="72" t="str">
        <x:v>https://github.com/plourr03/wolves-front-office/blob/5d152a169188fb9b210186a7a0d3403d4081ed38/kuminga/data/roster_snapshot_2026_27_v3.csv</x:v>
      </x:c>
      <x:c r="AA431" s="72" t="str">
        <x:v>https://github.com/ballacademy/NBA-head-to-head-/blob/5b1decfc31ffb645469c7ffbd01aaca4b18181bd/data/nba-stats/nba-player-stats-202526-regular-season-per-game.csv</x:v>
      </x:c>
    </x:row>
    <x:row r="432" ht="21" customHeight="1">
      <x:c r="A432" s="64" t="n">
        <x:v>427</x:v>
      </x:c>
      <x:c r="B432" s="59" t="str">
        <x:v>Jabari Walker</x:v>
      </x:c>
      <x:c r="C432" s="65" t="str">
        <x:v>PHI</x:v>
      </x:c>
      <x:c r="D432" s="65" t="str">
        <x:v>SF</x:v>
      </x:c>
      <x:c r="E432" s="65" t="str">
        <x:v>SF</x:v>
      </x:c>
      <x:c r="F432" s="66" t="n">
        <x:v>64</x:v>
      </x:c>
      <x:c r="G432" s="67" t="n">
        <x:v>11.25</x:v>
      </x:c>
      <x:c r="H432" s="67" t="n">
        <x:v>5.1899999999999995</x:v>
      </x:c>
      <x:c r="I432" s="67" t="n">
        <x:v>12.19</x:v>
      </x:c>
      <x:c r="J432" s="67" t="n">
        <x:v>42</x:v>
      </x:c>
      <x:c r="K432" s="67" t="str">
        <x:v>VERY_DEEP</x:v>
      </x:c>
      <x:c r="L432" s="67" t="n">
        <x:v>8.69</x:v>
      </x:c>
      <x:c r="M432" s="68" t="n">
        <x:v>364.97999999999996</x:v>
      </x:c>
      <x:c r="N432" s="69" t="str">
        <x:v>Available</x:v>
      </x:c>
      <x:c r="O432" s="62" t="str">
        <x:v>Very-deep roster candidate. Non-guaranteed status and role uncertainty are discounted; verify final roster before draft use.</x:v>
      </x:c>
      <x:c r="P432" s="60"/>
      <x:c r="Q432" s="60"/>
      <x:c r="R432" s="60" t="n">
        <x:v>8.69</x:v>
      </x:c>
      <x:c r="S432" s="60" t="n">
        <x:v>0</x:v>
      </x:c>
      <x:c r="T432" s="72" t="str">
        <x:v>https://github.com/plourr03/wolves-front-office/blob/5d152a169188fb9b210186a7a0d3403d4081ed38/kuminga/data/roster_snapshot_2026_27_v3.csv</x:v>
      </x:c>
      <x:c r="U432" s="87" t="str">
        <x:v>VERY_DEEP</x:v>
      </x:c>
      <x:c r="V432" s="87" t="str">
        <x:v>MEDIUM</x:v>
      </x:c>
      <x:c r="W432" s="87" t="str">
        <x:v>MODEL</x:v>
      </x:c>
      <x:c r="X432" s="87" t="str">
        <x:v>NON GUARANTEED</x:v>
      </x:c>
      <x:c r="Y432" s="87" t="str">
        <x:v>2026-09-28 master / roster context 2026-09-03+</x:v>
      </x:c>
      <x:c r="Z432" s="72" t="str">
        <x:v>https://github.com/plourr03/wolves-front-office/blob/5d152a169188fb9b210186a7a0d3403d4081ed38/kuminga/data/roster_snapshot_2026_27_v3.csv</x:v>
      </x:c>
      <x:c r="AA432" s="72" t="str">
        <x:v>https://github.com/ballacademy/NBA-head-to-head-/blob/5b1decfc31ffb645469c7ffbd01aaca4b18181bd/data/nba-stats/nba-player-stats-202526-regular-season-per-game.csv</x:v>
      </x:c>
    </x:row>
    <x:row r="433" ht="21" customHeight="1">
      <x:c r="A433" s="64" t="n">
        <x:v>428</x:v>
      </x:c>
      <x:c r="B433" s="59" t="str">
        <x:v>Liam McNeeley</x:v>
      </x:c>
      <x:c r="C433" s="65" t="str">
        <x:v>CHA</x:v>
      </x:c>
      <x:c r="D433" s="65" t="str">
        <x:v>SF</x:v>
      </x:c>
      <x:c r="E433" s="65" t="str">
        <x:v>SF</x:v>
      </x:c>
      <x:c r="F433" s="66" t="n">
        <x:v>31</x:v>
      </x:c>
      <x:c r="G433" s="67" t="n">
        <x:v>9.25</x:v>
      </x:c>
      <x:c r="H433" s="67" t="n">
        <x:v>5</x:v>
      </x:c>
      <x:c r="I433" s="67" t="n">
        <x:v>12</x:v>
      </x:c>
      <x:c r="J433" s="67" t="n">
        <x:v>64</x:v>
      </x:c>
      <x:c r="K433" s="67" t="str">
        <x:v>DEEP</x:v>
      </x:c>
      <x:c r="L433" s="67" t="n">
        <x:v>8.5</x:v>
      </x:c>
      <x:c r="M433" s="68" t="n">
        <x:v>544</x:v>
      </x:c>
      <x:c r="N433" s="69" t="str">
        <x:v>Available</x:v>
      </x:c>
      <x:c r="O433" s="62" t="str">
        <x:v>Deep-pool model: 2025-26 custom-score production shrunk toward a conservative 2026-27 role estimate; not a published projection.</x:v>
      </x:c>
      <x:c r="P433" s="60"/>
      <x:c r="Q433" s="60"/>
      <x:c r="R433" s="60" t="n">
        <x:v>8.5</x:v>
      </x:c>
      <x:c r="S433" s="60" t="n">
        <x:v>0</x:v>
      </x:c>
      <x:c r="T433" s="72" t="str">
        <x:v>https://github.com/A-V29/NBA.Rosters/blob/main/2026.Summer.League.json</x:v>
      </x:c>
      <x:c r="U433" s="87" t="str">
        <x:v>VERY_DEEP</x:v>
      </x:c>
      <x:c r="V433" s="87" t="str">
        <x:v>HIGH</x:v>
      </x:c>
      <x:c r="W433" s="87" t="str">
        <x:v>MODEL</x:v>
      </x:c>
      <x:c r="X433" s="87" t="str">
        <x:v>CAMP/SUMMER</x:v>
      </x:c>
      <x:c r="Y433" s="87" t="str">
        <x:v>2026-09-28 master / roster context 2026-09-03+</x:v>
      </x:c>
      <x:c r="Z433" s="72" t="str">
        <x:v>https://github.com/A-V29/NBA.Rosters/blob/main/2026.Summer.League.json</x:v>
      </x:c>
      <x:c r="AA433" s="72" t="str">
        <x:v>https://github.com/ballacademy/NBA-head-to-head-/blob/5b1decfc31ffb645469c7ffbd01aaca4b18181bd/data/nba-stats/nba-player-stats-202526-regular-season-per-game.csv</x:v>
      </x:c>
    </x:row>
    <x:row r="434" ht="21" customHeight="1">
      <x:c r="A434" s="64" t="n">
        <x:v>429</x:v>
      </x:c>
      <x:c r="B434" s="59" t="str">
        <x:v>Caleb Martin</x:v>
      </x:c>
      <x:c r="C434" s="65" t="str">
        <x:v>DAL</x:v>
      </x:c>
      <x:c r="D434" s="65" t="str">
        <x:v>SF</x:v>
      </x:c>
      <x:c r="E434" s="65" t="str">
        <x:v>SF</x:v>
      </x:c>
      <x:c r="F434" s="66" t="n">
        <x:v>58</x:v>
      </x:c>
      <x:c r="G434" s="67" t="n">
        <x:v>10.05</x:v>
      </x:c>
      <x:c r="H434" s="67" t="n">
        <x:v>5.119999999999999</x:v>
      </x:c>
      <x:c r="I434" s="67" t="n">
        <x:v>12.12</x:v>
      </x:c>
      <x:c r="J434" s="67" t="n">
        <x:v>42</x:v>
      </x:c>
      <x:c r="K434" s="67" t="str">
        <x:v>VERY_DEEP</x:v>
      </x:c>
      <x:c r="L434" s="67" t="n">
        <x:v>8.62</x:v>
      </x:c>
      <x:c r="M434" s="68" t="n">
        <x:v>362.03999999999996</x:v>
      </x:c>
      <x:c r="N434" s="69" t="str">
        <x:v>Available</x:v>
      </x:c>
      <x:c r="O434" s="62" t="str">
        <x:v>Very-deep roster candidate. Non-guaranteed status and role uncertainty are discounted; verify final roster before draft use.</x:v>
      </x:c>
      <x:c r="P434" s="60"/>
      <x:c r="Q434" s="60"/>
      <x:c r="R434" s="60" t="n">
        <x:v>8.62</x:v>
      </x:c>
      <x:c r="S434" s="60" t="n">
        <x:v>0</x:v>
      </x:c>
      <x:c r="T434" s="72" t="str">
        <x:v>https://github.com/plourr03/wolves-front-office/blob/5d152a169188fb9b210186a7a0d3403d4081ed38/kuminga/data/roster_snapshot_2026_27_v3.csv</x:v>
      </x:c>
      <x:c r="U434" s="87" t="str">
        <x:v>VERY_DEEP</x:v>
      </x:c>
      <x:c r="V434" s="87" t="str">
        <x:v>MEDIUM</x:v>
      </x:c>
      <x:c r="W434" s="87" t="str">
        <x:v>MODEL</x:v>
      </x:c>
      <x:c r="X434" s="87" t="str">
        <x:v>NON GUARANTEED</x:v>
      </x:c>
      <x:c r="Y434" s="87" t="str">
        <x:v>2026-09-28 master / roster context 2026-09-03+</x:v>
      </x:c>
      <x:c r="Z434" s="72" t="str">
        <x:v>https://github.com/plourr03/wolves-front-office/blob/5d152a169188fb9b210186a7a0d3403d4081ed38/kuminga/data/roster_snapshot_2026_27_v3.csv</x:v>
      </x:c>
      <x:c r="AA434" s="72" t="str">
        <x:v>https://github.com/ballacademy/NBA-head-to-head-/blob/5b1decfc31ffb645469c7ffbd01aaca4b18181bd/data/nba-stats/nba-player-stats-202526-regular-season-per-game.csv</x:v>
      </x:c>
    </x:row>
    <x:row r="435" ht="21" customHeight="1">
      <x:c r="A435" s="64" t="n">
        <x:v>430</x:v>
      </x:c>
      <x:c r="B435" s="59" t="str">
        <x:v>AJ Hoggard</x:v>
      </x:c>
      <x:c r="C435" s="65" t="str">
        <x:v>TOR</x:v>
      </x:c>
      <x:c r="D435" s="65" t="str">
        <x:v>PG</x:v>
      </x:c>
      <x:c r="E435" s="65" t="str">
        <x:v>G</x:v>
      </x:c>
      <x:c r="F435" s="66"/>
      <x:c r="G435" s="67"/>
      <x:c r="H435" s="67" t="n">
        <x:v>0</x:v>
      </x:c>
      <x:c r="I435" s="67" t="n">
        <x:v>3.5</x:v>
      </x:c>
      <x:c r="J435" s="67" t="n">
        <x:v>0</x:v>
      </x:c>
      <x:c r="K435" s="67" t="str">
        <x:v>WATCH</x:v>
      </x:c>
      <x:c r="L435" s="67" t="n">
        <x:v>0</x:v>
      </x:c>
      <x:c r="M435" s="68" t="n">
        <x:v>0</x:v>
      </x:c>
      <x:c r="N435" s="69" t="str">
        <x:v>Available</x:v>
      </x:c>
      <x:c r="O435" s="62" t="str">
        <x:v>Camp/summer-depth watch entry; no reliable 2026-27 fantasy projection. Verify final NBA contract, roster status and role before draft use.</x:v>
      </x:c>
      <x:c r="P435" s="60"/>
      <x:c r="Q435" s="60"/>
      <x:c r="R435" s="60"/>
      <x:c r="S435" s="60" t="n">
        <x:v>0</x:v>
      </x:c>
      <x:c r="T435" s="72" t="str">
        <x:v>https://github.com/A-V29/NBA.Rosters/blob/main/2026.Summer.League.json</x:v>
      </x:c>
      <x:c r="U435" s="87" t="str">
        <x:v>WATCH</x:v>
      </x:c>
      <x:c r="V435" s="87" t="str">
        <x:v>LOW</x:v>
      </x:c>
      <x:c r="W435" s="87" t="str">
        <x:v>NONE</x:v>
      </x:c>
      <x:c r="X435" s="87" t="str">
        <x:v>CAMP/SUMMER</x:v>
      </x:c>
      <x:c r="Y435" s="87" t="str">
        <x:v>2026-09-28 master / roster context 2026-09-03+</x:v>
      </x:c>
      <x:c r="Z435" s="72" t="str">
        <x:v>https://github.com/A-V29/NBA.Rosters/blob/main/2026.Summer.League.json</x:v>
      </x:c>
      <x:c r="AA435" s="72" t="str">
        <x:v>https://github.com/ballacademy/NBA-head-to-head-/blob/5b1decfc31ffb645469c7ffbd01aaca4b18181bd/data/nba-stats/nba-player-stats-202526-regular-season-per-game.csv</x:v>
      </x:c>
    </x:row>
    <x:row r="436" ht="21" customHeight="1">
      <x:c r="A436" s="64" t="n">
        <x:v>431</x:v>
      </x:c>
      <x:c r="B436" s="59" t="str">
        <x:v>AK Okereke</x:v>
      </x:c>
      <x:c r="C436" s="65" t="str">
        <x:v>LAL</x:v>
      </x:c>
      <x:c r="D436" s="65" t="str">
        <x:v>PF</x:v>
      </x:c>
      <x:c r="E436" s="65" t="str">
        <x:v>F</x:v>
      </x:c>
      <x:c r="F436" s="66"/>
      <x:c r="G436" s="67"/>
      <x:c r="H436" s="67" t="n">
        <x:v>0</x:v>
      </x:c>
      <x:c r="I436" s="67" t="n">
        <x:v>3.5</x:v>
      </x:c>
      <x:c r="J436" s="67" t="n">
        <x:v>0</x:v>
      </x:c>
      <x:c r="K436" s="67" t="str">
        <x:v>WATCH</x:v>
      </x:c>
      <x:c r="L436" s="67" t="n">
        <x:v>0</x:v>
      </x:c>
      <x:c r="M436" s="68" t="n">
        <x:v>0</x:v>
      </x:c>
      <x:c r="N436" s="69" t="str">
        <x:v>Available</x:v>
      </x:c>
      <x:c r="O436" s="62" t="str">
        <x:v>Camp/summer-depth watch entry; no reliable 2026-27 fantasy projection. Verify final NBA contract, roster status and role before draft use.</x:v>
      </x:c>
      <x:c r="P436" s="60"/>
      <x:c r="Q436" s="60"/>
      <x:c r="R436" s="60"/>
      <x:c r="S436" s="60" t="n">
        <x:v>0</x:v>
      </x:c>
      <x:c r="T436" s="72" t="str">
        <x:v>https://github.com/A-V29/NBA.Rosters/blob/main/2026.Summer.League.json</x:v>
      </x:c>
      <x:c r="U436" s="87" t="str">
        <x:v>WATCH</x:v>
      </x:c>
      <x:c r="V436" s="87" t="str">
        <x:v>LOW</x:v>
      </x:c>
      <x:c r="W436" s="87" t="str">
        <x:v>NONE</x:v>
      </x:c>
      <x:c r="X436" s="87" t="str">
        <x:v>CAMP/SUMMER</x:v>
      </x:c>
      <x:c r="Y436" s="87" t="str">
        <x:v>2026-09-28 master / roster context 2026-09-03+</x:v>
      </x:c>
      <x:c r="Z436" s="72" t="str">
        <x:v>https://github.com/A-V29/NBA.Rosters/blob/main/2026.Summer.League.json</x:v>
      </x:c>
      <x:c r="AA436" s="72" t="str">
        <x:v>https://github.com/ballacademy/NBA-head-to-head-/blob/5b1decfc31ffb645469c7ffbd01aaca4b18181bd/data/nba-stats/nba-player-stats-202526-regular-season-per-game.csv</x:v>
      </x:c>
    </x:row>
    <x:row r="437" ht="21" customHeight="1">
      <x:c r="A437" s="64" t="n">
        <x:v>432</x:v>
      </x:c>
      <x:c r="B437" s="59" t="str">
        <x:v>Aaron Nkrumah</x:v>
      </x:c>
      <x:c r="C437" s="65" t="str">
        <x:v>DEN</x:v>
      </x:c>
      <x:c r="D437" s="65" t="str">
        <x:v>SF</x:v>
      </x:c>
      <x:c r="E437" s="65" t="str">
        <x:v>GF</x:v>
      </x:c>
      <x:c r="F437" s="66"/>
      <x:c r="G437" s="67"/>
      <x:c r="H437" s="67" t="n">
        <x:v>0</x:v>
      </x:c>
      <x:c r="I437" s="67" t="n">
        <x:v>3.5</x:v>
      </x:c>
      <x:c r="J437" s="67" t="n">
        <x:v>0</x:v>
      </x:c>
      <x:c r="K437" s="67" t="str">
        <x:v>WATCH</x:v>
      </x:c>
      <x:c r="L437" s="67" t="n">
        <x:v>0</x:v>
      </x:c>
      <x:c r="M437" s="68" t="n">
        <x:v>0</x:v>
      </x:c>
      <x:c r="N437" s="69" t="str">
        <x:v>Available</x:v>
      </x:c>
      <x:c r="O437" s="62" t="str">
        <x:v>Camp/summer-depth watch entry; no reliable 2026-27 fantasy projection. Verify final NBA contract, roster status and role before draft use.</x:v>
      </x:c>
      <x:c r="P437" s="60"/>
      <x:c r="Q437" s="60"/>
      <x:c r="R437" s="60"/>
      <x:c r="S437" s="60" t="n">
        <x:v>0</x:v>
      </x:c>
      <x:c r="T437" s="72" t="str">
        <x:v>https://github.com/A-V29/NBA.Rosters/blob/main/2026.Summer.League.json</x:v>
      </x:c>
      <x:c r="U437" s="87" t="str">
        <x:v>WATCH</x:v>
      </x:c>
      <x:c r="V437" s="87" t="str">
        <x:v>LOW</x:v>
      </x:c>
      <x:c r="W437" s="87" t="str">
        <x:v>NONE</x:v>
      </x:c>
      <x:c r="X437" s="87" t="str">
        <x:v>CAMP/SUMMER</x:v>
      </x:c>
      <x:c r="Y437" s="87" t="str">
        <x:v>2026-09-28 master / roster context 2026-09-03+</x:v>
      </x:c>
      <x:c r="Z437" s="72" t="str">
        <x:v>https://github.com/A-V29/NBA.Rosters/blob/main/2026.Summer.League.json</x:v>
      </x:c>
      <x:c r="AA437" s="72" t="str">
        <x:v>https://github.com/ballacademy/NBA-head-to-head-/blob/5b1decfc31ffb645469c7ffbd01aaca4b18181bd/data/nba-stats/nba-player-stats-202526-regular-season-per-game.csv</x:v>
      </x:c>
    </x:row>
    <x:row r="438" ht="21" customHeight="1">
      <x:c r="A438" s="64" t="n">
        <x:v>433</x:v>
      </x:c>
      <x:c r="B438" s="59" t="str">
        <x:v>Aaron Scott</x:v>
      </x:c>
      <x:c r="C438" s="65" t="str">
        <x:v>BKN</x:v>
      </x:c>
      <x:c r="D438" s="65" t="str">
        <x:v>SF</x:v>
      </x:c>
      <x:c r="E438" s="65" t="str">
        <x:v>GF</x:v>
      </x:c>
      <x:c r="F438" s="66"/>
      <x:c r="G438" s="67"/>
      <x:c r="H438" s="67" t="n">
        <x:v>0</x:v>
      </x:c>
      <x:c r="I438" s="67" t="n">
        <x:v>3.5</x:v>
      </x:c>
      <x:c r="J438" s="67" t="n">
        <x:v>0</x:v>
      </x:c>
      <x:c r="K438" s="67" t="str">
        <x:v>WATCH</x:v>
      </x:c>
      <x:c r="L438" s="67" t="n">
        <x:v>0</x:v>
      </x:c>
      <x:c r="M438" s="68" t="n">
        <x:v>0</x:v>
      </x:c>
      <x:c r="N438" s="69" t="str">
        <x:v>Available</x:v>
      </x:c>
      <x:c r="O438" s="62" t="str">
        <x:v>Camp/summer-depth watch entry; no reliable 2026-27 fantasy projection. Verify final NBA contract, roster status and role before draft use.</x:v>
      </x:c>
      <x:c r="P438" s="60"/>
      <x:c r="Q438" s="60"/>
      <x:c r="R438" s="60"/>
      <x:c r="S438" s="60" t="n">
        <x:v>0</x:v>
      </x:c>
      <x:c r="T438" s="72" t="str">
        <x:v>https://github.com/A-V29/NBA.Rosters/blob/main/2026.Summer.League.json</x:v>
      </x:c>
      <x:c r="U438" s="87" t="str">
        <x:v>WATCH</x:v>
      </x:c>
      <x:c r="V438" s="87" t="str">
        <x:v>LOW</x:v>
      </x:c>
      <x:c r="W438" s="87" t="str">
        <x:v>NONE</x:v>
      </x:c>
      <x:c r="X438" s="87" t="str">
        <x:v>CAMP/SUMMER</x:v>
      </x:c>
      <x:c r="Y438" s="87" t="str">
        <x:v>2026-09-28 master / roster context 2026-09-03+</x:v>
      </x:c>
      <x:c r="Z438" s="72" t="str">
        <x:v>https://github.com/A-V29/NBA.Rosters/blob/main/2026.Summer.League.json</x:v>
      </x:c>
      <x:c r="AA438" s="72" t="str">
        <x:v>https://github.com/ballacademy/NBA-head-to-head-/blob/5b1decfc31ffb645469c7ffbd01aaca4b18181bd/data/nba-stats/nba-player-stats-202526-regular-season-per-game.csv</x:v>
      </x:c>
    </x:row>
    <x:row r="439" ht="21" customHeight="1">
      <x:c r="A439" s="64" t="n">
        <x:v>434</x:v>
      </x:c>
      <x:c r="B439" s="59" t="str">
        <x:v>Aaron Williams</x:v>
      </x:c>
      <x:c r="C439" s="65" t="str">
        <x:v>MIL</x:v>
      </x:c>
      <x:c r="D439" s="65" t="str">
        <x:v>PF</x:v>
      </x:c>
      <x:c r="E439" s="65" t="str">
        <x:v>F</x:v>
      </x:c>
      <x:c r="F439" s="66"/>
      <x:c r="G439" s="67"/>
      <x:c r="H439" s="67" t="n">
        <x:v>0</x:v>
      </x:c>
      <x:c r="I439" s="67" t="n">
        <x:v>3.5</x:v>
      </x:c>
      <x:c r="J439" s="67" t="n">
        <x:v>0</x:v>
      </x:c>
      <x:c r="K439" s="67" t="str">
        <x:v>WATCH</x:v>
      </x:c>
      <x:c r="L439" s="67" t="n">
        <x:v>0</x:v>
      </x:c>
      <x:c r="M439" s="68" t="n">
        <x:v>0</x:v>
      </x:c>
      <x:c r="N439" s="69" t="str">
        <x:v>Available</x:v>
      </x:c>
      <x:c r="O439" s="62" t="str">
        <x:v>Camp/summer-depth watch entry; no reliable 2026-27 fantasy projection. Verify final NBA contract, roster status and role before draft use.</x:v>
      </x:c>
      <x:c r="P439" s="60"/>
      <x:c r="Q439" s="60"/>
      <x:c r="R439" s="60"/>
      <x:c r="S439" s="60" t="n">
        <x:v>0</x:v>
      </x:c>
      <x:c r="T439" s="72" t="str">
        <x:v>https://github.com/A-V29/NBA.Rosters/blob/main/2026.Summer.League.json</x:v>
      </x:c>
      <x:c r="U439" s="87" t="str">
        <x:v>WATCH</x:v>
      </x:c>
      <x:c r="V439" s="87" t="str">
        <x:v>LOW</x:v>
      </x:c>
      <x:c r="W439" s="87" t="str">
        <x:v>NONE</x:v>
      </x:c>
      <x:c r="X439" s="87" t="str">
        <x:v>CAMP/SUMMER</x:v>
      </x:c>
      <x:c r="Y439" s="87" t="str">
        <x:v>2026-09-28 master / roster context 2026-09-03+</x:v>
      </x:c>
      <x:c r="Z439" s="72" t="str">
        <x:v>https://github.com/A-V29/NBA.Rosters/blob/main/2026.Summer.League.json</x:v>
      </x:c>
      <x:c r="AA439" s="72" t="str">
        <x:v>https://github.com/ballacademy/NBA-head-to-head-/blob/5b1decfc31ffb645469c7ffbd01aaca4b18181bd/data/nba-stats/nba-player-stats-202526-regular-season-per-game.csv</x:v>
      </x:c>
    </x:row>
    <x:row r="440" ht="21" customHeight="1">
      <x:c r="A440" s="64" t="n">
        <x:v>435</x:v>
      </x:c>
      <x:c r="B440" s="59" t="str">
        <x:v>Aidan Mahaney</x:v>
      </x:c>
      <x:c r="C440" s="65" t="str">
        <x:v>MIN</x:v>
      </x:c>
      <x:c r="D440" s="65" t="str">
        <x:v>PG</x:v>
      </x:c>
      <x:c r="E440" s="65" t="str">
        <x:v>G</x:v>
      </x:c>
      <x:c r="F440" s="66"/>
      <x:c r="G440" s="67"/>
      <x:c r="H440" s="67" t="n">
        <x:v>0</x:v>
      </x:c>
      <x:c r="I440" s="67" t="n">
        <x:v>3.5</x:v>
      </x:c>
      <x:c r="J440" s="67" t="n">
        <x:v>0</x:v>
      </x:c>
      <x:c r="K440" s="67" t="str">
        <x:v>WATCH</x:v>
      </x:c>
      <x:c r="L440" s="67" t="n">
        <x:v>0</x:v>
      </x:c>
      <x:c r="M440" s="68" t="n">
        <x:v>0</x:v>
      </x:c>
      <x:c r="N440" s="69" t="str">
        <x:v>Available</x:v>
      </x:c>
      <x:c r="O440" s="62" t="str">
        <x:v>Camp/summer-depth watch entry; no reliable 2026-27 fantasy projection. Verify final NBA contract, roster status and role before draft use.</x:v>
      </x:c>
      <x:c r="P440" s="60"/>
      <x:c r="Q440" s="60"/>
      <x:c r="R440" s="60"/>
      <x:c r="S440" s="60" t="n">
        <x:v>0</x:v>
      </x:c>
      <x:c r="T440" s="72" t="str">
        <x:v>https://github.com/A-V29/NBA.Rosters/blob/main/2026.Summer.League.json</x:v>
      </x:c>
      <x:c r="U440" s="87" t="str">
        <x:v>WATCH</x:v>
      </x:c>
      <x:c r="V440" s="87" t="str">
        <x:v>LOW</x:v>
      </x:c>
      <x:c r="W440" s="87" t="str">
        <x:v>NONE</x:v>
      </x:c>
      <x:c r="X440" s="87" t="str">
        <x:v>CAMP/SUMMER</x:v>
      </x:c>
      <x:c r="Y440" s="87" t="str">
        <x:v>2026-09-28 master / roster context 2026-09-03+</x:v>
      </x:c>
      <x:c r="Z440" s="72" t="str">
        <x:v>https://github.com/A-V29/NBA.Rosters/blob/main/2026.Summer.League.json</x:v>
      </x:c>
      <x:c r="AA440" s="72" t="str">
        <x:v>https://github.com/ballacademy/NBA-head-to-head-/blob/5b1decfc31ffb645469c7ffbd01aaca4b18181bd/data/nba-stats/nba-player-stats-202526-regular-season-per-game.csv</x:v>
      </x:c>
    </x:row>
    <x:row r="441" ht="21" customHeight="1">
      <x:c r="A441" s="64" t="n">
        <x:v>436</x:v>
      </x:c>
      <x:c r="B441" s="59" t="str">
        <x:v>Akoi Yuot</x:v>
      </x:c>
      <x:c r="C441" s="65" t="str">
        <x:v>NYK</x:v>
      </x:c>
      <x:c r="D441" s="65" t="str">
        <x:v>PF</x:v>
      </x:c>
      <x:c r="E441" s="65" t="str">
        <x:v>F</x:v>
      </x:c>
      <x:c r="F441" s="66"/>
      <x:c r="G441" s="67"/>
      <x:c r="H441" s="67" t="n">
        <x:v>0</x:v>
      </x:c>
      <x:c r="I441" s="67" t="n">
        <x:v>3.5</x:v>
      </x:c>
      <x:c r="J441" s="67" t="n">
        <x:v>0</x:v>
      </x:c>
      <x:c r="K441" s="67" t="str">
        <x:v>WATCH</x:v>
      </x:c>
      <x:c r="L441" s="67" t="n">
        <x:v>0</x:v>
      </x:c>
      <x:c r="M441" s="68" t="n">
        <x:v>0</x:v>
      </x:c>
      <x:c r="N441" s="69" t="str">
        <x:v>Available</x:v>
      </x:c>
      <x:c r="O441" s="62" t="str">
        <x:v>Camp/summer-depth watch entry; no reliable 2026-27 fantasy projection. Verify final NBA contract, roster status and role before draft use.</x:v>
      </x:c>
      <x:c r="P441" s="60"/>
      <x:c r="Q441" s="60"/>
      <x:c r="R441" s="60"/>
      <x:c r="S441" s="60" t="n">
        <x:v>0</x:v>
      </x:c>
      <x:c r="T441" s="72" t="str">
        <x:v>https://github.com/A-V29/NBA.Rosters/blob/main/2026.Summer.League.json</x:v>
      </x:c>
      <x:c r="U441" s="87" t="str">
        <x:v>WATCH</x:v>
      </x:c>
      <x:c r="V441" s="87" t="str">
        <x:v>LOW</x:v>
      </x:c>
      <x:c r="W441" s="87" t="str">
        <x:v>NONE</x:v>
      </x:c>
      <x:c r="X441" s="87" t="str">
        <x:v>CAMP/SUMMER</x:v>
      </x:c>
      <x:c r="Y441" s="87" t="str">
        <x:v>2026-09-28 master / roster context 2026-09-03+</x:v>
      </x:c>
      <x:c r="Z441" s="72" t="str">
        <x:v>https://github.com/A-V29/NBA.Rosters/blob/main/2026.Summer.League.json</x:v>
      </x:c>
      <x:c r="AA441" s="72" t="str">
        <x:v>https://github.com/ballacademy/NBA-head-to-head-/blob/5b1decfc31ffb645469c7ffbd01aaca4b18181bd/data/nba-stats/nba-player-stats-202526-regular-season-per-game.csv</x:v>
      </x:c>
    </x:row>
    <x:row r="442" ht="21" customHeight="1">
      <x:c r="A442" s="64" t="n">
        <x:v>437</x:v>
      </x:c>
      <x:c r="B442" s="59" t="str">
        <x:v>Alex Reese</x:v>
      </x:c>
      <x:c r="C442" s="65" t="str">
        <x:v>IND</x:v>
      </x:c>
      <x:c r="D442" s="65" t="str">
        <x:v>C</x:v>
      </x:c>
      <x:c r="E442" s="65" t="str">
        <x:v>FC</x:v>
      </x:c>
      <x:c r="F442" s="66"/>
      <x:c r="G442" s="67"/>
      <x:c r="H442" s="67" t="n">
        <x:v>0</x:v>
      </x:c>
      <x:c r="I442" s="67" t="n">
        <x:v>3.5</x:v>
      </x:c>
      <x:c r="J442" s="67" t="n">
        <x:v>0</x:v>
      </x:c>
      <x:c r="K442" s="67" t="str">
        <x:v>WATCH</x:v>
      </x:c>
      <x:c r="L442" s="67" t="n">
        <x:v>0</x:v>
      </x:c>
      <x:c r="M442" s="68" t="n">
        <x:v>0</x:v>
      </x:c>
      <x:c r="N442" s="69" t="str">
        <x:v>Available</x:v>
      </x:c>
      <x:c r="O442" s="62" t="str">
        <x:v>Camp/summer-depth watch entry; no reliable 2026-27 fantasy projection. Verify final NBA contract, roster status and role before draft use.</x:v>
      </x:c>
      <x:c r="P442" s="60"/>
      <x:c r="Q442" s="60"/>
      <x:c r="R442" s="60"/>
      <x:c r="S442" s="60" t="n">
        <x:v>0</x:v>
      </x:c>
      <x:c r="T442" s="72" t="str">
        <x:v>https://github.com/A-V29/NBA.Rosters/blob/main/2026.Summer.League.json</x:v>
      </x:c>
      <x:c r="U442" s="87" t="str">
        <x:v>WATCH</x:v>
      </x:c>
      <x:c r="V442" s="87" t="str">
        <x:v>LOW</x:v>
      </x:c>
      <x:c r="W442" s="87" t="str">
        <x:v>NONE</x:v>
      </x:c>
      <x:c r="X442" s="87" t="str">
        <x:v>CAMP/SUMMER</x:v>
      </x:c>
      <x:c r="Y442" s="87" t="str">
        <x:v>2026-09-28 master / roster context 2026-09-03+</x:v>
      </x:c>
      <x:c r="Z442" s="72" t="str">
        <x:v>https://github.com/A-V29/NBA.Rosters/blob/main/2026.Summer.League.json</x:v>
      </x:c>
      <x:c r="AA442" s="72" t="str">
        <x:v>https://github.com/ballacademy/NBA-head-to-head-/blob/5b1decfc31ffb645469c7ffbd01aaca4b18181bd/data/nba-stats/nba-player-stats-202526-regular-season-per-game.csv</x:v>
      </x:c>
    </x:row>
    <x:row r="443" ht="21" customHeight="1">
      <x:c r="A443" s="64" t="n">
        <x:v>438</x:v>
      </x:c>
      <x:c r="B443" s="59" t="str">
        <x:v>Alex Toohey</x:v>
      </x:c>
      <x:c r="C443" s="65" t="str">
        <x:v>GSW</x:v>
      </x:c>
      <x:c r="D443" s="65" t="str">
        <x:v>SF</x:v>
      </x:c>
      <x:c r="E443" s="65" t="str">
        <x:v>SF</x:v>
      </x:c>
      <x:c r="F443" s="66"/>
      <x:c r="G443" s="67"/>
      <x:c r="H443" s="67" t="n">
        <x:v>0</x:v>
      </x:c>
      <x:c r="I443" s="67" t="n">
        <x:v>3.5</x:v>
      </x:c>
      <x:c r="J443" s="67" t="n">
        <x:v>0</x:v>
      </x:c>
      <x:c r="K443" s="67" t="str">
        <x:v>WATCH</x:v>
      </x:c>
      <x:c r="L443" s="67" t="n">
        <x:v>0</x:v>
      </x:c>
      <x:c r="M443" s="68" t="n">
        <x:v>0</x:v>
      </x:c>
      <x:c r="N443" s="69" t="str">
        <x:v>Available</x:v>
      </x:c>
      <x:c r="O443" s="62" t="str">
        <x:v>Camp/summer-depth watch entry; no reliable 2026-27 fantasy projection. Verify final NBA contract, roster status and role before draft use.</x:v>
      </x:c>
      <x:c r="P443" s="60"/>
      <x:c r="Q443" s="60"/>
      <x:c r="R443" s="60"/>
      <x:c r="S443" s="60" t="n">
        <x:v>0</x:v>
      </x:c>
      <x:c r="T443" s="72" t="str">
        <x:v>https://github.com/A-V29/NBA.Rosters/blob/main/2026.Summer.League.json</x:v>
      </x:c>
      <x:c r="U443" s="87" t="str">
        <x:v>WATCH</x:v>
      </x:c>
      <x:c r="V443" s="87" t="str">
        <x:v>LOW</x:v>
      </x:c>
      <x:c r="W443" s="87" t="str">
        <x:v>NONE</x:v>
      </x:c>
      <x:c r="X443" s="87" t="str">
        <x:v>CAMP/SUMMER</x:v>
      </x:c>
      <x:c r="Y443" s="87" t="str">
        <x:v>2026-09-28 master / roster context 2026-09-03+</x:v>
      </x:c>
      <x:c r="Z443" s="72" t="str">
        <x:v>https://github.com/A-V29/NBA.Rosters/blob/main/2026.Summer.League.json</x:v>
      </x:c>
      <x:c r="AA443" s="72" t="str">
        <x:v>https://github.com/ballacademy/NBA-head-to-head-/blob/5b1decfc31ffb645469c7ffbd01aaca4b18181bd/data/nba-stats/nba-player-stats-202526-regular-season-per-game.csv</x:v>
      </x:c>
    </x:row>
    <x:row r="444" ht="21" customHeight="1">
      <x:c r="A444" s="64" t="n">
        <x:v>439</x:v>
      </x:c>
      <x:c r="B444" s="59" t="str">
        <x:v>Aliou Diarra</x:v>
      </x:c>
      <x:c r="C444" s="65" t="str">
        <x:v>POR</x:v>
      </x:c>
      <x:c r="D444" s="65" t="str">
        <x:v>C</x:v>
      </x:c>
      <x:c r="E444" s="65" t="str">
        <x:v>FC</x:v>
      </x:c>
      <x:c r="F444" s="66"/>
      <x:c r="G444" s="67"/>
      <x:c r="H444" s="67" t="n">
        <x:v>0</x:v>
      </x:c>
      <x:c r="I444" s="67" t="n">
        <x:v>3.5</x:v>
      </x:c>
      <x:c r="J444" s="67" t="n">
        <x:v>0</x:v>
      </x:c>
      <x:c r="K444" s="67" t="str">
        <x:v>WATCH</x:v>
      </x:c>
      <x:c r="L444" s="67" t="n">
        <x:v>0</x:v>
      </x:c>
      <x:c r="M444" s="68" t="n">
        <x:v>0</x:v>
      </x:c>
      <x:c r="N444" s="69" t="str">
        <x:v>Available</x:v>
      </x:c>
      <x:c r="O444" s="62" t="str">
        <x:v>Camp/summer-depth watch entry; no reliable 2026-27 fantasy projection. Verify final NBA contract, roster status and role before draft use.</x:v>
      </x:c>
      <x:c r="P444" s="60"/>
      <x:c r="Q444" s="60"/>
      <x:c r="R444" s="60"/>
      <x:c r="S444" s="60" t="n">
        <x:v>0</x:v>
      </x:c>
      <x:c r="T444" s="72" t="str">
        <x:v>https://github.com/A-V29/NBA.Rosters/blob/main/2026.Summer.League.json</x:v>
      </x:c>
      <x:c r="U444" s="87" t="str">
        <x:v>WATCH</x:v>
      </x:c>
      <x:c r="V444" s="87" t="str">
        <x:v>LOW</x:v>
      </x:c>
      <x:c r="W444" s="87" t="str">
        <x:v>NONE</x:v>
      </x:c>
      <x:c r="X444" s="87" t="str">
        <x:v>CAMP/SUMMER</x:v>
      </x:c>
      <x:c r="Y444" s="87" t="str">
        <x:v>2026-09-28 master / roster context 2026-09-03+</x:v>
      </x:c>
      <x:c r="Z444" s="72" t="str">
        <x:v>https://github.com/A-V29/NBA.Rosters/blob/main/2026.Summer.League.json</x:v>
      </x:c>
      <x:c r="AA444" s="72" t="str">
        <x:v>https://github.com/ballacademy/NBA-head-to-head-/blob/5b1decfc31ffb645469c7ffbd01aaca4b18181bd/data/nba-stats/nba-player-stats-202526-regular-season-per-game.csv</x:v>
      </x:c>
    </x:row>
    <x:row r="445" ht="21" customHeight="1">
      <x:c r="A445" s="64" t="n">
        <x:v>440</x:v>
      </x:c>
      <x:c r="B445" s="59" t="str">
        <x:v>Amani Lyles</x:v>
      </x:c>
      <x:c r="C445" s="65" t="str">
        <x:v>PHI</x:v>
      </x:c>
      <x:c r="D445" s="65" t="str">
        <x:v>PF</x:v>
      </x:c>
      <x:c r="E445" s="65" t="str">
        <x:v>F</x:v>
      </x:c>
      <x:c r="F445" s="66"/>
      <x:c r="G445" s="67"/>
      <x:c r="H445" s="67" t="n">
        <x:v>0</x:v>
      </x:c>
      <x:c r="I445" s="67" t="n">
        <x:v>3.5</x:v>
      </x:c>
      <x:c r="J445" s="67" t="n">
        <x:v>0</x:v>
      </x:c>
      <x:c r="K445" s="67" t="str">
        <x:v>WATCH</x:v>
      </x:c>
      <x:c r="L445" s="67" t="n">
        <x:v>0</x:v>
      </x:c>
      <x:c r="M445" s="68" t="n">
        <x:v>0</x:v>
      </x:c>
      <x:c r="N445" s="69" t="str">
        <x:v>Available</x:v>
      </x:c>
      <x:c r="O445" s="62" t="str">
        <x:v>Camp/summer-depth watch entry; no reliable 2026-27 fantasy projection. Verify final NBA contract, roster status and role before draft use.</x:v>
      </x:c>
      <x:c r="P445" s="60"/>
      <x:c r="Q445" s="60"/>
      <x:c r="R445" s="60"/>
      <x:c r="S445" s="60" t="n">
        <x:v>0</x:v>
      </x:c>
      <x:c r="T445" s="72" t="str">
        <x:v>https://github.com/A-V29/NBA.Rosters/blob/main/2026.Summer.League.json</x:v>
      </x:c>
      <x:c r="U445" s="87" t="str">
        <x:v>WATCH</x:v>
      </x:c>
      <x:c r="V445" s="87" t="str">
        <x:v>LOW</x:v>
      </x:c>
      <x:c r="W445" s="87" t="str">
        <x:v>NONE</x:v>
      </x:c>
      <x:c r="X445" s="87" t="str">
        <x:v>CAMP/SUMMER</x:v>
      </x:c>
      <x:c r="Y445" s="87" t="str">
        <x:v>2026-09-28 master / roster context 2026-09-03+</x:v>
      </x:c>
      <x:c r="Z445" s="72" t="str">
        <x:v>https://github.com/A-V29/NBA.Rosters/blob/main/2026.Summer.League.json</x:v>
      </x:c>
      <x:c r="AA445" s="72" t="str">
        <x:v>https://github.com/ballacademy/NBA-head-to-head-/blob/5b1decfc31ffb645469c7ffbd01aaca4b18181bd/data/nba-stats/nba-player-stats-202526-regular-season-per-game.csv</x:v>
      </x:c>
    </x:row>
    <x:row r="446" ht="21" customHeight="1">
      <x:c r="A446" s="64" t="n">
        <x:v>441</x:v>
      </x:c>
      <x:c r="B446" s="59" t="str">
        <x:v>Andrew Carr</x:v>
      </x:c>
      <x:c r="C446" s="65" t="str">
        <x:v>POR</x:v>
      </x:c>
      <x:c r="D446" s="65" t="str">
        <x:v>C</x:v>
      </x:c>
      <x:c r="E446" s="65" t="str">
        <x:v>FC</x:v>
      </x:c>
      <x:c r="F446" s="66"/>
      <x:c r="G446" s="67"/>
      <x:c r="H446" s="67" t="n">
        <x:v>0</x:v>
      </x:c>
      <x:c r="I446" s="67" t="n">
        <x:v>3.5</x:v>
      </x:c>
      <x:c r="J446" s="67" t="n">
        <x:v>0</x:v>
      </x:c>
      <x:c r="K446" s="67" t="str">
        <x:v>WATCH</x:v>
      </x:c>
      <x:c r="L446" s="67" t="n">
        <x:v>0</x:v>
      </x:c>
      <x:c r="M446" s="68" t="n">
        <x:v>0</x:v>
      </x:c>
      <x:c r="N446" s="69" t="str">
        <x:v>Available</x:v>
      </x:c>
      <x:c r="O446" s="62" t="str">
        <x:v>Camp/summer-depth watch entry; no reliable 2026-27 fantasy projection. Verify final NBA contract, roster status and role before draft use.</x:v>
      </x:c>
      <x:c r="P446" s="60"/>
      <x:c r="Q446" s="60"/>
      <x:c r="R446" s="60"/>
      <x:c r="S446" s="60" t="n">
        <x:v>0</x:v>
      </x:c>
      <x:c r="T446" s="72" t="str">
        <x:v>https://github.com/A-V29/NBA.Rosters/blob/main/2026.Summer.League.json</x:v>
      </x:c>
      <x:c r="U446" s="87" t="str">
        <x:v>WATCH</x:v>
      </x:c>
      <x:c r="V446" s="87" t="str">
        <x:v>LOW</x:v>
      </x:c>
      <x:c r="W446" s="87" t="str">
        <x:v>NONE</x:v>
      </x:c>
      <x:c r="X446" s="87" t="str">
        <x:v>CAMP/SUMMER</x:v>
      </x:c>
      <x:c r="Y446" s="87" t="str">
        <x:v>2026-09-28 master / roster context 2026-09-03+</x:v>
      </x:c>
      <x:c r="Z446" s="72" t="str">
        <x:v>https://github.com/A-V29/NBA.Rosters/blob/main/2026.Summer.League.json</x:v>
      </x:c>
      <x:c r="AA446" s="72" t="str">
        <x:v>https://github.com/ballacademy/NBA-head-to-head-/blob/5b1decfc31ffb645469c7ffbd01aaca4b18181bd/data/nba-stats/nba-player-stats-202526-regular-season-per-game.csv</x:v>
      </x:c>
    </x:row>
    <x:row r="447" ht="21" customHeight="1">
      <x:c r="A447" s="64" t="n">
        <x:v>442</x:v>
      </x:c>
      <x:c r="B447" s="59" t="str">
        <x:v>Andrew Holifield</x:v>
      </x:c>
      <x:c r="C447" s="65" t="str">
        <x:v>OKC</x:v>
      </x:c>
      <x:c r="D447" s="65" t="str">
        <x:v>PF</x:v>
      </x:c>
      <x:c r="E447" s="65" t="str">
        <x:v>F</x:v>
      </x:c>
      <x:c r="F447" s="66"/>
      <x:c r="G447" s="67"/>
      <x:c r="H447" s="67" t="n">
        <x:v>0</x:v>
      </x:c>
      <x:c r="I447" s="67" t="n">
        <x:v>3.5</x:v>
      </x:c>
      <x:c r="J447" s="67" t="n">
        <x:v>0</x:v>
      </x:c>
      <x:c r="K447" s="67" t="str">
        <x:v>WATCH</x:v>
      </x:c>
      <x:c r="L447" s="67" t="n">
        <x:v>0</x:v>
      </x:c>
      <x:c r="M447" s="68" t="n">
        <x:v>0</x:v>
      </x:c>
      <x:c r="N447" s="69" t="str">
        <x:v>Available</x:v>
      </x:c>
      <x:c r="O447" s="62" t="str">
        <x:v>Camp/summer-depth watch entry; no reliable 2026-27 fantasy projection. Verify final NBA contract, roster status and role before draft use.</x:v>
      </x:c>
      <x:c r="P447" s="60"/>
      <x:c r="Q447" s="60"/>
      <x:c r="R447" s="60"/>
      <x:c r="S447" s="60" t="n">
        <x:v>0</x:v>
      </x:c>
      <x:c r="T447" s="72" t="str">
        <x:v>https://github.com/A-V29/NBA.Rosters/blob/main/2026.Summer.League.json</x:v>
      </x:c>
      <x:c r="U447" s="87" t="str">
        <x:v>WATCH</x:v>
      </x:c>
      <x:c r="V447" s="87" t="str">
        <x:v>LOW</x:v>
      </x:c>
      <x:c r="W447" s="87" t="str">
        <x:v>NONE</x:v>
      </x:c>
      <x:c r="X447" s="87" t="str">
        <x:v>CAMP/SUMMER</x:v>
      </x:c>
      <x:c r="Y447" s="87" t="str">
        <x:v>2026-09-28 master / roster context 2026-09-03+</x:v>
      </x:c>
      <x:c r="Z447" s="72" t="str">
        <x:v>https://github.com/A-V29/NBA.Rosters/blob/main/2026.Summer.League.json</x:v>
      </x:c>
      <x:c r="AA447" s="72" t="str">
        <x:v>https://github.com/ballacademy/NBA-head-to-head-/blob/5b1decfc31ffb645469c7ffbd01aaca4b18181bd/data/nba-stats/nba-player-stats-202526-regular-season-per-game.csv</x:v>
      </x:c>
    </x:row>
    <x:row r="448" ht="21" customHeight="1">
      <x:c r="A448" s="64" t="n">
        <x:v>443</x:v>
      </x:c>
      <x:c r="B448" s="59" t="str">
        <x:v>Anthony Dell'Orso</x:v>
      </x:c>
      <x:c r="C448" s="65" t="str">
        <x:v>SAC</x:v>
      </x:c>
      <x:c r="D448" s="65" t="str">
        <x:v>PG</x:v>
      </x:c>
      <x:c r="E448" s="65" t="str">
        <x:v>G</x:v>
      </x:c>
      <x:c r="F448" s="66"/>
      <x:c r="G448" s="67"/>
      <x:c r="H448" s="67" t="n">
        <x:v>0</x:v>
      </x:c>
      <x:c r="I448" s="67" t="n">
        <x:v>3.5</x:v>
      </x:c>
      <x:c r="J448" s="67" t="n">
        <x:v>0</x:v>
      </x:c>
      <x:c r="K448" s="67" t="str">
        <x:v>WATCH</x:v>
      </x:c>
      <x:c r="L448" s="67" t="n">
        <x:v>0</x:v>
      </x:c>
      <x:c r="M448" s="68" t="n">
        <x:v>0</x:v>
      </x:c>
      <x:c r="N448" s="69" t="str">
        <x:v>Available</x:v>
      </x:c>
      <x:c r="O448" s="62" t="str">
        <x:v>Camp/summer-depth watch entry; no reliable 2026-27 fantasy projection. Verify final NBA contract, roster status and role before draft use.</x:v>
      </x:c>
      <x:c r="P448" s="60"/>
      <x:c r="Q448" s="60"/>
      <x:c r="R448" s="60"/>
      <x:c r="S448" s="60" t="n">
        <x:v>0</x:v>
      </x:c>
      <x:c r="T448" s="72" t="str">
        <x:v>https://github.com/A-V29/NBA.Rosters/blob/main/2026.Summer.League.json</x:v>
      </x:c>
      <x:c r="U448" s="87" t="str">
        <x:v>WATCH</x:v>
      </x:c>
      <x:c r="V448" s="87" t="str">
        <x:v>LOW</x:v>
      </x:c>
      <x:c r="W448" s="87" t="str">
        <x:v>NONE</x:v>
      </x:c>
      <x:c r="X448" s="87" t="str">
        <x:v>CAMP/SUMMER</x:v>
      </x:c>
      <x:c r="Y448" s="87" t="str">
        <x:v>2026-09-28 master / roster context 2026-09-03+</x:v>
      </x:c>
      <x:c r="Z448" s="72" t="str">
        <x:v>https://github.com/A-V29/NBA.Rosters/blob/main/2026.Summer.League.json</x:v>
      </x:c>
      <x:c r="AA448" s="72" t="str">
        <x:v>https://github.com/ballacademy/NBA-head-to-head-/blob/5b1decfc31ffb645469c7ffbd01aaca4b18181bd/data/nba-stats/nba-player-stats-202526-regular-season-per-game.csv</x:v>
      </x:c>
    </x:row>
    <x:row r="449" ht="21" customHeight="1">
      <x:c r="A449" s="64" t="n">
        <x:v>444</x:v>
      </x:c>
      <x:c r="B449" s="59" t="str">
        <x:v>Anthony Pritchard</x:v>
      </x:c>
      <x:c r="C449" s="65" t="str">
        <x:v>OKC</x:v>
      </x:c>
      <x:c r="D449" s="65" t="str">
        <x:v>PG</x:v>
      </x:c>
      <x:c r="E449" s="65" t="str">
        <x:v>PG</x:v>
      </x:c>
      <x:c r="F449" s="66"/>
      <x:c r="G449" s="67"/>
      <x:c r="H449" s="67" t="n">
        <x:v>0</x:v>
      </x:c>
      <x:c r="I449" s="67" t="n">
        <x:v>3.5</x:v>
      </x:c>
      <x:c r="J449" s="67" t="n">
        <x:v>0</x:v>
      </x:c>
      <x:c r="K449" s="67" t="str">
        <x:v>WATCH</x:v>
      </x:c>
      <x:c r="L449" s="67" t="n">
        <x:v>0</x:v>
      </x:c>
      <x:c r="M449" s="68" t="n">
        <x:v>0</x:v>
      </x:c>
      <x:c r="N449" s="69" t="str">
        <x:v>Available</x:v>
      </x:c>
      <x:c r="O449" s="62" t="str">
        <x:v>Camp/summer-depth watch entry; no reliable 2026-27 fantasy projection. Verify final NBA contract, roster status and role before draft use.</x:v>
      </x:c>
      <x:c r="P449" s="60"/>
      <x:c r="Q449" s="60"/>
      <x:c r="R449" s="60"/>
      <x:c r="S449" s="60" t="n">
        <x:v>0</x:v>
      </x:c>
      <x:c r="T449" s="72" t="str">
        <x:v>https://github.com/A-V29/NBA.Rosters/blob/main/2026.Summer.League.json</x:v>
      </x:c>
      <x:c r="U449" s="87" t="str">
        <x:v>WATCH</x:v>
      </x:c>
      <x:c r="V449" s="87" t="str">
        <x:v>LOW</x:v>
      </x:c>
      <x:c r="W449" s="87" t="str">
        <x:v>NONE</x:v>
      </x:c>
      <x:c r="X449" s="87" t="str">
        <x:v>CAMP/SUMMER</x:v>
      </x:c>
      <x:c r="Y449" s="87" t="str">
        <x:v>2026-09-28 master / roster context 2026-09-03+</x:v>
      </x:c>
      <x:c r="Z449" s="72" t="str">
        <x:v>https://github.com/A-V29/NBA.Rosters/blob/main/2026.Summer.League.json</x:v>
      </x:c>
      <x:c r="AA449" s="72" t="str">
        <x:v>https://github.com/ballacademy/NBA-head-to-head-/blob/5b1decfc31ffb645469c7ffbd01aaca4b18181bd/data/nba-stats/nba-player-stats-202526-regular-season-per-game.csv</x:v>
      </x:c>
    </x:row>
    <x:row r="450" ht="21" customHeight="1">
      <x:c r="A450" s="64" t="n">
        <x:v>445</x:v>
      </x:c>
      <x:c r="B450" s="59" t="str">
        <x:v>Anton Watson</x:v>
      </x:c>
      <x:c r="C450" s="65" t="str">
        <x:v>LAL</x:v>
      </x:c>
      <x:c r="D450" s="65" t="str">
        <x:v>PF</x:v>
      </x:c>
      <x:c r="E450" s="65" t="str">
        <x:v>F</x:v>
      </x:c>
      <x:c r="F450" s="66"/>
      <x:c r="G450" s="67"/>
      <x:c r="H450" s="67" t="n">
        <x:v>0</x:v>
      </x:c>
      <x:c r="I450" s="67" t="n">
        <x:v>3.5</x:v>
      </x:c>
      <x:c r="J450" s="67" t="n">
        <x:v>0</x:v>
      </x:c>
      <x:c r="K450" s="67" t="str">
        <x:v>WATCH</x:v>
      </x:c>
      <x:c r="L450" s="67" t="n">
        <x:v>0</x:v>
      </x:c>
      <x:c r="M450" s="68" t="n">
        <x:v>0</x:v>
      </x:c>
      <x:c r="N450" s="69" t="str">
        <x:v>Available</x:v>
      </x:c>
      <x:c r="O450" s="62" t="str">
        <x:v>Camp/summer-depth watch entry; no reliable 2026-27 fantasy projection. Verify final NBA contract, roster status and role before draft use.</x:v>
      </x:c>
      <x:c r="P450" s="60"/>
      <x:c r="Q450" s="60"/>
      <x:c r="R450" s="60"/>
      <x:c r="S450" s="60" t="n">
        <x:v>0</x:v>
      </x:c>
      <x:c r="T450" s="72" t="str">
        <x:v>https://github.com/A-V29/NBA.Rosters/blob/main/2026.Summer.League.json</x:v>
      </x:c>
      <x:c r="U450" s="87" t="str">
        <x:v>WATCH</x:v>
      </x:c>
      <x:c r="V450" s="87" t="str">
        <x:v>LOW</x:v>
      </x:c>
      <x:c r="W450" s="87" t="str">
        <x:v>NONE</x:v>
      </x:c>
      <x:c r="X450" s="87" t="str">
        <x:v>CAMP/SUMMER</x:v>
      </x:c>
      <x:c r="Y450" s="87" t="str">
        <x:v>2026-09-28 master / roster context 2026-09-03+</x:v>
      </x:c>
      <x:c r="Z450" s="72" t="str">
        <x:v>https://github.com/A-V29/NBA.Rosters/blob/main/2026.Summer.League.json</x:v>
      </x:c>
      <x:c r="AA450" s="72" t="str">
        <x:v>https://github.com/ballacademy/NBA-head-to-head-/blob/5b1decfc31ffb645469c7ffbd01aaca4b18181bd/data/nba-stats/nba-player-stats-202526-regular-season-per-game.csv</x:v>
      </x:c>
    </x:row>
    <x:row r="451" ht="21" customHeight="1">
      <x:c r="A451" s="64" t="n">
        <x:v>446</x:v>
      </x:c>
      <x:c r="B451" s="59" t="str">
        <x:v>Arnas Sakenis</x:v>
      </x:c>
      <x:c r="C451" s="65" t="str">
        <x:v>MIA</x:v>
      </x:c>
      <x:c r="D451" s="65" t="str">
        <x:v>C</x:v>
      </x:c>
      <x:c r="E451" s="65" t="str">
        <x:v>C</x:v>
      </x:c>
      <x:c r="F451" s="66"/>
      <x:c r="G451" s="67"/>
      <x:c r="H451" s="67" t="n">
        <x:v>0</x:v>
      </x:c>
      <x:c r="I451" s="67" t="n">
        <x:v>3.5</x:v>
      </x:c>
      <x:c r="J451" s="67" t="n">
        <x:v>0</x:v>
      </x:c>
      <x:c r="K451" s="67" t="str">
        <x:v>WATCH</x:v>
      </x:c>
      <x:c r="L451" s="67" t="n">
        <x:v>0</x:v>
      </x:c>
      <x:c r="M451" s="68" t="n">
        <x:v>0</x:v>
      </x:c>
      <x:c r="N451" s="69" t="str">
        <x:v>Available</x:v>
      </x:c>
      <x:c r="O451" s="62" t="str">
        <x:v>Camp/summer-depth watch entry; no reliable 2026-27 fantasy projection. Verify final NBA contract, roster status and role before draft use.</x:v>
      </x:c>
      <x:c r="P451" s="60"/>
      <x:c r="Q451" s="60"/>
      <x:c r="R451" s="60"/>
      <x:c r="S451" s="60" t="n">
        <x:v>0</x:v>
      </x:c>
      <x:c r="T451" s="72" t="str">
        <x:v>https://github.com/A-V29/NBA.Rosters/blob/main/2026.Summer.League.json</x:v>
      </x:c>
      <x:c r="U451" s="87" t="str">
        <x:v>WATCH</x:v>
      </x:c>
      <x:c r="V451" s="87" t="str">
        <x:v>LOW</x:v>
      </x:c>
      <x:c r="W451" s="87" t="str">
        <x:v>NONE</x:v>
      </x:c>
      <x:c r="X451" s="87" t="str">
        <x:v>CAMP/SUMMER</x:v>
      </x:c>
      <x:c r="Y451" s="87" t="str">
        <x:v>2026-09-28 master / roster context 2026-09-03+</x:v>
      </x:c>
      <x:c r="Z451" s="72" t="str">
        <x:v>https://github.com/A-V29/NBA.Rosters/blob/main/2026.Summer.League.json</x:v>
      </x:c>
      <x:c r="AA451" s="72" t="str">
        <x:v>https://github.com/ballacademy/NBA-head-to-head-/blob/5b1decfc31ffb645469c7ffbd01aaca4b18181bd/data/nba-stats/nba-player-stats-202526-regular-season-per-game.csv</x:v>
      </x:c>
    </x:row>
    <x:row r="452" ht="21" customHeight="1">
      <x:c r="A452" s="64" t="n">
        <x:v>447</x:v>
      </x:c>
      <x:c r="B452" s="59" t="str">
        <x:v>Arthur Kaluma</x:v>
      </x:c>
      <x:c r="C452" s="65" t="str">
        <x:v>LAL</x:v>
      </x:c>
      <x:c r="D452" s="65" t="str">
        <x:v>PF</x:v>
      </x:c>
      <x:c r="E452" s="65" t="str">
        <x:v>F</x:v>
      </x:c>
      <x:c r="F452" s="66"/>
      <x:c r="G452" s="67"/>
      <x:c r="H452" s="67" t="n">
        <x:v>0</x:v>
      </x:c>
      <x:c r="I452" s="67" t="n">
        <x:v>3.5</x:v>
      </x:c>
      <x:c r="J452" s="67" t="n">
        <x:v>0</x:v>
      </x:c>
      <x:c r="K452" s="67" t="str">
        <x:v>WATCH</x:v>
      </x:c>
      <x:c r="L452" s="67" t="n">
        <x:v>0</x:v>
      </x:c>
      <x:c r="M452" s="68" t="n">
        <x:v>0</x:v>
      </x:c>
      <x:c r="N452" s="69" t="str">
        <x:v>Available</x:v>
      </x:c>
      <x:c r="O452" s="62" t="str">
        <x:v>Camp/summer-depth watch entry; no reliable 2026-27 fantasy projection. Verify final NBA contract, roster status and role before draft use.</x:v>
      </x:c>
      <x:c r="P452" s="60"/>
      <x:c r="Q452" s="60"/>
      <x:c r="R452" s="60"/>
      <x:c r="S452" s="60" t="n">
        <x:v>0</x:v>
      </x:c>
      <x:c r="T452" s="72" t="str">
        <x:v>https://github.com/A-V29/NBA.Rosters/blob/main/2026.Summer.League.json</x:v>
      </x:c>
      <x:c r="U452" s="87" t="str">
        <x:v>WATCH</x:v>
      </x:c>
      <x:c r="V452" s="87" t="str">
        <x:v>LOW</x:v>
      </x:c>
      <x:c r="W452" s="87" t="str">
        <x:v>NONE</x:v>
      </x:c>
      <x:c r="X452" s="87" t="str">
        <x:v>CAMP/SUMMER</x:v>
      </x:c>
      <x:c r="Y452" s="87" t="str">
        <x:v>2026-09-28 master / roster context 2026-09-03+</x:v>
      </x:c>
      <x:c r="Z452" s="72" t="str">
        <x:v>https://github.com/A-V29/NBA.Rosters/blob/main/2026.Summer.League.json</x:v>
      </x:c>
      <x:c r="AA452" s="72" t="str">
        <x:v>https://github.com/ballacademy/NBA-head-to-head-/blob/5b1decfc31ffb645469c7ffbd01aaca4b18181bd/data/nba-stats/nba-player-stats-202526-regular-season-per-game.csv</x:v>
      </x:c>
    </x:row>
    <x:row r="453" ht="21" customHeight="1">
      <x:c r="A453" s="64" t="n">
        <x:v>448</x:v>
      </x:c>
      <x:c r="B453" s="59" t="str">
        <x:v>Aziz Bandaogo</x:v>
      </x:c>
      <x:c r="C453" s="65" t="str">
        <x:v>TOR</x:v>
      </x:c>
      <x:c r="D453" s="65" t="str">
        <x:v>C</x:v>
      </x:c>
      <x:c r="E453" s="65" t="str">
        <x:v>FC</x:v>
      </x:c>
      <x:c r="F453" s="66"/>
      <x:c r="G453" s="67"/>
      <x:c r="H453" s="67" t="n">
        <x:v>0</x:v>
      </x:c>
      <x:c r="I453" s="67" t="n">
        <x:v>3.5</x:v>
      </x:c>
      <x:c r="J453" s="67" t="n">
        <x:v>0</x:v>
      </x:c>
      <x:c r="K453" s="67" t="str">
        <x:v>WATCH</x:v>
      </x:c>
      <x:c r="L453" s="67" t="n">
        <x:v>0</x:v>
      </x:c>
      <x:c r="M453" s="68" t="n">
        <x:v>0</x:v>
      </x:c>
      <x:c r="N453" s="69" t="str">
        <x:v>Available</x:v>
      </x:c>
      <x:c r="O453" s="62" t="str">
        <x:v>Camp/summer-depth watch entry; no reliable 2026-27 fantasy projection. Verify final NBA contract, roster status and role before draft use.</x:v>
      </x:c>
      <x:c r="P453" s="60"/>
      <x:c r="Q453" s="60"/>
      <x:c r="R453" s="60"/>
      <x:c r="S453" s="60" t="n">
        <x:v>0</x:v>
      </x:c>
      <x:c r="T453" s="72" t="str">
        <x:v>https://github.com/A-V29/NBA.Rosters/blob/main/2026.Summer.League.json</x:v>
      </x:c>
      <x:c r="U453" s="87" t="str">
        <x:v>WATCH</x:v>
      </x:c>
      <x:c r="V453" s="87" t="str">
        <x:v>LOW</x:v>
      </x:c>
      <x:c r="W453" s="87" t="str">
        <x:v>NONE</x:v>
      </x:c>
      <x:c r="X453" s="87" t="str">
        <x:v>CAMP/SUMMER</x:v>
      </x:c>
      <x:c r="Y453" s="87" t="str">
        <x:v>2026-09-28 master / roster context 2026-09-03+</x:v>
      </x:c>
      <x:c r="Z453" s="72" t="str">
        <x:v>https://github.com/A-V29/NBA.Rosters/blob/main/2026.Summer.League.json</x:v>
      </x:c>
      <x:c r="AA453" s="72" t="str">
        <x:v>https://github.com/ballacademy/NBA-head-to-head-/blob/5b1decfc31ffb645469c7ffbd01aaca4b18181bd/data/nba-stats/nba-player-stats-202526-regular-season-per-game.csv</x:v>
      </x:c>
    </x:row>
    <x:row r="454" ht="21" customHeight="1">
      <x:c r="A454" s="64" t="n">
        <x:v>449</x:v>
      </x:c>
      <x:c r="B454" s="59" t="str">
        <x:v>B.J. Edwards</x:v>
      </x:c>
      <x:c r="C454" s="65" t="str">
        <x:v>SAC</x:v>
      </x:c>
      <x:c r="D454" s="65" t="str">
        <x:v>PG</x:v>
      </x:c>
      <x:c r="E454" s="65" t="str">
        <x:v>G</x:v>
      </x:c>
      <x:c r="F454" s="66"/>
      <x:c r="G454" s="67"/>
      <x:c r="H454" s="67" t="n">
        <x:v>0</x:v>
      </x:c>
      <x:c r="I454" s="67" t="n">
        <x:v>3.5</x:v>
      </x:c>
      <x:c r="J454" s="67" t="n">
        <x:v>0</x:v>
      </x:c>
      <x:c r="K454" s="67" t="str">
        <x:v>WATCH</x:v>
      </x:c>
      <x:c r="L454" s="67" t="n">
        <x:v>0</x:v>
      </x:c>
      <x:c r="M454" s="68" t="n">
        <x:v>0</x:v>
      </x:c>
      <x:c r="N454" s="69" t="str">
        <x:v>Available</x:v>
      </x:c>
      <x:c r="O454" s="62" t="str">
        <x:v>Camp/summer-depth watch entry; no reliable 2026-27 fantasy projection. Verify final NBA contract, roster status and role before draft use.</x:v>
      </x:c>
      <x:c r="P454" s="60"/>
      <x:c r="Q454" s="60"/>
      <x:c r="R454" s="60"/>
      <x:c r="S454" s="60" t="n">
        <x:v>0</x:v>
      </x:c>
      <x:c r="T454" s="72" t="str">
        <x:v>https://github.com/A-V29/NBA.Rosters/blob/main/2026.Summer.League.json</x:v>
      </x:c>
      <x:c r="U454" s="87" t="str">
        <x:v>WATCH</x:v>
      </x:c>
      <x:c r="V454" s="87" t="str">
        <x:v>LOW</x:v>
      </x:c>
      <x:c r="W454" s="87" t="str">
        <x:v>NONE</x:v>
      </x:c>
      <x:c r="X454" s="87" t="str">
        <x:v>CAMP/SUMMER</x:v>
      </x:c>
      <x:c r="Y454" s="87" t="str">
        <x:v>2026-09-28 master / roster context 2026-09-03+</x:v>
      </x:c>
      <x:c r="Z454" s="72" t="str">
        <x:v>https://github.com/A-V29/NBA.Rosters/blob/main/2026.Summer.League.json</x:v>
      </x:c>
      <x:c r="AA454" s="72" t="str">
        <x:v>https://github.com/ballacademy/NBA-head-to-head-/blob/5b1decfc31ffb645469c7ffbd01aaca4b18181bd/data/nba-stats/nba-player-stats-202526-regular-season-per-game.csv</x:v>
      </x:c>
    </x:row>
    <x:row r="455" ht="21" customHeight="1">
      <x:c r="A455" s="64" t="n">
        <x:v>450</x:v>
      </x:c>
      <x:c r="B455" s="59" t="str">
        <x:v>Barry Evans</x:v>
      </x:c>
      <x:c r="C455" s="65" t="str">
        <x:v>PHX</x:v>
      </x:c>
      <x:c r="D455" s="65" t="str">
        <x:v>PF</x:v>
      </x:c>
      <x:c r="E455" s="65" t="str">
        <x:v>F</x:v>
      </x:c>
      <x:c r="F455" s="66"/>
      <x:c r="G455" s="67"/>
      <x:c r="H455" s="67" t="n">
        <x:v>0</x:v>
      </x:c>
      <x:c r="I455" s="67" t="n">
        <x:v>3.5</x:v>
      </x:c>
      <x:c r="J455" s="67" t="n">
        <x:v>0</x:v>
      </x:c>
      <x:c r="K455" s="67" t="str">
        <x:v>WATCH</x:v>
      </x:c>
      <x:c r="L455" s="67" t="n">
        <x:v>0</x:v>
      </x:c>
      <x:c r="M455" s="68" t="n">
        <x:v>0</x:v>
      </x:c>
      <x:c r="N455" s="69" t="str">
        <x:v>Available</x:v>
      </x:c>
      <x:c r="O455" s="62" t="str">
        <x:v>Camp/summer-depth watch entry; no reliable 2026-27 fantasy projection. Verify final NBA contract, roster status and role before draft use.</x:v>
      </x:c>
      <x:c r="P455" s="60"/>
      <x:c r="Q455" s="60"/>
      <x:c r="R455" s="60"/>
      <x:c r="S455" s="60" t="n">
        <x:v>0</x:v>
      </x:c>
      <x:c r="T455" s="72" t="str">
        <x:v>https://github.com/A-V29/NBA.Rosters/blob/main/2026.Summer.League.json</x:v>
      </x:c>
      <x:c r="U455" s="87" t="str">
        <x:v>WATCH</x:v>
      </x:c>
      <x:c r="V455" s="87" t="str">
        <x:v>LOW</x:v>
      </x:c>
      <x:c r="W455" s="87" t="str">
        <x:v>NONE</x:v>
      </x:c>
      <x:c r="X455" s="87" t="str">
        <x:v>CAMP/SUMMER</x:v>
      </x:c>
      <x:c r="Y455" s="87" t="str">
        <x:v>2026-09-28 master / roster context 2026-09-03+</x:v>
      </x:c>
      <x:c r="Z455" s="72" t="str">
        <x:v>https://github.com/A-V29/NBA.Rosters/blob/main/2026.Summer.League.json</x:v>
      </x:c>
      <x:c r="AA455" s="72" t="str">
        <x:v>https://github.com/ballacademy/NBA-head-to-head-/blob/5b1decfc31ffb645469c7ffbd01aaca4b18181bd/data/nba-stats/nba-player-stats-202526-regular-season-per-game.csv</x:v>
      </x:c>
    </x:row>
    <x:row r="456" ht="21" customHeight="1">
      <x:c r="A456" s="64" t="n">
        <x:v>451</x:v>
      </x:c>
      <x:c r="B456" s="59" t="str">
        <x:v>Basheer Jihad</x:v>
      </x:c>
      <x:c r="C456" s="65" t="str">
        <x:v>DET</x:v>
      </x:c>
      <x:c r="D456" s="65" t="str">
        <x:v>C</x:v>
      </x:c>
      <x:c r="E456" s="65" t="str">
        <x:v>FC</x:v>
      </x:c>
      <x:c r="F456" s="66"/>
      <x:c r="G456" s="67"/>
      <x:c r="H456" s="67" t="n">
        <x:v>0</x:v>
      </x:c>
      <x:c r="I456" s="67" t="n">
        <x:v>3.5</x:v>
      </x:c>
      <x:c r="J456" s="67" t="n">
        <x:v>0</x:v>
      </x:c>
      <x:c r="K456" s="67" t="str">
        <x:v>WATCH</x:v>
      </x:c>
      <x:c r="L456" s="67" t="n">
        <x:v>0</x:v>
      </x:c>
      <x:c r="M456" s="68" t="n">
        <x:v>0</x:v>
      </x:c>
      <x:c r="N456" s="69" t="str">
        <x:v>Available</x:v>
      </x:c>
      <x:c r="O456" s="62" t="str">
        <x:v>Camp/summer-depth watch entry; no reliable 2026-27 fantasy projection. Verify final NBA contract, roster status and role before draft use.</x:v>
      </x:c>
      <x:c r="P456" s="60"/>
      <x:c r="Q456" s="60"/>
      <x:c r="R456" s="60"/>
      <x:c r="S456" s="60" t="n">
        <x:v>0</x:v>
      </x:c>
      <x:c r="T456" s="72" t="str">
        <x:v>https://github.com/A-V29/NBA.Rosters/blob/main/2026.Summer.League.json</x:v>
      </x:c>
      <x:c r="U456" s="87" t="str">
        <x:v>WATCH</x:v>
      </x:c>
      <x:c r="V456" s="87" t="str">
        <x:v>LOW</x:v>
      </x:c>
      <x:c r="W456" s="87" t="str">
        <x:v>NONE</x:v>
      </x:c>
      <x:c r="X456" s="87" t="str">
        <x:v>CAMP/SUMMER</x:v>
      </x:c>
      <x:c r="Y456" s="87" t="str">
        <x:v>2026-09-28 master / roster context 2026-09-03+</x:v>
      </x:c>
      <x:c r="Z456" s="72" t="str">
        <x:v>https://github.com/A-V29/NBA.Rosters/blob/main/2026.Summer.League.json</x:v>
      </x:c>
      <x:c r="AA456" s="72" t="str">
        <x:v>https://github.com/ballacademy/NBA-head-to-head-/blob/5b1decfc31ffb645469c7ffbd01aaca4b18181bd/data/nba-stats/nba-player-stats-202526-regular-season-per-game.csv</x:v>
      </x:c>
    </x:row>
    <x:row r="457" ht="21" customHeight="1">
      <x:c r="A457" s="64" t="n">
        <x:v>452</x:v>
      </x:c>
      <x:c r="B457" s="59" t="str">
        <x:v>Ben Humrichous</x:v>
      </x:c>
      <x:c r="C457" s="65" t="str">
        <x:v>BKN</x:v>
      </x:c>
      <x:c r="D457" s="65" t="str">
        <x:v>PF</x:v>
      </x:c>
      <x:c r="E457" s="65" t="str">
        <x:v>F</x:v>
      </x:c>
      <x:c r="F457" s="66"/>
      <x:c r="G457" s="67"/>
      <x:c r="H457" s="67" t="n">
        <x:v>0</x:v>
      </x:c>
      <x:c r="I457" s="67" t="n">
        <x:v>3.5</x:v>
      </x:c>
      <x:c r="J457" s="67" t="n">
        <x:v>0</x:v>
      </x:c>
      <x:c r="K457" s="67" t="str">
        <x:v>WATCH</x:v>
      </x:c>
      <x:c r="L457" s="67" t="n">
        <x:v>0</x:v>
      </x:c>
      <x:c r="M457" s="68" t="n">
        <x:v>0</x:v>
      </x:c>
      <x:c r="N457" s="69" t="str">
        <x:v>Available</x:v>
      </x:c>
      <x:c r="O457" s="62" t="str">
        <x:v>Camp/summer-depth watch entry; no reliable 2026-27 fantasy projection. Verify final NBA contract, roster status and role before draft use.</x:v>
      </x:c>
      <x:c r="P457" s="60"/>
      <x:c r="Q457" s="60"/>
      <x:c r="R457" s="60"/>
      <x:c r="S457" s="60" t="n">
        <x:v>0</x:v>
      </x:c>
      <x:c r="T457" s="72" t="str">
        <x:v>https://github.com/A-V29/NBA.Rosters/blob/main/2026.Summer.League.json</x:v>
      </x:c>
      <x:c r="U457" s="87" t="str">
        <x:v>WATCH</x:v>
      </x:c>
      <x:c r="V457" s="87" t="str">
        <x:v>LOW</x:v>
      </x:c>
      <x:c r="W457" s="87" t="str">
        <x:v>NONE</x:v>
      </x:c>
      <x:c r="X457" s="87" t="str">
        <x:v>CAMP/SUMMER</x:v>
      </x:c>
      <x:c r="Y457" s="87" t="str">
        <x:v>2026-09-28 master / roster context 2026-09-03+</x:v>
      </x:c>
      <x:c r="Z457" s="72" t="str">
        <x:v>https://github.com/A-V29/NBA.Rosters/blob/main/2026.Summer.League.json</x:v>
      </x:c>
      <x:c r="AA457" s="72" t="str">
        <x:v>https://github.com/ballacademy/NBA-head-to-head-/blob/5b1decfc31ffb645469c7ffbd01aaca4b18181bd/data/nba-stats/nba-player-stats-202526-regular-season-per-game.csv</x:v>
      </x:c>
    </x:row>
    <x:row r="458" ht="21" customHeight="1">
      <x:c r="A458" s="64" t="n">
        <x:v>453</x:v>
      </x:c>
      <x:c r="B458" s="59" t="str">
        <x:v>Ben Middlebrooks</x:v>
      </x:c>
      <x:c r="C458" s="65" t="str">
        <x:v>HOU</x:v>
      </x:c>
      <x:c r="D458" s="65" t="str">
        <x:v>C</x:v>
      </x:c>
      <x:c r="E458" s="65" t="str">
        <x:v>FC</x:v>
      </x:c>
      <x:c r="F458" s="66"/>
      <x:c r="G458" s="67"/>
      <x:c r="H458" s="67" t="n">
        <x:v>0</x:v>
      </x:c>
      <x:c r="I458" s="67" t="n">
        <x:v>3.5</x:v>
      </x:c>
      <x:c r="J458" s="67" t="n">
        <x:v>0</x:v>
      </x:c>
      <x:c r="K458" s="67" t="str">
        <x:v>WATCH</x:v>
      </x:c>
      <x:c r="L458" s="67" t="n">
        <x:v>0</x:v>
      </x:c>
      <x:c r="M458" s="68" t="n">
        <x:v>0</x:v>
      </x:c>
      <x:c r="N458" s="69" t="str">
        <x:v>Available</x:v>
      </x:c>
      <x:c r="O458" s="62" t="str">
        <x:v>Camp/summer-depth watch entry; no reliable 2026-27 fantasy projection. Verify final NBA contract, roster status and role before draft use.</x:v>
      </x:c>
      <x:c r="P458" s="60"/>
      <x:c r="Q458" s="60"/>
      <x:c r="R458" s="60"/>
      <x:c r="S458" s="60" t="n">
        <x:v>0</x:v>
      </x:c>
      <x:c r="T458" s="72" t="str">
        <x:v>https://github.com/A-V29/NBA.Rosters/blob/main/2026.Summer.League.json</x:v>
      </x:c>
      <x:c r="U458" s="87" t="str">
        <x:v>WATCH</x:v>
      </x:c>
      <x:c r="V458" s="87" t="str">
        <x:v>LOW</x:v>
      </x:c>
      <x:c r="W458" s="87" t="str">
        <x:v>NONE</x:v>
      </x:c>
      <x:c r="X458" s="87" t="str">
        <x:v>CAMP/SUMMER</x:v>
      </x:c>
      <x:c r="Y458" s="87" t="str">
        <x:v>2026-09-28 master / roster context 2026-09-03+</x:v>
      </x:c>
      <x:c r="Z458" s="72" t="str">
        <x:v>https://github.com/A-V29/NBA.Rosters/blob/main/2026.Summer.League.json</x:v>
      </x:c>
      <x:c r="AA458" s="72" t="str">
        <x:v>https://github.com/ballacademy/NBA-head-to-head-/blob/5b1decfc31ffb645469c7ffbd01aaca4b18181bd/data/nba-stats/nba-player-stats-202526-regular-season-per-game.csv</x:v>
      </x:c>
    </x:row>
    <x:row r="459" ht="21" customHeight="1">
      <x:c r="A459" s="64" t="n">
        <x:v>454</x:v>
      </x:c>
      <x:c r="B459" s="59" t="str">
        <x:v>Boo Buie</x:v>
      </x:c>
      <x:c r="C459" s="65" t="str">
        <x:v>CHI</x:v>
      </x:c>
      <x:c r="D459" s="65" t="str">
        <x:v>PG</x:v>
      </x:c>
      <x:c r="E459" s="65" t="str">
        <x:v>G</x:v>
      </x:c>
      <x:c r="F459" s="66"/>
      <x:c r="G459" s="67"/>
      <x:c r="H459" s="67" t="n">
        <x:v>0</x:v>
      </x:c>
      <x:c r="I459" s="67" t="n">
        <x:v>3.5</x:v>
      </x:c>
      <x:c r="J459" s="67" t="n">
        <x:v>0</x:v>
      </x:c>
      <x:c r="K459" s="67" t="str">
        <x:v>WATCH</x:v>
      </x:c>
      <x:c r="L459" s="67" t="n">
        <x:v>0</x:v>
      </x:c>
      <x:c r="M459" s="68" t="n">
        <x:v>0</x:v>
      </x:c>
      <x:c r="N459" s="69" t="str">
        <x:v>Available</x:v>
      </x:c>
      <x:c r="O459" s="62" t="str">
        <x:v>Camp/summer-depth watch entry; no reliable 2026-27 fantasy projection. Verify final NBA contract, roster status and role before draft use.</x:v>
      </x:c>
      <x:c r="P459" s="60"/>
      <x:c r="Q459" s="60"/>
      <x:c r="R459" s="60"/>
      <x:c r="S459" s="60" t="n">
        <x:v>0</x:v>
      </x:c>
      <x:c r="T459" s="72" t="str">
        <x:v>https://github.com/A-V29/NBA.Rosters/blob/main/2026.Summer.League.json</x:v>
      </x:c>
      <x:c r="U459" s="87" t="str">
        <x:v>WATCH</x:v>
      </x:c>
      <x:c r="V459" s="87" t="str">
        <x:v>LOW</x:v>
      </x:c>
      <x:c r="W459" s="87" t="str">
        <x:v>NONE</x:v>
      </x:c>
      <x:c r="X459" s="87" t="str">
        <x:v>CAMP/SUMMER</x:v>
      </x:c>
      <x:c r="Y459" s="87" t="str">
        <x:v>2026-09-28 master / roster context 2026-09-03+</x:v>
      </x:c>
      <x:c r="Z459" s="72" t="str">
        <x:v>https://github.com/A-V29/NBA.Rosters/blob/main/2026.Summer.League.json</x:v>
      </x:c>
      <x:c r="AA459" s="72" t="str">
        <x:v>https://github.com/ballacademy/NBA-head-to-head-/blob/5b1decfc31ffb645469c7ffbd01aaca4b18181bd/data/nba-stats/nba-player-stats-202526-regular-season-per-game.csv</x:v>
      </x:c>
    </x:row>
    <x:row r="460" ht="21" customHeight="1">
      <x:c r="A460" s="64" t="n">
        <x:v>455</x:v>
      </x:c>
      <x:c r="B460" s="59" t="str">
        <x:v>Boopie Miller</x:v>
      </x:c>
      <x:c r="C460" s="65" t="str">
        <x:v>MIL</x:v>
      </x:c>
      <x:c r="D460" s="65" t="str">
        <x:v>PG</x:v>
      </x:c>
      <x:c r="E460" s="65" t="str">
        <x:v>PG</x:v>
      </x:c>
      <x:c r="F460" s="66"/>
      <x:c r="G460" s="67"/>
      <x:c r="H460" s="67" t="n">
        <x:v>0</x:v>
      </x:c>
      <x:c r="I460" s="67" t="n">
        <x:v>3.5</x:v>
      </x:c>
      <x:c r="J460" s="67" t="n">
        <x:v>0</x:v>
      </x:c>
      <x:c r="K460" s="67" t="str">
        <x:v>WATCH</x:v>
      </x:c>
      <x:c r="L460" s="67" t="n">
        <x:v>0</x:v>
      </x:c>
      <x:c r="M460" s="68" t="n">
        <x:v>0</x:v>
      </x:c>
      <x:c r="N460" s="69" t="str">
        <x:v>Available</x:v>
      </x:c>
      <x:c r="O460" s="62" t="str">
        <x:v>Camp/summer-depth watch entry; no reliable 2026-27 fantasy projection. Verify final NBA contract, roster status and role before draft use.</x:v>
      </x:c>
      <x:c r="P460" s="60"/>
      <x:c r="Q460" s="60"/>
      <x:c r="R460" s="60"/>
      <x:c r="S460" s="60" t="n">
        <x:v>0</x:v>
      </x:c>
      <x:c r="T460" s="72" t="str">
        <x:v>https://github.com/A-V29/NBA.Rosters/blob/main/2026.Summer.League.json</x:v>
      </x:c>
      <x:c r="U460" s="87" t="str">
        <x:v>WATCH</x:v>
      </x:c>
      <x:c r="V460" s="87" t="str">
        <x:v>LOW</x:v>
      </x:c>
      <x:c r="W460" s="87" t="str">
        <x:v>NONE</x:v>
      </x:c>
      <x:c r="X460" s="87" t="str">
        <x:v>CAMP/SUMMER</x:v>
      </x:c>
      <x:c r="Y460" s="87" t="str">
        <x:v>2026-09-28 master / roster context 2026-09-03+</x:v>
      </x:c>
      <x:c r="Z460" s="72" t="str">
        <x:v>https://github.com/A-V29/NBA.Rosters/blob/main/2026.Summer.League.json</x:v>
      </x:c>
      <x:c r="AA460" s="72" t="str">
        <x:v>https://github.com/ballacademy/NBA-head-to-head-/blob/5b1decfc31ffb645469c7ffbd01aaca4b18181bd/data/nba-stats/nba-player-stats-202526-regular-season-per-game.csv</x:v>
      </x:c>
    </x:row>
    <x:row r="461" ht="21" customHeight="1">
      <x:c r="A461" s="64" t="n">
        <x:v>456</x:v>
      </x:c>
      <x:c r="B461" s="59" t="str">
        <x:v>Braden Smith</x:v>
      </x:c>
      <x:c r="C461" s="65" t="str">
        <x:v>IND</x:v>
      </x:c>
      <x:c r="D461" s="65" t="str">
        <x:v>PG</x:v>
      </x:c>
      <x:c r="E461" s="65" t="str">
        <x:v>PG</x:v>
      </x:c>
      <x:c r="F461" s="66"/>
      <x:c r="G461" s="67"/>
      <x:c r="H461" s="67" t="n">
        <x:v>0</x:v>
      </x:c>
      <x:c r="I461" s="67" t="n">
        <x:v>3.5</x:v>
      </x:c>
      <x:c r="J461" s="67" t="n">
        <x:v>0</x:v>
      </x:c>
      <x:c r="K461" s="67" t="str">
        <x:v>WATCH</x:v>
      </x:c>
      <x:c r="L461" s="67" t="n">
        <x:v>0</x:v>
      </x:c>
      <x:c r="M461" s="68" t="n">
        <x:v>0</x:v>
      </x:c>
      <x:c r="N461" s="69" t="str">
        <x:v>Available</x:v>
      </x:c>
      <x:c r="O461" s="62" t="str">
        <x:v>Camp/summer-depth watch entry; no reliable 2026-27 fantasy projection. Verify final NBA contract, roster status and role before draft use.</x:v>
      </x:c>
      <x:c r="P461" s="60"/>
      <x:c r="Q461" s="60"/>
      <x:c r="R461" s="60"/>
      <x:c r="S461" s="60" t="n">
        <x:v>0</x:v>
      </x:c>
      <x:c r="T461" s="72" t="str">
        <x:v>https://github.com/A-V29/NBA.Rosters/blob/main/2026.Summer.League.json</x:v>
      </x:c>
      <x:c r="U461" s="87" t="str">
        <x:v>WATCH</x:v>
      </x:c>
      <x:c r="V461" s="87" t="str">
        <x:v>LOW</x:v>
      </x:c>
      <x:c r="W461" s="87" t="str">
        <x:v>NONE</x:v>
      </x:c>
      <x:c r="X461" s="87" t="str">
        <x:v>CAMP/SUMMER</x:v>
      </x:c>
      <x:c r="Y461" s="87" t="str">
        <x:v>2026-09-28 master / roster context 2026-09-03+</x:v>
      </x:c>
      <x:c r="Z461" s="72" t="str">
        <x:v>https://github.com/A-V29/NBA.Rosters/blob/main/2026.Summer.League.json</x:v>
      </x:c>
      <x:c r="AA461" s="72" t="str">
        <x:v>https://github.com/ballacademy/NBA-head-to-head-/blob/5b1decfc31ffb645469c7ffbd01aaca4b18181bd/data/nba-stats/nba-player-stats-202526-regular-season-per-game.csv</x:v>
      </x:c>
    </x:row>
    <x:row r="462" ht="21" customHeight="1">
      <x:c r="A462" s="64" t="n">
        <x:v>457</x:v>
      </x:c>
      <x:c r="B462" s="59" t="str">
        <x:v>Brandon Angel</x:v>
      </x:c>
      <x:c r="C462" s="65" t="str">
        <x:v>TOR</x:v>
      </x:c>
      <x:c r="D462" s="65" t="str">
        <x:v>PF</x:v>
      </x:c>
      <x:c r="E462" s="65" t="str">
        <x:v>F</x:v>
      </x:c>
      <x:c r="F462" s="66"/>
      <x:c r="G462" s="67"/>
      <x:c r="H462" s="67" t="n">
        <x:v>0</x:v>
      </x:c>
      <x:c r="I462" s="67" t="n">
        <x:v>3.5</x:v>
      </x:c>
      <x:c r="J462" s="67" t="n">
        <x:v>0</x:v>
      </x:c>
      <x:c r="K462" s="67" t="str">
        <x:v>WATCH</x:v>
      </x:c>
      <x:c r="L462" s="67" t="n">
        <x:v>0</x:v>
      </x:c>
      <x:c r="M462" s="68" t="n">
        <x:v>0</x:v>
      </x:c>
      <x:c r="N462" s="69" t="str">
        <x:v>Available</x:v>
      </x:c>
      <x:c r="O462" s="62" t="str">
        <x:v>Camp/summer-depth watch entry; no reliable 2026-27 fantasy projection. Verify final NBA contract, roster status and role before draft use.</x:v>
      </x:c>
      <x:c r="P462" s="60"/>
      <x:c r="Q462" s="60"/>
      <x:c r="R462" s="60"/>
      <x:c r="S462" s="60" t="n">
        <x:v>0</x:v>
      </x:c>
      <x:c r="T462" s="72" t="str">
        <x:v>https://github.com/A-V29/NBA.Rosters/blob/main/2026.Summer.League.json</x:v>
      </x:c>
      <x:c r="U462" s="87" t="str">
        <x:v>WATCH</x:v>
      </x:c>
      <x:c r="V462" s="87" t="str">
        <x:v>LOW</x:v>
      </x:c>
      <x:c r="W462" s="87" t="str">
        <x:v>NONE</x:v>
      </x:c>
      <x:c r="X462" s="87" t="str">
        <x:v>CAMP/SUMMER</x:v>
      </x:c>
      <x:c r="Y462" s="87" t="str">
        <x:v>2026-09-28 master / roster context 2026-09-03+</x:v>
      </x:c>
      <x:c r="Z462" s="72" t="str">
        <x:v>https://github.com/A-V29/NBA.Rosters/blob/main/2026.Summer.League.json</x:v>
      </x:c>
      <x:c r="AA462" s="72" t="str">
        <x:v>https://github.com/ballacademy/NBA-head-to-head-/blob/5b1decfc31ffb645469c7ffbd01aaca4b18181bd/data/nba-stats/nba-player-stats-202526-regular-season-per-game.csv</x:v>
      </x:c>
    </x:row>
    <x:row r="463" ht="21" customHeight="1">
      <x:c r="A463" s="64" t="n">
        <x:v>458</x:v>
      </x:c>
      <x:c r="B463" s="59" t="str">
        <x:v>Brendan Hausen</x:v>
      </x:c>
      <x:c r="C463" s="65" t="str">
        <x:v>MEM</x:v>
      </x:c>
      <x:c r="D463" s="65" t="str">
        <x:v>SG</x:v>
      </x:c>
      <x:c r="E463" s="65" t="str">
        <x:v>SG</x:v>
      </x:c>
      <x:c r="F463" s="66"/>
      <x:c r="G463" s="67"/>
      <x:c r="H463" s="67" t="n">
        <x:v>0</x:v>
      </x:c>
      <x:c r="I463" s="67" t="n">
        <x:v>3.5</x:v>
      </x:c>
      <x:c r="J463" s="67" t="n">
        <x:v>0</x:v>
      </x:c>
      <x:c r="K463" s="67" t="str">
        <x:v>WATCH</x:v>
      </x:c>
      <x:c r="L463" s="67" t="n">
        <x:v>0</x:v>
      </x:c>
      <x:c r="M463" s="68" t="n">
        <x:v>0</x:v>
      </x:c>
      <x:c r="N463" s="69" t="str">
        <x:v>Available</x:v>
      </x:c>
      <x:c r="O463" s="62" t="str">
        <x:v>Camp/summer-depth watch entry; no reliable 2026-27 fantasy projection. Verify final NBA contract, roster status and role before draft use.</x:v>
      </x:c>
      <x:c r="P463" s="60"/>
      <x:c r="Q463" s="60"/>
      <x:c r="R463" s="60"/>
      <x:c r="S463" s="60" t="n">
        <x:v>0</x:v>
      </x:c>
      <x:c r="T463" s="72" t="str">
        <x:v>https://github.com/A-V29/NBA.Rosters/blob/main/2026.Summer.League.json</x:v>
      </x:c>
      <x:c r="U463" s="87" t="str">
        <x:v>WATCH</x:v>
      </x:c>
      <x:c r="V463" s="87" t="str">
        <x:v>LOW</x:v>
      </x:c>
      <x:c r="W463" s="87" t="str">
        <x:v>NONE</x:v>
      </x:c>
      <x:c r="X463" s="87" t="str">
        <x:v>CAMP/SUMMER</x:v>
      </x:c>
      <x:c r="Y463" s="87" t="str">
        <x:v>2026-09-28 master / roster context 2026-09-03+</x:v>
      </x:c>
      <x:c r="Z463" s="72" t="str">
        <x:v>https://github.com/A-V29/NBA.Rosters/blob/main/2026.Summer.League.json</x:v>
      </x:c>
      <x:c r="AA463" s="72" t="str">
        <x:v>https://github.com/ballacademy/NBA-head-to-head-/blob/5b1decfc31ffb645469c7ffbd01aaca4b18181bd/data/nba-stats/nba-player-stats-202526-regular-season-per-game.csv</x:v>
      </x:c>
    </x:row>
    <x:row r="464" ht="21" customHeight="1">
      <x:c r="A464" s="64" t="n">
        <x:v>459</x:v>
      </x:c>
      <x:c r="B464" s="59" t="str">
        <x:v>Bryce Harris</x:v>
      </x:c>
      <x:c r="C464" s="65" t="str">
        <x:v>OKC</x:v>
      </x:c>
      <x:c r="D464" s="65" t="str">
        <x:v>SF</x:v>
      </x:c>
      <x:c r="E464" s="65" t="str">
        <x:v>GF</x:v>
      </x:c>
      <x:c r="F464" s="66"/>
      <x:c r="G464" s="67"/>
      <x:c r="H464" s="67" t="n">
        <x:v>0</x:v>
      </x:c>
      <x:c r="I464" s="67" t="n">
        <x:v>3.5</x:v>
      </x:c>
      <x:c r="J464" s="67" t="n">
        <x:v>0</x:v>
      </x:c>
      <x:c r="K464" s="67" t="str">
        <x:v>WATCH</x:v>
      </x:c>
      <x:c r="L464" s="67" t="n">
        <x:v>0</x:v>
      </x:c>
      <x:c r="M464" s="68" t="n">
        <x:v>0</x:v>
      </x:c>
      <x:c r="N464" s="69" t="str">
        <x:v>Available</x:v>
      </x:c>
      <x:c r="O464" s="62" t="str">
        <x:v>Camp/summer-depth watch entry; no reliable 2026-27 fantasy projection. Verify final NBA contract, roster status and role before draft use.</x:v>
      </x:c>
      <x:c r="P464" s="60"/>
      <x:c r="Q464" s="60"/>
      <x:c r="R464" s="60"/>
      <x:c r="S464" s="60" t="n">
        <x:v>0</x:v>
      </x:c>
      <x:c r="T464" s="72" t="str">
        <x:v>https://github.com/A-V29/NBA.Rosters/blob/main/2026.Summer.League.json</x:v>
      </x:c>
      <x:c r="U464" s="87" t="str">
        <x:v>WATCH</x:v>
      </x:c>
      <x:c r="V464" s="87" t="str">
        <x:v>LOW</x:v>
      </x:c>
      <x:c r="W464" s="87" t="str">
        <x:v>NONE</x:v>
      </x:c>
      <x:c r="X464" s="87" t="str">
        <x:v>CAMP/SUMMER</x:v>
      </x:c>
      <x:c r="Y464" s="87" t="str">
        <x:v>2026-09-28 master / roster context 2026-09-03+</x:v>
      </x:c>
      <x:c r="Z464" s="72" t="str">
        <x:v>https://github.com/A-V29/NBA.Rosters/blob/main/2026.Summer.League.json</x:v>
      </x:c>
      <x:c r="AA464" s="72" t="str">
        <x:v>https://github.com/ballacademy/NBA-head-to-head-/blob/5b1decfc31ffb645469c7ffbd01aaca4b18181bd/data/nba-stats/nba-player-stats-202526-regular-season-per-game.csv</x:v>
      </x:c>
    </x:row>
    <x:row r="465" ht="21" customHeight="1">
      <x:c r="A465" s="64" t="n">
        <x:v>460</x:v>
      </x:c>
      <x:c r="B465" s="59" t="str">
        <x:v>Bryce Hopkins</x:v>
      </x:c>
      <x:c r="C465" s="65" t="str">
        <x:v>DEN</x:v>
      </x:c>
      <x:c r="D465" s="65" t="str">
        <x:v>PF</x:v>
      </x:c>
      <x:c r="E465" s="65" t="str">
        <x:v>F</x:v>
      </x:c>
      <x:c r="F465" s="66"/>
      <x:c r="G465" s="67"/>
      <x:c r="H465" s="67" t="n">
        <x:v>0</x:v>
      </x:c>
      <x:c r="I465" s="67" t="n">
        <x:v>3.5</x:v>
      </x:c>
      <x:c r="J465" s="67" t="n">
        <x:v>0</x:v>
      </x:c>
      <x:c r="K465" s="67" t="str">
        <x:v>WATCH</x:v>
      </x:c>
      <x:c r="L465" s="67" t="n">
        <x:v>0</x:v>
      </x:c>
      <x:c r="M465" s="68" t="n">
        <x:v>0</x:v>
      </x:c>
      <x:c r="N465" s="69" t="str">
        <x:v>Available</x:v>
      </x:c>
      <x:c r="O465" s="62" t="str">
        <x:v>Camp/summer-depth watch entry; no reliable 2026-27 fantasy projection. Verify final NBA contract, roster status and role before draft use.</x:v>
      </x:c>
      <x:c r="P465" s="60"/>
      <x:c r="Q465" s="60"/>
      <x:c r="R465" s="60"/>
      <x:c r="S465" s="60" t="n">
        <x:v>0</x:v>
      </x:c>
      <x:c r="T465" s="72" t="str">
        <x:v>https://github.com/A-V29/NBA.Rosters/blob/main/2026.Summer.League.json</x:v>
      </x:c>
      <x:c r="U465" s="87" t="str">
        <x:v>WATCH</x:v>
      </x:c>
      <x:c r="V465" s="87" t="str">
        <x:v>LOW</x:v>
      </x:c>
      <x:c r="W465" s="87" t="str">
        <x:v>NONE</x:v>
      </x:c>
      <x:c r="X465" s="87" t="str">
        <x:v>CAMP/SUMMER</x:v>
      </x:c>
      <x:c r="Y465" s="87" t="str">
        <x:v>2026-09-28 master / roster context 2026-09-03+</x:v>
      </x:c>
      <x:c r="Z465" s="72" t="str">
        <x:v>https://github.com/A-V29/NBA.Rosters/blob/main/2026.Summer.League.json</x:v>
      </x:c>
      <x:c r="AA465" s="72" t="str">
        <x:v>https://github.com/ballacademy/NBA-head-to-head-/blob/5b1decfc31ffb645469c7ffbd01aaca4b18181bd/data/nba-stats/nba-player-stats-202526-regular-season-per-game.csv</x:v>
      </x:c>
    </x:row>
    <x:row r="466" ht="21" customHeight="1">
      <x:c r="A466" s="64" t="n">
        <x:v>461</x:v>
      </x:c>
      <x:c r="B466" s="59" t="str">
        <x:v>Bryce Thompson</x:v>
      </x:c>
      <x:c r="C466" s="65" t="str">
        <x:v>OKC</x:v>
      </x:c>
      <x:c r="D466" s="65" t="str">
        <x:v>SF</x:v>
      </x:c>
      <x:c r="E466" s="65" t="str">
        <x:v>GF</x:v>
      </x:c>
      <x:c r="F466" s="66"/>
      <x:c r="G466" s="67"/>
      <x:c r="H466" s="67" t="n">
        <x:v>0</x:v>
      </x:c>
      <x:c r="I466" s="67" t="n">
        <x:v>3.5</x:v>
      </x:c>
      <x:c r="J466" s="67" t="n">
        <x:v>0</x:v>
      </x:c>
      <x:c r="K466" s="67" t="str">
        <x:v>WATCH</x:v>
      </x:c>
      <x:c r="L466" s="67" t="n">
        <x:v>0</x:v>
      </x:c>
      <x:c r="M466" s="68" t="n">
        <x:v>0</x:v>
      </x:c>
      <x:c r="N466" s="69" t="str">
        <x:v>Available</x:v>
      </x:c>
      <x:c r="O466" s="62" t="str">
        <x:v>Camp/summer-depth watch entry; no reliable 2026-27 fantasy projection. Verify final NBA contract, roster status and role before draft use.</x:v>
      </x:c>
      <x:c r="P466" s="60"/>
      <x:c r="Q466" s="60"/>
      <x:c r="R466" s="60"/>
      <x:c r="S466" s="60" t="n">
        <x:v>0</x:v>
      </x:c>
      <x:c r="T466" s="72" t="str">
        <x:v>https://github.com/A-V29/NBA.Rosters/blob/main/2026.Summer.League.json</x:v>
      </x:c>
      <x:c r="U466" s="87" t="str">
        <x:v>WATCH</x:v>
      </x:c>
      <x:c r="V466" s="87" t="str">
        <x:v>LOW</x:v>
      </x:c>
      <x:c r="W466" s="87" t="str">
        <x:v>NONE</x:v>
      </x:c>
      <x:c r="X466" s="87" t="str">
        <x:v>CAMP/SUMMER</x:v>
      </x:c>
      <x:c r="Y466" s="87" t="str">
        <x:v>2026-09-28 master / roster context 2026-09-03+</x:v>
      </x:c>
      <x:c r="Z466" s="72" t="str">
        <x:v>https://github.com/A-V29/NBA.Rosters/blob/main/2026.Summer.League.json</x:v>
      </x:c>
      <x:c r="AA466" s="72" t="str">
        <x:v>https://github.com/ballacademy/NBA-head-to-head-/blob/5b1decfc31ffb645469c7ffbd01aaca4b18181bd/data/nba-stats/nba-player-stats-202526-regular-season-per-game.csv</x:v>
      </x:c>
    </x:row>
    <x:row r="467" ht="21" customHeight="1">
      <x:c r="A467" s="64" t="n">
        <x:v>462</x:v>
      </x:c>
      <x:c r="B467" s="59" t="str">
        <x:v>C.J. Elleby</x:v>
      </x:c>
      <x:c r="C467" s="65" t="str">
        <x:v>ORL</x:v>
      </x:c>
      <x:c r="D467" s="65" t="str">
        <x:v>SF</x:v>
      </x:c>
      <x:c r="E467" s="65" t="str">
        <x:v>SF</x:v>
      </x:c>
      <x:c r="F467" s="66"/>
      <x:c r="G467" s="67"/>
      <x:c r="H467" s="67" t="n">
        <x:v>0</x:v>
      </x:c>
      <x:c r="I467" s="67" t="n">
        <x:v>3.5</x:v>
      </x:c>
      <x:c r="J467" s="67" t="n">
        <x:v>0</x:v>
      </x:c>
      <x:c r="K467" s="67" t="str">
        <x:v>WATCH</x:v>
      </x:c>
      <x:c r="L467" s="67" t="n">
        <x:v>0</x:v>
      </x:c>
      <x:c r="M467" s="68" t="n">
        <x:v>0</x:v>
      </x:c>
      <x:c r="N467" s="69" t="str">
        <x:v>Available</x:v>
      </x:c>
      <x:c r="O467" s="62" t="str">
        <x:v>Camp/summer-depth watch entry; no reliable 2026-27 fantasy projection. Verify final NBA contract, roster status and role before draft use.</x:v>
      </x:c>
      <x:c r="P467" s="60"/>
      <x:c r="Q467" s="60"/>
      <x:c r="R467" s="60"/>
      <x:c r="S467" s="60" t="n">
        <x:v>0</x:v>
      </x:c>
      <x:c r="T467" s="72" t="str">
        <x:v>https://github.com/A-V29/NBA.Rosters/blob/main/2026.Summer.League.json</x:v>
      </x:c>
      <x:c r="U467" s="87" t="str">
        <x:v>WATCH</x:v>
      </x:c>
      <x:c r="V467" s="87" t="str">
        <x:v>LOW</x:v>
      </x:c>
      <x:c r="W467" s="87" t="str">
        <x:v>NONE</x:v>
      </x:c>
      <x:c r="X467" s="87" t="str">
        <x:v>CAMP/SUMMER</x:v>
      </x:c>
      <x:c r="Y467" s="87" t="str">
        <x:v>2026-09-28 master / roster context 2026-09-03+</x:v>
      </x:c>
      <x:c r="Z467" s="72" t="str">
        <x:v>https://github.com/A-V29/NBA.Rosters/blob/main/2026.Summer.League.json</x:v>
      </x:c>
      <x:c r="AA467" s="72" t="str">
        <x:v>https://github.com/ballacademy/NBA-head-to-head-/blob/5b1decfc31ffb645469c7ffbd01aaca4b18181bd/data/nba-stats/nba-player-stats-202526-regular-season-per-game.csv</x:v>
      </x:c>
    </x:row>
    <x:row r="468" ht="21" customHeight="1">
      <x:c r="A468" s="64" t="n">
        <x:v>463</x:v>
      </x:c>
      <x:c r="B468" s="59" t="str">
        <x:v>C.J. Gunn</x:v>
      </x:c>
      <x:c r="C468" s="65" t="str">
        <x:v>GSW</x:v>
      </x:c>
      <x:c r="D468" s="65" t="str">
        <x:v>SF</x:v>
      </x:c>
      <x:c r="E468" s="65" t="str">
        <x:v>GF</x:v>
      </x:c>
      <x:c r="F468" s="66"/>
      <x:c r="G468" s="67"/>
      <x:c r="H468" s="67" t="n">
        <x:v>0</x:v>
      </x:c>
      <x:c r="I468" s="67" t="n">
        <x:v>3.5</x:v>
      </x:c>
      <x:c r="J468" s="67" t="n">
        <x:v>0</x:v>
      </x:c>
      <x:c r="K468" s="67" t="str">
        <x:v>WATCH</x:v>
      </x:c>
      <x:c r="L468" s="67" t="n">
        <x:v>0</x:v>
      </x:c>
      <x:c r="M468" s="68" t="n">
        <x:v>0</x:v>
      </x:c>
      <x:c r="N468" s="69" t="str">
        <x:v>Available</x:v>
      </x:c>
      <x:c r="O468" s="62" t="str">
        <x:v>Camp/summer-depth watch entry; no reliable 2026-27 fantasy projection. Verify final NBA contract, roster status and role before draft use.</x:v>
      </x:c>
      <x:c r="P468" s="60"/>
      <x:c r="Q468" s="60"/>
      <x:c r="R468" s="60"/>
      <x:c r="S468" s="60" t="n">
        <x:v>0</x:v>
      </x:c>
      <x:c r="T468" s="72" t="str">
        <x:v>https://github.com/A-V29/NBA.Rosters/blob/main/2026.Summer.League.json</x:v>
      </x:c>
      <x:c r="U468" s="87" t="str">
        <x:v>WATCH</x:v>
      </x:c>
      <x:c r="V468" s="87" t="str">
        <x:v>LOW</x:v>
      </x:c>
      <x:c r="W468" s="87" t="str">
        <x:v>NONE</x:v>
      </x:c>
      <x:c r="X468" s="87" t="str">
        <x:v>CAMP/SUMMER</x:v>
      </x:c>
      <x:c r="Y468" s="87" t="str">
        <x:v>2026-09-28 master / roster context 2026-09-03+</x:v>
      </x:c>
      <x:c r="Z468" s="72" t="str">
        <x:v>https://github.com/A-V29/NBA.Rosters/blob/main/2026.Summer.League.json</x:v>
      </x:c>
      <x:c r="AA468" s="72" t="str">
        <x:v>https://github.com/ballacademy/NBA-head-to-head-/blob/5b1decfc31ffb645469c7ffbd01aaca4b18181bd/data/nba-stats/nba-player-stats-202526-regular-season-per-game.csv</x:v>
      </x:c>
    </x:row>
    <x:row r="469" ht="21" customHeight="1">
      <x:c r="A469" s="64" t="n">
        <x:v>464</x:v>
      </x:c>
      <x:c r="B469" s="59" t="str">
        <x:v>Caleb Grill</x:v>
      </x:c>
      <x:c r="C469" s="65" t="str">
        <x:v>BOS</x:v>
      </x:c>
      <x:c r="D469" s="65" t="str">
        <x:v>SG</x:v>
      </x:c>
      <x:c r="E469" s="65" t="str">
        <x:v>SG</x:v>
      </x:c>
      <x:c r="F469" s="66"/>
      <x:c r="G469" s="67"/>
      <x:c r="H469" s="67" t="n">
        <x:v>0</x:v>
      </x:c>
      <x:c r="I469" s="67" t="n">
        <x:v>3.5</x:v>
      </x:c>
      <x:c r="J469" s="67" t="n">
        <x:v>0</x:v>
      </x:c>
      <x:c r="K469" s="67" t="str">
        <x:v>WATCH</x:v>
      </x:c>
      <x:c r="L469" s="67" t="n">
        <x:v>0</x:v>
      </x:c>
      <x:c r="M469" s="68" t="n">
        <x:v>0</x:v>
      </x:c>
      <x:c r="N469" s="69" t="str">
        <x:v>Available</x:v>
      </x:c>
      <x:c r="O469" s="62" t="str">
        <x:v>Camp/summer-depth watch entry; no reliable 2026-27 fantasy projection. Verify final NBA contract, roster status and role before draft use.</x:v>
      </x:c>
      <x:c r="P469" s="60"/>
      <x:c r="Q469" s="60"/>
      <x:c r="R469" s="60"/>
      <x:c r="S469" s="60" t="n">
        <x:v>0</x:v>
      </x:c>
      <x:c r="T469" s="72" t="str">
        <x:v>https://github.com/A-V29/NBA.Rosters/blob/main/2026.Summer.League.json</x:v>
      </x:c>
      <x:c r="U469" s="87" t="str">
        <x:v>WATCH</x:v>
      </x:c>
      <x:c r="V469" s="87" t="str">
        <x:v>LOW</x:v>
      </x:c>
      <x:c r="W469" s="87" t="str">
        <x:v>NONE</x:v>
      </x:c>
      <x:c r="X469" s="87" t="str">
        <x:v>CAMP/SUMMER</x:v>
      </x:c>
      <x:c r="Y469" s="87" t="str">
        <x:v>2026-09-28 master / roster context 2026-09-03+</x:v>
      </x:c>
      <x:c r="Z469" s="72" t="str">
        <x:v>https://github.com/A-V29/NBA.Rosters/blob/main/2026.Summer.League.json</x:v>
      </x:c>
      <x:c r="AA469" s="72" t="str">
        <x:v>https://github.com/ballacademy/NBA-head-to-head-/blob/5b1decfc31ffb645469c7ffbd01aaca4b18181bd/data/nba-stats/nba-player-stats-202526-regular-season-per-game.csv</x:v>
      </x:c>
    </x:row>
    <x:row r="470" ht="21" customHeight="1">
      <x:c r="A470" s="64" t="n">
        <x:v>465</x:v>
      </x:c>
      <x:c r="B470" s="59" t="str">
        <x:v>Cam Carter</x:v>
      </x:c>
      <x:c r="C470" s="65" t="str">
        <x:v>MIA</x:v>
      </x:c>
      <x:c r="D470" s="65" t="str">
        <x:v>PG</x:v>
      </x:c>
      <x:c r="E470" s="65" t="str">
        <x:v>G</x:v>
      </x:c>
      <x:c r="F470" s="66"/>
      <x:c r="G470" s="67"/>
      <x:c r="H470" s="67" t="n">
        <x:v>0</x:v>
      </x:c>
      <x:c r="I470" s="67" t="n">
        <x:v>3.5</x:v>
      </x:c>
      <x:c r="J470" s="67" t="n">
        <x:v>0</x:v>
      </x:c>
      <x:c r="K470" s="67" t="str">
        <x:v>WATCH</x:v>
      </x:c>
      <x:c r="L470" s="67" t="n">
        <x:v>0</x:v>
      </x:c>
      <x:c r="M470" s="68" t="n">
        <x:v>0</x:v>
      </x:c>
      <x:c r="N470" s="69" t="str">
        <x:v>Available</x:v>
      </x:c>
      <x:c r="O470" s="62" t="str">
        <x:v>Camp/summer-depth watch entry; no reliable 2026-27 fantasy projection. Verify final NBA contract, roster status and role before draft use.</x:v>
      </x:c>
      <x:c r="P470" s="60"/>
      <x:c r="Q470" s="60"/>
      <x:c r="R470" s="60"/>
      <x:c r="S470" s="60" t="n">
        <x:v>0</x:v>
      </x:c>
      <x:c r="T470" s="72" t="str">
        <x:v>https://github.com/A-V29/NBA.Rosters/blob/main/2026.Summer.League.json</x:v>
      </x:c>
      <x:c r="U470" s="87" t="str">
        <x:v>WATCH</x:v>
      </x:c>
      <x:c r="V470" s="87" t="str">
        <x:v>LOW</x:v>
      </x:c>
      <x:c r="W470" s="87" t="str">
        <x:v>NONE</x:v>
      </x:c>
      <x:c r="X470" s="87" t="str">
        <x:v>CAMP/SUMMER</x:v>
      </x:c>
      <x:c r="Y470" s="87" t="str">
        <x:v>2026-09-28 master / roster context 2026-09-03+</x:v>
      </x:c>
      <x:c r="Z470" s="72" t="str">
        <x:v>https://github.com/A-V29/NBA.Rosters/blob/main/2026.Summer.League.json</x:v>
      </x:c>
      <x:c r="AA470" s="72" t="str">
        <x:v>https://github.com/ballacademy/NBA-head-to-head-/blob/5b1decfc31ffb645469c7ffbd01aaca4b18181bd/data/nba-stats/nba-player-stats-202526-regular-season-per-game.csv</x:v>
      </x:c>
    </x:row>
    <x:row r="471" ht="21" customHeight="1">
      <x:c r="A471" s="64" t="n">
        <x:v>466</x:v>
      </x:c>
      <x:c r="B471" s="59" t="str">
        <x:v>Cam Reddish</x:v>
      </x:c>
      <x:c r="C471" s="65" t="str">
        <x:v>ORL</x:v>
      </x:c>
      <x:c r="D471" s="65" t="str">
        <x:v>SF</x:v>
      </x:c>
      <x:c r="E471" s="65" t="str">
        <x:v>GF</x:v>
      </x:c>
      <x:c r="F471" s="66"/>
      <x:c r="G471" s="67"/>
      <x:c r="H471" s="67" t="n">
        <x:v>0</x:v>
      </x:c>
      <x:c r="I471" s="67" t="n">
        <x:v>3.5</x:v>
      </x:c>
      <x:c r="J471" s="67" t="n">
        <x:v>0</x:v>
      </x:c>
      <x:c r="K471" s="67" t="str">
        <x:v>WATCH</x:v>
      </x:c>
      <x:c r="L471" s="67" t="n">
        <x:v>0</x:v>
      </x:c>
      <x:c r="M471" s="68" t="n">
        <x:v>0</x:v>
      </x:c>
      <x:c r="N471" s="69" t="str">
        <x:v>Available</x:v>
      </x:c>
      <x:c r="O471" s="62" t="str">
        <x:v>Camp/summer-depth watch entry; no reliable 2026-27 fantasy projection. Verify final NBA contract, roster status and role before draft use.</x:v>
      </x:c>
      <x:c r="P471" s="60"/>
      <x:c r="Q471" s="60"/>
      <x:c r="R471" s="60"/>
      <x:c r="S471" s="60" t="n">
        <x:v>0</x:v>
      </x:c>
      <x:c r="T471" s="72" t="str">
        <x:v>https://github.com/A-V29/NBA.Rosters/blob/main/2026.Summer.League.json</x:v>
      </x:c>
      <x:c r="U471" s="87" t="str">
        <x:v>WATCH</x:v>
      </x:c>
      <x:c r="V471" s="87" t="str">
        <x:v>LOW</x:v>
      </x:c>
      <x:c r="W471" s="87" t="str">
        <x:v>NONE</x:v>
      </x:c>
      <x:c r="X471" s="87" t="str">
        <x:v>CAMP/SUMMER</x:v>
      </x:c>
      <x:c r="Y471" s="87" t="str">
        <x:v>2026-09-28 master / roster context 2026-09-03+</x:v>
      </x:c>
      <x:c r="Z471" s="72" t="str">
        <x:v>https://github.com/A-V29/NBA.Rosters/blob/main/2026.Summer.League.json</x:v>
      </x:c>
      <x:c r="AA471" s="72" t="str">
        <x:v>https://github.com/ballacademy/NBA-head-to-head-/blob/5b1decfc31ffb645469c7ffbd01aaca4b18181bd/data/nba-stats/nba-player-stats-202526-regular-season-per-game.csv</x:v>
      </x:c>
    </x:row>
    <x:row r="472" ht="21" customHeight="1">
      <x:c r="A472" s="64" t="n">
        <x:v>467</x:v>
      </x:c>
      <x:c r="B472" s="59" t="str">
        <x:v>Cameron Corhen</x:v>
      </x:c>
      <x:c r="C472" s="65" t="str">
        <x:v>ATL</x:v>
      </x:c>
      <x:c r="D472" s="65" t="str">
        <x:v>C</x:v>
      </x:c>
      <x:c r="E472" s="65" t="str">
        <x:v>FC</x:v>
      </x:c>
      <x:c r="F472" s="66"/>
      <x:c r="G472" s="67"/>
      <x:c r="H472" s="67" t="n">
        <x:v>0</x:v>
      </x:c>
      <x:c r="I472" s="67" t="n">
        <x:v>3.5</x:v>
      </x:c>
      <x:c r="J472" s="67" t="n">
        <x:v>0</x:v>
      </x:c>
      <x:c r="K472" s="67" t="str">
        <x:v>WATCH</x:v>
      </x:c>
      <x:c r="L472" s="67" t="n">
        <x:v>0</x:v>
      </x:c>
      <x:c r="M472" s="68" t="n">
        <x:v>0</x:v>
      </x:c>
      <x:c r="N472" s="69" t="str">
        <x:v>Available</x:v>
      </x:c>
      <x:c r="O472" s="62" t="str">
        <x:v>Camp/summer-depth watch entry; no reliable 2026-27 fantasy projection. Verify final NBA contract, roster status and role before draft use.</x:v>
      </x:c>
      <x:c r="P472" s="60"/>
      <x:c r="Q472" s="60"/>
      <x:c r="R472" s="60"/>
      <x:c r="S472" s="60" t="n">
        <x:v>0</x:v>
      </x:c>
      <x:c r="T472" s="72" t="str">
        <x:v>https://github.com/A-V29/NBA.Rosters/blob/main/2026.Summer.League.json</x:v>
      </x:c>
      <x:c r="U472" s="87" t="str">
        <x:v>WATCH</x:v>
      </x:c>
      <x:c r="V472" s="87" t="str">
        <x:v>LOW</x:v>
      </x:c>
      <x:c r="W472" s="87" t="str">
        <x:v>NONE</x:v>
      </x:c>
      <x:c r="X472" s="87" t="str">
        <x:v>CAMP/SUMMER</x:v>
      </x:c>
      <x:c r="Y472" s="87" t="str">
        <x:v>2026-09-28 master / roster context 2026-09-03+</x:v>
      </x:c>
      <x:c r="Z472" s="72" t="str">
        <x:v>https://github.com/A-V29/NBA.Rosters/blob/main/2026.Summer.League.json</x:v>
      </x:c>
      <x:c r="AA472" s="72" t="str">
        <x:v>https://github.com/ballacademy/NBA-head-to-head-/blob/5b1decfc31ffb645469c7ffbd01aaca4b18181bd/data/nba-stats/nba-player-stats-202526-regular-season-per-game.csv</x:v>
      </x:c>
    </x:row>
    <x:row r="473" ht="21" customHeight="1">
      <x:c r="A473" s="64" t="n">
        <x:v>468</x:v>
      </x:c>
      <x:c r="B473" s="59" t="str">
        <x:v>Cameron Hildreth</x:v>
      </x:c>
      <x:c r="C473" s="65" t="str">
        <x:v>IND</x:v>
      </x:c>
      <x:c r="D473" s="65" t="str">
        <x:v>PG</x:v>
      </x:c>
      <x:c r="E473" s="65" t="str">
        <x:v>G</x:v>
      </x:c>
      <x:c r="F473" s="66"/>
      <x:c r="G473" s="67"/>
      <x:c r="H473" s="67" t="n">
        <x:v>0</x:v>
      </x:c>
      <x:c r="I473" s="67" t="n">
        <x:v>3.5</x:v>
      </x:c>
      <x:c r="J473" s="67" t="n">
        <x:v>0</x:v>
      </x:c>
      <x:c r="K473" s="67" t="str">
        <x:v>WATCH</x:v>
      </x:c>
      <x:c r="L473" s="67" t="n">
        <x:v>0</x:v>
      </x:c>
      <x:c r="M473" s="68" t="n">
        <x:v>0</x:v>
      </x:c>
      <x:c r="N473" s="69" t="str">
        <x:v>Available</x:v>
      </x:c>
      <x:c r="O473" s="62" t="str">
        <x:v>Camp/summer-depth watch entry; no reliable 2026-27 fantasy projection. Verify final NBA contract, roster status and role before draft use.</x:v>
      </x:c>
      <x:c r="P473" s="60"/>
      <x:c r="Q473" s="60"/>
      <x:c r="R473" s="60"/>
      <x:c r="S473" s="60" t="n">
        <x:v>0</x:v>
      </x:c>
      <x:c r="T473" s="72" t="str">
        <x:v>https://github.com/A-V29/NBA.Rosters/blob/main/2026.Summer.League.json</x:v>
      </x:c>
      <x:c r="U473" s="87" t="str">
        <x:v>WATCH</x:v>
      </x:c>
      <x:c r="V473" s="87" t="str">
        <x:v>LOW</x:v>
      </x:c>
      <x:c r="W473" s="87" t="str">
        <x:v>NONE</x:v>
      </x:c>
      <x:c r="X473" s="87" t="str">
        <x:v>CAMP/SUMMER</x:v>
      </x:c>
      <x:c r="Y473" s="87" t="str">
        <x:v>2026-09-28 master / roster context 2026-09-03+</x:v>
      </x:c>
      <x:c r="Z473" s="72" t="str">
        <x:v>https://github.com/A-V29/NBA.Rosters/blob/main/2026.Summer.League.json</x:v>
      </x:c>
      <x:c r="AA473" s="72" t="str">
        <x:v>https://github.com/ballacademy/NBA-head-to-head-/blob/5b1decfc31ffb645469c7ffbd01aaca4b18181bd/data/nba-stats/nba-player-stats-202526-regular-season-per-game.csv</x:v>
      </x:c>
    </x:row>
    <x:row r="474" ht="21" customHeight="1">
      <x:c r="A474" s="64" t="n">
        <x:v>469</x:v>
      </x:c>
      <x:c r="B474" s="59" t="str">
        <x:v>Cameron Matthews</x:v>
      </x:c>
      <x:c r="C474" s="65" t="str">
        <x:v>CHA</x:v>
      </x:c>
      <x:c r="D474" s="65" t="str">
        <x:v>PF</x:v>
      </x:c>
      <x:c r="E474" s="65" t="str">
        <x:v>F</x:v>
      </x:c>
      <x:c r="F474" s="66"/>
      <x:c r="G474" s="67"/>
      <x:c r="H474" s="67" t="n">
        <x:v>0</x:v>
      </x:c>
      <x:c r="I474" s="67" t="n">
        <x:v>3.5</x:v>
      </x:c>
      <x:c r="J474" s="67" t="n">
        <x:v>0</x:v>
      </x:c>
      <x:c r="K474" s="67" t="str">
        <x:v>WATCH</x:v>
      </x:c>
      <x:c r="L474" s="67" t="n">
        <x:v>0</x:v>
      </x:c>
      <x:c r="M474" s="68" t="n">
        <x:v>0</x:v>
      </x:c>
      <x:c r="N474" s="69" t="str">
        <x:v>Available</x:v>
      </x:c>
      <x:c r="O474" s="62" t="str">
        <x:v>Camp/summer-depth watch entry; no reliable 2026-27 fantasy projection. Verify final NBA contract, roster status and role before draft use.</x:v>
      </x:c>
      <x:c r="P474" s="60"/>
      <x:c r="Q474" s="60"/>
      <x:c r="R474" s="60"/>
      <x:c r="S474" s="60" t="n">
        <x:v>0</x:v>
      </x:c>
      <x:c r="T474" s="72" t="str">
        <x:v>https://github.com/A-V29/NBA.Rosters/blob/main/2026.Summer.League.json</x:v>
      </x:c>
      <x:c r="U474" s="87" t="str">
        <x:v>WATCH</x:v>
      </x:c>
      <x:c r="V474" s="87" t="str">
        <x:v>LOW</x:v>
      </x:c>
      <x:c r="W474" s="87" t="str">
        <x:v>NONE</x:v>
      </x:c>
      <x:c r="X474" s="87" t="str">
        <x:v>CAMP/SUMMER</x:v>
      </x:c>
      <x:c r="Y474" s="87" t="str">
        <x:v>2026-09-28 master / roster context 2026-09-03+</x:v>
      </x:c>
      <x:c r="Z474" s="72" t="str">
        <x:v>https://github.com/A-V29/NBA.Rosters/blob/main/2026.Summer.League.json</x:v>
      </x:c>
      <x:c r="AA474" s="72" t="str">
        <x:v>https://github.com/ballacademy/NBA-head-to-head-/blob/5b1decfc31ffb645469c7ffbd01aaca4b18181bd/data/nba-stats/nba-player-stats-202526-regular-season-per-game.csv</x:v>
      </x:c>
    </x:row>
    <x:row r="475" ht="21" customHeight="1">
      <x:c r="A475" s="64" t="n">
        <x:v>470</x:v>
      </x:c>
      <x:c r="B475" s="59" t="str">
        <x:v>Cameron Tyson</x:v>
      </x:c>
      <x:c r="C475" s="65" t="str">
        <x:v>GSW</x:v>
      </x:c>
      <x:c r="D475" s="65" t="str">
        <x:v>SG</x:v>
      </x:c>
      <x:c r="E475" s="65" t="str">
        <x:v>SG</x:v>
      </x:c>
      <x:c r="F475" s="66"/>
      <x:c r="G475" s="67"/>
      <x:c r="H475" s="67" t="n">
        <x:v>0</x:v>
      </x:c>
      <x:c r="I475" s="67" t="n">
        <x:v>3.5</x:v>
      </x:c>
      <x:c r="J475" s="67" t="n">
        <x:v>0</x:v>
      </x:c>
      <x:c r="K475" s="67" t="str">
        <x:v>WATCH</x:v>
      </x:c>
      <x:c r="L475" s="67" t="n">
        <x:v>0</x:v>
      </x:c>
      <x:c r="M475" s="68" t="n">
        <x:v>0</x:v>
      </x:c>
      <x:c r="N475" s="69" t="str">
        <x:v>Available</x:v>
      </x:c>
      <x:c r="O475" s="62" t="str">
        <x:v>Camp/summer-depth watch entry; no reliable 2026-27 fantasy projection. Verify final NBA contract, roster status and role before draft use.</x:v>
      </x:c>
      <x:c r="P475" s="60"/>
      <x:c r="Q475" s="60"/>
      <x:c r="R475" s="60"/>
      <x:c r="S475" s="60" t="n">
        <x:v>0</x:v>
      </x:c>
      <x:c r="T475" s="72" t="str">
        <x:v>https://github.com/A-V29/NBA.Rosters/blob/main/2026.Summer.League.json</x:v>
      </x:c>
      <x:c r="U475" s="87" t="str">
        <x:v>WATCH</x:v>
      </x:c>
      <x:c r="V475" s="87" t="str">
        <x:v>LOW</x:v>
      </x:c>
      <x:c r="W475" s="87" t="str">
        <x:v>NONE</x:v>
      </x:c>
      <x:c r="X475" s="87" t="str">
        <x:v>CAMP/SUMMER</x:v>
      </x:c>
      <x:c r="Y475" s="87" t="str">
        <x:v>2026-09-28 master / roster context 2026-09-03+</x:v>
      </x:c>
      <x:c r="Z475" s="72" t="str">
        <x:v>https://github.com/A-V29/NBA.Rosters/blob/main/2026.Summer.League.json</x:v>
      </x:c>
      <x:c r="AA475" s="72" t="str">
        <x:v>https://github.com/ballacademy/NBA-head-to-head-/blob/5b1decfc31ffb645469c7ffbd01aaca4b18181bd/data/nba-stats/nba-player-stats-202526-regular-season-per-game.csv</x:v>
      </x:c>
    </x:row>
    <x:row r="476" ht="21" customHeight="1">
      <x:c r="A476" s="64" t="n">
        <x:v>471</x:v>
      </x:c>
      <x:c r="B476" s="59" t="str">
        <x:v>Carson Cooper</x:v>
      </x:c>
      <x:c r="C476" s="65" t="str">
        <x:v>MEM</x:v>
      </x:c>
      <x:c r="D476" s="65" t="str">
        <x:v>C</x:v>
      </x:c>
      <x:c r="E476" s="65" t="str">
        <x:v>C</x:v>
      </x:c>
      <x:c r="F476" s="66"/>
      <x:c r="G476" s="67"/>
      <x:c r="H476" s="67" t="n">
        <x:v>0</x:v>
      </x:c>
      <x:c r="I476" s="67" t="n">
        <x:v>3.5</x:v>
      </x:c>
      <x:c r="J476" s="67" t="n">
        <x:v>0</x:v>
      </x:c>
      <x:c r="K476" s="67" t="str">
        <x:v>WATCH</x:v>
      </x:c>
      <x:c r="L476" s="67" t="n">
        <x:v>0</x:v>
      </x:c>
      <x:c r="M476" s="68" t="n">
        <x:v>0</x:v>
      </x:c>
      <x:c r="N476" s="69" t="str">
        <x:v>Available</x:v>
      </x:c>
      <x:c r="O476" s="62" t="str">
        <x:v>Camp/summer-depth watch entry; no reliable 2026-27 fantasy projection. Verify final NBA contract, roster status and role before draft use.</x:v>
      </x:c>
      <x:c r="P476" s="60"/>
      <x:c r="Q476" s="60"/>
      <x:c r="R476" s="60"/>
      <x:c r="S476" s="60" t="n">
        <x:v>0</x:v>
      </x:c>
      <x:c r="T476" s="72" t="str">
        <x:v>https://github.com/A-V29/NBA.Rosters/blob/main/2026.Summer.League.json</x:v>
      </x:c>
      <x:c r="U476" s="87" t="str">
        <x:v>WATCH</x:v>
      </x:c>
      <x:c r="V476" s="87" t="str">
        <x:v>LOW</x:v>
      </x:c>
      <x:c r="W476" s="87" t="str">
        <x:v>NONE</x:v>
      </x:c>
      <x:c r="X476" s="87" t="str">
        <x:v>CAMP/SUMMER</x:v>
      </x:c>
      <x:c r="Y476" s="87" t="str">
        <x:v>2026-09-28 master / roster context 2026-09-03+</x:v>
      </x:c>
      <x:c r="Z476" s="72" t="str">
        <x:v>https://github.com/A-V29/NBA.Rosters/blob/main/2026.Summer.League.json</x:v>
      </x:c>
      <x:c r="AA476" s="72" t="str">
        <x:v>https://github.com/ballacademy/NBA-head-to-head-/blob/5b1decfc31ffb645469c7ffbd01aaca4b18181bd/data/nba-stats/nba-player-stats-202526-regular-season-per-game.csv</x:v>
      </x:c>
    </x:row>
    <x:row r="477" ht="21" customHeight="1">
      <x:c r="A477" s="64" t="n">
        <x:v>472</x:v>
      </x:c>
      <x:c r="B477" s="59" t="str">
        <x:v>Chance McMillian</x:v>
      </x:c>
      <x:c r="C477" s="65" t="str">
        <x:v>GSW</x:v>
      </x:c>
      <x:c r="D477" s="65" t="str">
        <x:v>PG</x:v>
      </x:c>
      <x:c r="E477" s="65" t="str">
        <x:v>G</x:v>
      </x:c>
      <x:c r="F477" s="66"/>
      <x:c r="G477" s="67"/>
      <x:c r="H477" s="67" t="n">
        <x:v>0</x:v>
      </x:c>
      <x:c r="I477" s="67" t="n">
        <x:v>3.5</x:v>
      </x:c>
      <x:c r="J477" s="67" t="n">
        <x:v>0</x:v>
      </x:c>
      <x:c r="K477" s="67" t="str">
        <x:v>WATCH</x:v>
      </x:c>
      <x:c r="L477" s="67" t="n">
        <x:v>0</x:v>
      </x:c>
      <x:c r="M477" s="68" t="n">
        <x:v>0</x:v>
      </x:c>
      <x:c r="N477" s="69" t="str">
        <x:v>Available</x:v>
      </x:c>
      <x:c r="O477" s="62" t="str">
        <x:v>Camp/summer-depth watch entry; no reliable 2026-27 fantasy projection. Verify final NBA contract, roster status and role before draft use.</x:v>
      </x:c>
      <x:c r="P477" s="60"/>
      <x:c r="Q477" s="60"/>
      <x:c r="R477" s="60"/>
      <x:c r="S477" s="60" t="n">
        <x:v>0</x:v>
      </x:c>
      <x:c r="T477" s="72" t="str">
        <x:v>https://github.com/A-V29/NBA.Rosters/blob/main/2026.Summer.League.json</x:v>
      </x:c>
      <x:c r="U477" s="87" t="str">
        <x:v>WATCH</x:v>
      </x:c>
      <x:c r="V477" s="87" t="str">
        <x:v>LOW</x:v>
      </x:c>
      <x:c r="W477" s="87" t="str">
        <x:v>NONE</x:v>
      </x:c>
      <x:c r="X477" s="87" t="str">
        <x:v>CAMP/SUMMER</x:v>
      </x:c>
      <x:c r="Y477" s="87" t="str">
        <x:v>2026-09-28 master / roster context 2026-09-03+</x:v>
      </x:c>
      <x:c r="Z477" s="72" t="str">
        <x:v>https://github.com/A-V29/NBA.Rosters/blob/main/2026.Summer.League.json</x:v>
      </x:c>
      <x:c r="AA477" s="72" t="str">
        <x:v>https://github.com/ballacademy/NBA-head-to-head-/blob/5b1decfc31ffb645469c7ffbd01aaca4b18181bd/data/nba-stats/nba-player-stats-202526-regular-season-per-game.csv</x:v>
      </x:c>
    </x:row>
    <x:row r="478" ht="21" customHeight="1">
      <x:c r="A478" s="64" t="n">
        <x:v>473</x:v>
      </x:c>
      <x:c r="B478" s="59" t="str">
        <x:v>Charles Bediako</x:v>
      </x:c>
      <x:c r="C478" s="65" t="str">
        <x:v>CHI</x:v>
      </x:c>
      <x:c r="D478" s="65" t="str">
        <x:v>C</x:v>
      </x:c>
      <x:c r="E478" s="65" t="str">
        <x:v>FC</x:v>
      </x:c>
      <x:c r="F478" s="66"/>
      <x:c r="G478" s="67"/>
      <x:c r="H478" s="67" t="n">
        <x:v>0</x:v>
      </x:c>
      <x:c r="I478" s="67" t="n">
        <x:v>3.5</x:v>
      </x:c>
      <x:c r="J478" s="67" t="n">
        <x:v>0</x:v>
      </x:c>
      <x:c r="K478" s="67" t="str">
        <x:v>WATCH</x:v>
      </x:c>
      <x:c r="L478" s="67" t="n">
        <x:v>0</x:v>
      </x:c>
      <x:c r="M478" s="68" t="n">
        <x:v>0</x:v>
      </x:c>
      <x:c r="N478" s="69" t="str">
        <x:v>Available</x:v>
      </x:c>
      <x:c r="O478" s="62" t="str">
        <x:v>Camp/summer-depth watch entry; no reliable 2026-27 fantasy projection. Verify final NBA contract, roster status and role before draft use.</x:v>
      </x:c>
      <x:c r="P478" s="60"/>
      <x:c r="Q478" s="60"/>
      <x:c r="R478" s="60"/>
      <x:c r="S478" s="60" t="n">
        <x:v>0</x:v>
      </x:c>
      <x:c r="T478" s="72" t="str">
        <x:v>https://github.com/A-V29/NBA.Rosters/blob/main/2026.Summer.League.json</x:v>
      </x:c>
      <x:c r="U478" s="87" t="str">
        <x:v>WATCH</x:v>
      </x:c>
      <x:c r="V478" s="87" t="str">
        <x:v>LOW</x:v>
      </x:c>
      <x:c r="W478" s="87" t="str">
        <x:v>NONE</x:v>
      </x:c>
      <x:c r="X478" s="87" t="str">
        <x:v>CAMP/SUMMER</x:v>
      </x:c>
      <x:c r="Y478" s="87" t="str">
        <x:v>2026-09-28 master / roster context 2026-09-03+</x:v>
      </x:c>
      <x:c r="Z478" s="72" t="str">
        <x:v>https://github.com/A-V29/NBA.Rosters/blob/main/2026.Summer.League.json</x:v>
      </x:c>
      <x:c r="AA478" s="72" t="str">
        <x:v>https://github.com/ballacademy/NBA-head-to-head-/blob/5b1decfc31ffb645469c7ffbd01aaca4b18181bd/data/nba-stats/nba-player-stats-202526-regular-season-per-game.csv</x:v>
      </x:c>
    </x:row>
    <x:row r="479" ht="21" customHeight="1">
      <x:c r="A479" s="64" t="n">
        <x:v>474</x:v>
      </x:c>
      <x:c r="B479" s="59" t="str">
        <x:v>Chase Hunter</x:v>
      </x:c>
      <x:c r="C479" s="65" t="str">
        <x:v>GSW</x:v>
      </x:c>
      <x:c r="D479" s="65" t="str">
        <x:v>PG</x:v>
      </x:c>
      <x:c r="E479" s="65" t="str">
        <x:v>G</x:v>
      </x:c>
      <x:c r="F479" s="66"/>
      <x:c r="G479" s="67"/>
      <x:c r="H479" s="67" t="n">
        <x:v>0</x:v>
      </x:c>
      <x:c r="I479" s="67" t="n">
        <x:v>3.5</x:v>
      </x:c>
      <x:c r="J479" s="67" t="n">
        <x:v>0</x:v>
      </x:c>
      <x:c r="K479" s="67" t="str">
        <x:v>WATCH</x:v>
      </x:c>
      <x:c r="L479" s="67" t="n">
        <x:v>0</x:v>
      </x:c>
      <x:c r="M479" s="68" t="n">
        <x:v>0</x:v>
      </x:c>
      <x:c r="N479" s="69" t="str">
        <x:v>Available</x:v>
      </x:c>
      <x:c r="O479" s="62" t="str">
        <x:v>Camp/summer-depth watch entry; no reliable 2026-27 fantasy projection. Verify final NBA contract, roster status and role before draft use.</x:v>
      </x:c>
      <x:c r="P479" s="60"/>
      <x:c r="Q479" s="60"/>
      <x:c r="R479" s="60"/>
      <x:c r="S479" s="60" t="n">
        <x:v>0</x:v>
      </x:c>
      <x:c r="T479" s="72" t="str">
        <x:v>https://github.com/A-V29/NBA.Rosters/blob/main/2026.Summer.League.json</x:v>
      </x:c>
      <x:c r="U479" s="87" t="str">
        <x:v>WATCH</x:v>
      </x:c>
      <x:c r="V479" s="87" t="str">
        <x:v>LOW</x:v>
      </x:c>
      <x:c r="W479" s="87" t="str">
        <x:v>NONE</x:v>
      </x:c>
      <x:c r="X479" s="87" t="str">
        <x:v>CAMP/SUMMER</x:v>
      </x:c>
      <x:c r="Y479" s="87" t="str">
        <x:v>2026-09-28 master / roster context 2026-09-03+</x:v>
      </x:c>
      <x:c r="Z479" s="72" t="str">
        <x:v>https://github.com/A-V29/NBA.Rosters/blob/main/2026.Summer.League.json</x:v>
      </x:c>
      <x:c r="AA479" s="72" t="str">
        <x:v>https://github.com/ballacademy/NBA-head-to-head-/blob/5b1decfc31ffb645469c7ffbd01aaca4b18181bd/data/nba-stats/nba-player-stats-202526-regular-season-per-game.csv</x:v>
      </x:c>
    </x:row>
    <x:row r="480" ht="21" customHeight="1">
      <x:c r="A480" s="64" t="n">
        <x:v>475</x:v>
      </x:c>
      <x:c r="B480" s="59" t="str">
        <x:v>Chase Ross</x:v>
      </x:c>
      <x:c r="C480" s="65" t="str">
        <x:v>LAL</x:v>
      </x:c>
      <x:c r="D480" s="65" t="str">
        <x:v>PG</x:v>
      </x:c>
      <x:c r="E480" s="65" t="str">
        <x:v>G</x:v>
      </x:c>
      <x:c r="F480" s="66"/>
      <x:c r="G480" s="67"/>
      <x:c r="H480" s="67" t="n">
        <x:v>0</x:v>
      </x:c>
      <x:c r="I480" s="67" t="n">
        <x:v>3.5</x:v>
      </x:c>
      <x:c r="J480" s="67" t="n">
        <x:v>0</x:v>
      </x:c>
      <x:c r="K480" s="67" t="str">
        <x:v>WATCH</x:v>
      </x:c>
      <x:c r="L480" s="67" t="n">
        <x:v>0</x:v>
      </x:c>
      <x:c r="M480" s="68" t="n">
        <x:v>0</x:v>
      </x:c>
      <x:c r="N480" s="69" t="str">
        <x:v>Available</x:v>
      </x:c>
      <x:c r="O480" s="62" t="str">
        <x:v>Camp/summer-depth watch entry; no reliable 2026-27 fantasy projection. Verify final NBA contract, roster status and role before draft use.</x:v>
      </x:c>
      <x:c r="P480" s="60"/>
      <x:c r="Q480" s="60"/>
      <x:c r="R480" s="60"/>
      <x:c r="S480" s="60" t="n">
        <x:v>0</x:v>
      </x:c>
      <x:c r="T480" s="72" t="str">
        <x:v>https://github.com/A-V29/NBA.Rosters/blob/main/2026.Summer.League.json</x:v>
      </x:c>
      <x:c r="U480" s="87" t="str">
        <x:v>WATCH</x:v>
      </x:c>
      <x:c r="V480" s="87" t="str">
        <x:v>LOW</x:v>
      </x:c>
      <x:c r="W480" s="87" t="str">
        <x:v>NONE</x:v>
      </x:c>
      <x:c r="X480" s="87" t="str">
        <x:v>CAMP/SUMMER</x:v>
      </x:c>
      <x:c r="Y480" s="87" t="str">
        <x:v>2026-09-28 master / roster context 2026-09-03+</x:v>
      </x:c>
      <x:c r="Z480" s="72" t="str">
        <x:v>https://github.com/A-V29/NBA.Rosters/blob/main/2026.Summer.League.json</x:v>
      </x:c>
      <x:c r="AA480" s="72" t="str">
        <x:v>https://github.com/ballacademy/NBA-head-to-head-/blob/5b1decfc31ffb645469c7ffbd01aaca4b18181bd/data/nba-stats/nba-player-stats-202526-regular-season-per-game.csv</x:v>
      </x:c>
    </x:row>
    <x:row r="481" ht="21" customHeight="1">
      <x:c r="A481" s="64" t="n">
        <x:v>476</x:v>
      </x:c>
      <x:c r="B481" s="59" t="str">
        <x:v>Chauncey Wiggins</x:v>
      </x:c>
      <x:c r="C481" s="65" t="str">
        <x:v>BOS</x:v>
      </x:c>
      <x:c r="D481" s="65" t="str">
        <x:v>PF</x:v>
      </x:c>
      <x:c r="E481" s="65" t="str">
        <x:v>F</x:v>
      </x:c>
      <x:c r="F481" s="66"/>
      <x:c r="G481" s="67"/>
      <x:c r="H481" s="67" t="n">
        <x:v>0</x:v>
      </x:c>
      <x:c r="I481" s="67" t="n">
        <x:v>3.5</x:v>
      </x:c>
      <x:c r="J481" s="67" t="n">
        <x:v>0</x:v>
      </x:c>
      <x:c r="K481" s="67" t="str">
        <x:v>WATCH</x:v>
      </x:c>
      <x:c r="L481" s="67" t="n">
        <x:v>0</x:v>
      </x:c>
      <x:c r="M481" s="68" t="n">
        <x:v>0</x:v>
      </x:c>
      <x:c r="N481" s="69" t="str">
        <x:v>Available</x:v>
      </x:c>
      <x:c r="O481" s="62" t="str">
        <x:v>Camp/summer-depth watch entry; no reliable 2026-27 fantasy projection. Verify final NBA contract, roster status and role before draft use.</x:v>
      </x:c>
      <x:c r="P481" s="60"/>
      <x:c r="Q481" s="60"/>
      <x:c r="R481" s="60"/>
      <x:c r="S481" s="60" t="n">
        <x:v>0</x:v>
      </x:c>
      <x:c r="T481" s="72" t="str">
        <x:v>https://github.com/A-V29/NBA.Rosters/blob/main/2026.Summer.League.json</x:v>
      </x:c>
      <x:c r="U481" s="87" t="str">
        <x:v>WATCH</x:v>
      </x:c>
      <x:c r="V481" s="87" t="str">
        <x:v>LOW</x:v>
      </x:c>
      <x:c r="W481" s="87" t="str">
        <x:v>NONE</x:v>
      </x:c>
      <x:c r="X481" s="87" t="str">
        <x:v>CAMP/SUMMER</x:v>
      </x:c>
      <x:c r="Y481" s="87" t="str">
        <x:v>2026-09-28 master / roster context 2026-09-03+</x:v>
      </x:c>
      <x:c r="Z481" s="72" t="str">
        <x:v>https://github.com/A-V29/NBA.Rosters/blob/main/2026.Summer.League.json</x:v>
      </x:c>
      <x:c r="AA481" s="72" t="str">
        <x:v>https://github.com/ballacademy/NBA-head-to-head-/blob/5b1decfc31ffb645469c7ffbd01aaca4b18181bd/data/nba-stats/nba-player-stats-202526-regular-season-per-game.csv</x:v>
      </x:c>
    </x:row>
    <x:row r="482" ht="21" customHeight="1">
      <x:c r="A482" s="64" t="n">
        <x:v>477</x:v>
      </x:c>
      <x:c r="B482" s="59" t="str">
        <x:v>Chris Bell</x:v>
      </x:c>
      <x:c r="C482" s="65" t="str">
        <x:v>NOP</x:v>
      </x:c>
      <x:c r="D482" s="65" t="str">
        <x:v>SF</x:v>
      </x:c>
      <x:c r="E482" s="65" t="str">
        <x:v>GF</x:v>
      </x:c>
      <x:c r="F482" s="66"/>
      <x:c r="G482" s="67"/>
      <x:c r="H482" s="67" t="n">
        <x:v>0</x:v>
      </x:c>
      <x:c r="I482" s="67" t="n">
        <x:v>3.5</x:v>
      </x:c>
      <x:c r="J482" s="67" t="n">
        <x:v>0</x:v>
      </x:c>
      <x:c r="K482" s="67" t="str">
        <x:v>WATCH</x:v>
      </x:c>
      <x:c r="L482" s="67" t="n">
        <x:v>0</x:v>
      </x:c>
      <x:c r="M482" s="68" t="n">
        <x:v>0</x:v>
      </x:c>
      <x:c r="N482" s="69" t="str">
        <x:v>Available</x:v>
      </x:c>
      <x:c r="O482" s="62" t="str">
        <x:v>Camp/summer-depth watch entry; no reliable 2026-27 fantasy projection. Verify final NBA contract, roster status and role before draft use.</x:v>
      </x:c>
      <x:c r="P482" s="60"/>
      <x:c r="Q482" s="60"/>
      <x:c r="R482" s="60"/>
      <x:c r="S482" s="60" t="n">
        <x:v>0</x:v>
      </x:c>
      <x:c r="T482" s="72" t="str">
        <x:v>https://github.com/A-V29/NBA.Rosters/blob/main/2026.Summer.League.json</x:v>
      </x:c>
      <x:c r="U482" s="87" t="str">
        <x:v>WATCH</x:v>
      </x:c>
      <x:c r="V482" s="87" t="str">
        <x:v>LOW</x:v>
      </x:c>
      <x:c r="W482" s="87" t="str">
        <x:v>NONE</x:v>
      </x:c>
      <x:c r="X482" s="87" t="str">
        <x:v>CAMP/SUMMER</x:v>
      </x:c>
      <x:c r="Y482" s="87" t="str">
        <x:v>2026-09-28 master / roster context 2026-09-03+</x:v>
      </x:c>
      <x:c r="Z482" s="72" t="str">
        <x:v>https://github.com/A-V29/NBA.Rosters/blob/main/2026.Summer.League.json</x:v>
      </x:c>
      <x:c r="AA482" s="72" t="str">
        <x:v>https://github.com/ballacademy/NBA-head-to-head-/blob/5b1decfc31ffb645469c7ffbd01aaca4b18181bd/data/nba-stats/nba-player-stats-202526-regular-season-per-game.csv</x:v>
      </x:c>
    </x:row>
    <x:row r="483" ht="21" customHeight="1">
      <x:c r="A483" s="64" t="n">
        <x:v>478</x:v>
      </x:c>
      <x:c r="B483" s="59" t="str">
        <x:v>Chris Ledlum</x:v>
      </x:c>
      <x:c r="C483" s="65" t="str">
        <x:v>HOU</x:v>
      </x:c>
      <x:c r="D483" s="65" t="str">
        <x:v>SF</x:v>
      </x:c>
      <x:c r="E483" s="65" t="str">
        <x:v>GF</x:v>
      </x:c>
      <x:c r="F483" s="66"/>
      <x:c r="G483" s="67"/>
      <x:c r="H483" s="67" t="n">
        <x:v>0</x:v>
      </x:c>
      <x:c r="I483" s="67" t="n">
        <x:v>3.5</x:v>
      </x:c>
      <x:c r="J483" s="67" t="n">
        <x:v>0</x:v>
      </x:c>
      <x:c r="K483" s="67" t="str">
        <x:v>WATCH</x:v>
      </x:c>
      <x:c r="L483" s="67" t="n">
        <x:v>0</x:v>
      </x:c>
      <x:c r="M483" s="68" t="n">
        <x:v>0</x:v>
      </x:c>
      <x:c r="N483" s="69" t="str">
        <x:v>Available</x:v>
      </x:c>
      <x:c r="O483" s="62" t="str">
        <x:v>Camp/summer-depth watch entry; no reliable 2026-27 fantasy projection. Verify final NBA contract, roster status and role before draft use.</x:v>
      </x:c>
      <x:c r="P483" s="60"/>
      <x:c r="Q483" s="60"/>
      <x:c r="R483" s="60"/>
      <x:c r="S483" s="60" t="n">
        <x:v>0</x:v>
      </x:c>
      <x:c r="T483" s="72" t="str">
        <x:v>https://github.com/A-V29/NBA.Rosters/blob/main/2026.Summer.League.json</x:v>
      </x:c>
      <x:c r="U483" s="87" t="str">
        <x:v>WATCH</x:v>
      </x:c>
      <x:c r="V483" s="87" t="str">
        <x:v>LOW</x:v>
      </x:c>
      <x:c r="W483" s="87" t="str">
        <x:v>NONE</x:v>
      </x:c>
      <x:c r="X483" s="87" t="str">
        <x:v>CAMP/SUMMER</x:v>
      </x:c>
      <x:c r="Y483" s="87" t="str">
        <x:v>2026-09-28 master / roster context 2026-09-03+</x:v>
      </x:c>
      <x:c r="Z483" s="72" t="str">
        <x:v>https://github.com/A-V29/NBA.Rosters/blob/main/2026.Summer.League.json</x:v>
      </x:c>
      <x:c r="AA483" s="72" t="str">
        <x:v>https://github.com/ballacademy/NBA-head-to-head-/blob/5b1decfc31ffb645469c7ffbd01aaca4b18181bd/data/nba-stats/nba-player-stats-202526-regular-season-per-game.csv</x:v>
      </x:c>
    </x:row>
    <x:row r="484" ht="21" customHeight="1">
      <x:c r="A484" s="64" t="n">
        <x:v>479</x:v>
      </x:c>
      <x:c r="B484" s="59" t="str">
        <x:v>Christian Shumate</x:v>
      </x:c>
      <x:c r="C484" s="65" t="str">
        <x:v>NOP</x:v>
      </x:c>
      <x:c r="D484" s="65" t="str">
        <x:v>PF</x:v>
      </x:c>
      <x:c r="E484" s="65" t="str">
        <x:v>F</x:v>
      </x:c>
      <x:c r="F484" s="66"/>
      <x:c r="G484" s="67"/>
      <x:c r="H484" s="67" t="n">
        <x:v>0</x:v>
      </x:c>
      <x:c r="I484" s="67" t="n">
        <x:v>3.5</x:v>
      </x:c>
      <x:c r="J484" s="67" t="n">
        <x:v>0</x:v>
      </x:c>
      <x:c r="K484" s="67" t="str">
        <x:v>WATCH</x:v>
      </x:c>
      <x:c r="L484" s="67" t="n">
        <x:v>0</x:v>
      </x:c>
      <x:c r="M484" s="68" t="n">
        <x:v>0</x:v>
      </x:c>
      <x:c r="N484" s="69" t="str">
        <x:v>Available</x:v>
      </x:c>
      <x:c r="O484" s="62" t="str">
        <x:v>Camp/summer-depth watch entry; no reliable 2026-27 fantasy projection. Verify final NBA contract, roster status and role before draft use.</x:v>
      </x:c>
      <x:c r="P484" s="60"/>
      <x:c r="Q484" s="60"/>
      <x:c r="R484" s="60"/>
      <x:c r="S484" s="60" t="n">
        <x:v>0</x:v>
      </x:c>
      <x:c r="T484" s="72" t="str">
        <x:v>https://github.com/A-V29/NBA.Rosters/blob/main/2026.Summer.League.json</x:v>
      </x:c>
      <x:c r="U484" s="87" t="str">
        <x:v>WATCH</x:v>
      </x:c>
      <x:c r="V484" s="87" t="str">
        <x:v>LOW</x:v>
      </x:c>
      <x:c r="W484" s="87" t="str">
        <x:v>NONE</x:v>
      </x:c>
      <x:c r="X484" s="87" t="str">
        <x:v>CAMP/SUMMER</x:v>
      </x:c>
      <x:c r="Y484" s="87" t="str">
        <x:v>2026-09-28 master / roster context 2026-09-03+</x:v>
      </x:c>
      <x:c r="Z484" s="72" t="str">
        <x:v>https://github.com/A-V29/NBA.Rosters/blob/main/2026.Summer.League.json</x:v>
      </x:c>
      <x:c r="AA484" s="72" t="str">
        <x:v>https://github.com/ballacademy/NBA-head-to-head-/blob/5b1decfc31ffb645469c7ffbd01aaca4b18181bd/data/nba-stats/nba-player-stats-202526-regular-season-per-game.csv</x:v>
      </x:c>
    </x:row>
    <x:row r="485" ht="21" customHeight="1">
      <x:c r="A485" s="64" t="n">
        <x:v>480</x:v>
      </x:c>
      <x:c r="B485" s="59" t="str">
        <x:v>Christoph Tilly</x:v>
      </x:c>
      <x:c r="C485" s="65" t="str">
        <x:v>OKC</x:v>
      </x:c>
      <x:c r="D485" s="65" t="str">
        <x:v>C</x:v>
      </x:c>
      <x:c r="E485" s="65" t="str">
        <x:v>C</x:v>
      </x:c>
      <x:c r="F485" s="66"/>
      <x:c r="G485" s="67"/>
      <x:c r="H485" s="67" t="n">
        <x:v>0</x:v>
      </x:c>
      <x:c r="I485" s="67" t="n">
        <x:v>3.5</x:v>
      </x:c>
      <x:c r="J485" s="67" t="n">
        <x:v>0</x:v>
      </x:c>
      <x:c r="K485" s="67" t="str">
        <x:v>WATCH</x:v>
      </x:c>
      <x:c r="L485" s="67" t="n">
        <x:v>0</x:v>
      </x:c>
      <x:c r="M485" s="68" t="n">
        <x:v>0</x:v>
      </x:c>
      <x:c r="N485" s="69" t="str">
        <x:v>Available</x:v>
      </x:c>
      <x:c r="O485" s="62" t="str">
        <x:v>Camp/summer-depth watch entry; no reliable 2026-27 fantasy projection. Verify final NBA contract, roster status and role before draft use.</x:v>
      </x:c>
      <x:c r="P485" s="60"/>
      <x:c r="Q485" s="60"/>
      <x:c r="R485" s="60"/>
      <x:c r="S485" s="60" t="n">
        <x:v>0</x:v>
      </x:c>
      <x:c r="T485" s="72" t="str">
        <x:v>https://github.com/A-V29/NBA.Rosters/blob/main/2026.Summer.League.json</x:v>
      </x:c>
      <x:c r="U485" s="87" t="str">
        <x:v>WATCH</x:v>
      </x:c>
      <x:c r="V485" s="87" t="str">
        <x:v>LOW</x:v>
      </x:c>
      <x:c r="W485" s="87" t="str">
        <x:v>NONE</x:v>
      </x:c>
      <x:c r="X485" s="87" t="str">
        <x:v>CAMP/SUMMER</x:v>
      </x:c>
      <x:c r="Y485" s="87" t="str">
        <x:v>2026-09-28 master / roster context 2026-09-03+</x:v>
      </x:c>
      <x:c r="Z485" s="72" t="str">
        <x:v>https://github.com/A-V29/NBA.Rosters/blob/main/2026.Summer.League.json</x:v>
      </x:c>
      <x:c r="AA485" s="72" t="str">
        <x:v>https://github.com/ballacademy/NBA-head-to-head-/blob/5b1decfc31ffb645469c7ffbd01aaca4b18181bd/data/nba-stats/nba-player-stats-202526-regular-season-per-game.csv</x:v>
      </x:c>
    </x:row>
    <x:row r="486" ht="21" customHeight="1">
      <x:c r="A486" s="64" t="n">
        <x:v>481</x:v>
      </x:c>
      <x:c r="B486" s="59" t="str">
        <x:v>Coleman Hawkins</x:v>
      </x:c>
      <x:c r="C486" s="65" t="str">
        <x:v>DEN</x:v>
      </x:c>
      <x:c r="D486" s="65" t="str">
        <x:v>C</x:v>
      </x:c>
      <x:c r="E486" s="65" t="str">
        <x:v>FC</x:v>
      </x:c>
      <x:c r="F486" s="66"/>
      <x:c r="G486" s="67"/>
      <x:c r="H486" s="67" t="n">
        <x:v>0</x:v>
      </x:c>
      <x:c r="I486" s="67" t="n">
        <x:v>3.5</x:v>
      </x:c>
      <x:c r="J486" s="67" t="n">
        <x:v>0</x:v>
      </x:c>
      <x:c r="K486" s="67" t="str">
        <x:v>WATCH</x:v>
      </x:c>
      <x:c r="L486" s="67" t="n">
        <x:v>0</x:v>
      </x:c>
      <x:c r="M486" s="68" t="n">
        <x:v>0</x:v>
      </x:c>
      <x:c r="N486" s="69" t="str">
        <x:v>Available</x:v>
      </x:c>
      <x:c r="O486" s="62" t="str">
        <x:v>Camp/summer-depth watch entry; no reliable 2026-27 fantasy projection. Verify final NBA contract, roster status and role before draft use.</x:v>
      </x:c>
      <x:c r="P486" s="60"/>
      <x:c r="Q486" s="60"/>
      <x:c r="R486" s="60"/>
      <x:c r="S486" s="60" t="n">
        <x:v>0</x:v>
      </x:c>
      <x:c r="T486" s="72" t="str">
        <x:v>https://github.com/A-V29/NBA.Rosters/blob/main/2026.Summer.League.json</x:v>
      </x:c>
      <x:c r="U486" s="87" t="str">
        <x:v>WATCH</x:v>
      </x:c>
      <x:c r="V486" s="87" t="str">
        <x:v>LOW</x:v>
      </x:c>
      <x:c r="W486" s="87" t="str">
        <x:v>NONE</x:v>
      </x:c>
      <x:c r="X486" s="87" t="str">
        <x:v>CAMP/SUMMER</x:v>
      </x:c>
      <x:c r="Y486" s="87" t="str">
        <x:v>2026-09-28 master / roster context 2026-09-03+</x:v>
      </x:c>
      <x:c r="Z486" s="72" t="str">
        <x:v>https://github.com/A-V29/NBA.Rosters/blob/main/2026.Summer.League.json</x:v>
      </x:c>
      <x:c r="AA486" s="72" t="str">
        <x:v>https://github.com/ballacademy/NBA-head-to-head-/blob/5b1decfc31ffb645469c7ffbd01aaca4b18181bd/data/nba-stats/nba-player-stats-202526-regular-season-per-game.csv</x:v>
      </x:c>
    </x:row>
    <x:row r="487" ht="21" customHeight="1">
      <x:c r="A487" s="64" t="n">
        <x:v>482</x:v>
      </x:c>
      <x:c r="B487" s="59" t="str">
        <x:v>Corey Stephenson</x:v>
      </x:c>
      <x:c r="C487" s="65" t="str">
        <x:v>DET</x:v>
      </x:c>
      <x:c r="D487" s="65" t="str">
        <x:v>SF</x:v>
      </x:c>
      <x:c r="E487" s="65" t="str">
        <x:v>GF</x:v>
      </x:c>
      <x:c r="F487" s="66"/>
      <x:c r="G487" s="67"/>
      <x:c r="H487" s="67" t="n">
        <x:v>0</x:v>
      </x:c>
      <x:c r="I487" s="67" t="n">
        <x:v>3.5</x:v>
      </x:c>
      <x:c r="J487" s="67" t="n">
        <x:v>0</x:v>
      </x:c>
      <x:c r="K487" s="67" t="str">
        <x:v>WATCH</x:v>
      </x:c>
      <x:c r="L487" s="67" t="n">
        <x:v>0</x:v>
      </x:c>
      <x:c r="M487" s="68" t="n">
        <x:v>0</x:v>
      </x:c>
      <x:c r="N487" s="69" t="str">
        <x:v>Available</x:v>
      </x:c>
      <x:c r="O487" s="62" t="str">
        <x:v>Camp/summer-depth watch entry; no reliable 2026-27 fantasy projection. Verify final NBA contract, roster status and role before draft use.</x:v>
      </x:c>
      <x:c r="P487" s="60"/>
      <x:c r="Q487" s="60"/>
      <x:c r="R487" s="60"/>
      <x:c r="S487" s="60" t="n">
        <x:v>0</x:v>
      </x:c>
      <x:c r="T487" s="72" t="str">
        <x:v>https://github.com/A-V29/NBA.Rosters/blob/main/2026.Summer.League.json</x:v>
      </x:c>
      <x:c r="U487" s="87" t="str">
        <x:v>WATCH</x:v>
      </x:c>
      <x:c r="V487" s="87" t="str">
        <x:v>LOW</x:v>
      </x:c>
      <x:c r="W487" s="87" t="str">
        <x:v>NONE</x:v>
      </x:c>
      <x:c r="X487" s="87" t="str">
        <x:v>CAMP/SUMMER</x:v>
      </x:c>
      <x:c r="Y487" s="87" t="str">
        <x:v>2026-09-28 master / roster context 2026-09-03+</x:v>
      </x:c>
      <x:c r="Z487" s="72" t="str">
        <x:v>https://github.com/A-V29/NBA.Rosters/blob/main/2026.Summer.League.json</x:v>
      </x:c>
      <x:c r="AA487" s="72" t="str">
        <x:v>https://github.com/ballacademy/NBA-head-to-head-/blob/5b1decfc31ffb645469c7ffbd01aaca4b18181bd/data/nba-stats/nba-player-stats-202526-regular-season-per-game.csv</x:v>
      </x:c>
    </x:row>
    <x:row r="488" ht="21" customHeight="1">
      <x:c r="A488" s="64" t="n">
        <x:v>483</x:v>
      </x:c>
      <x:c r="B488" s="59" t="str">
        <x:v>D.J. Steward</x:v>
      </x:c>
      <x:c r="C488" s="65" t="str">
        <x:v>POR</x:v>
      </x:c>
      <x:c r="D488" s="65" t="str">
        <x:v>SG</x:v>
      </x:c>
      <x:c r="E488" s="65" t="str">
        <x:v>SG</x:v>
      </x:c>
      <x:c r="F488" s="66"/>
      <x:c r="G488" s="67"/>
      <x:c r="H488" s="67" t="n">
        <x:v>0</x:v>
      </x:c>
      <x:c r="I488" s="67" t="n">
        <x:v>3.5</x:v>
      </x:c>
      <x:c r="J488" s="67" t="n">
        <x:v>0</x:v>
      </x:c>
      <x:c r="K488" s="67" t="str">
        <x:v>WATCH</x:v>
      </x:c>
      <x:c r="L488" s="67" t="n">
        <x:v>0</x:v>
      </x:c>
      <x:c r="M488" s="68" t="n">
        <x:v>0</x:v>
      </x:c>
      <x:c r="N488" s="69" t="str">
        <x:v>Available</x:v>
      </x:c>
      <x:c r="O488" s="62" t="str">
        <x:v>Camp/summer-depth watch entry; no reliable 2026-27 fantasy projection. Verify final NBA contract, roster status and role before draft use.</x:v>
      </x:c>
      <x:c r="P488" s="60"/>
      <x:c r="Q488" s="60"/>
      <x:c r="R488" s="60"/>
      <x:c r="S488" s="60" t="n">
        <x:v>0</x:v>
      </x:c>
      <x:c r="T488" s="72" t="str">
        <x:v>https://github.com/A-V29/NBA.Rosters/blob/main/2026.Summer.League.json</x:v>
      </x:c>
      <x:c r="U488" s="87" t="str">
        <x:v>WATCH</x:v>
      </x:c>
      <x:c r="V488" s="87" t="str">
        <x:v>LOW</x:v>
      </x:c>
      <x:c r="W488" s="87" t="str">
        <x:v>NONE</x:v>
      </x:c>
      <x:c r="X488" s="87" t="str">
        <x:v>CAMP/SUMMER</x:v>
      </x:c>
      <x:c r="Y488" s="87" t="str">
        <x:v>2026-09-28 master / roster context 2026-09-03+</x:v>
      </x:c>
      <x:c r="Z488" s="72" t="str">
        <x:v>https://github.com/A-V29/NBA.Rosters/blob/main/2026.Summer.League.json</x:v>
      </x:c>
      <x:c r="AA488" s="72" t="str">
        <x:v>https://github.com/ballacademy/NBA-head-to-head-/blob/5b1decfc31ffb645469c7ffbd01aaca4b18181bd/data/nba-stats/nba-player-stats-202526-regular-season-per-game.csv</x:v>
      </x:c>
    </x:row>
    <x:row r="489" ht="21" customHeight="1">
      <x:c r="A489" s="64" t="n">
        <x:v>484</x:v>
      </x:c>
      <x:c r="B489" s="59" t="str">
        <x:v>Daishen Nix</x:v>
      </x:c>
      <x:c r="C489" s="65" t="str">
        <x:v>HOU</x:v>
      </x:c>
      <x:c r="D489" s="65" t="str">
        <x:v>PG</x:v>
      </x:c>
      <x:c r="E489" s="65" t="str">
        <x:v>PG</x:v>
      </x:c>
      <x:c r="F489" s="66"/>
      <x:c r="G489" s="67"/>
      <x:c r="H489" s="67" t="n">
        <x:v>0</x:v>
      </x:c>
      <x:c r="I489" s="67" t="n">
        <x:v>3.5</x:v>
      </x:c>
      <x:c r="J489" s="67" t="n">
        <x:v>0</x:v>
      </x:c>
      <x:c r="K489" s="67" t="str">
        <x:v>WATCH</x:v>
      </x:c>
      <x:c r="L489" s="67" t="n">
        <x:v>0</x:v>
      </x:c>
      <x:c r="M489" s="68" t="n">
        <x:v>0</x:v>
      </x:c>
      <x:c r="N489" s="69" t="str">
        <x:v>Available</x:v>
      </x:c>
      <x:c r="O489" s="62" t="str">
        <x:v>Camp/summer-depth watch entry; no reliable 2026-27 fantasy projection. Verify final NBA contract, roster status and role before draft use.</x:v>
      </x:c>
      <x:c r="P489" s="60"/>
      <x:c r="Q489" s="60"/>
      <x:c r="R489" s="60"/>
      <x:c r="S489" s="60" t="n">
        <x:v>0</x:v>
      </x:c>
      <x:c r="T489" s="72" t="str">
        <x:v>https://github.com/A-V29/NBA.Rosters/blob/main/2026.Summer.League.json</x:v>
      </x:c>
      <x:c r="U489" s="87" t="str">
        <x:v>WATCH</x:v>
      </x:c>
      <x:c r="V489" s="87" t="str">
        <x:v>LOW</x:v>
      </x:c>
      <x:c r="W489" s="87" t="str">
        <x:v>NONE</x:v>
      </x:c>
      <x:c r="X489" s="87" t="str">
        <x:v>CAMP/SUMMER</x:v>
      </x:c>
      <x:c r="Y489" s="87" t="str">
        <x:v>2026-09-28 master / roster context 2026-09-03+</x:v>
      </x:c>
      <x:c r="Z489" s="72" t="str">
        <x:v>https://github.com/A-V29/NBA.Rosters/blob/main/2026.Summer.League.json</x:v>
      </x:c>
      <x:c r="AA489" s="72" t="str">
        <x:v>https://github.com/ballacademy/NBA-head-to-head-/blob/5b1decfc31ffb645469c7ffbd01aaca4b18181bd/data/nba-stats/nba-player-stats-202526-regular-season-per-game.csv</x:v>
      </x:c>
    </x:row>
    <x:row r="490" ht="21" customHeight="1">
      <x:c r="A490" s="64" t="n">
        <x:v>485</x:v>
      </x:c>
      <x:c r="B490" s="59" t="str">
        <x:v>Damari Monsanto</x:v>
      </x:c>
      <x:c r="C490" s="65" t="str">
        <x:v>WAS</x:v>
      </x:c>
      <x:c r="D490" s="65" t="str">
        <x:v>SF</x:v>
      </x:c>
      <x:c r="E490" s="65" t="str">
        <x:v>GF</x:v>
      </x:c>
      <x:c r="F490" s="66"/>
      <x:c r="G490" s="67"/>
      <x:c r="H490" s="67" t="n">
        <x:v>0</x:v>
      </x:c>
      <x:c r="I490" s="67" t="n">
        <x:v>3.5</x:v>
      </x:c>
      <x:c r="J490" s="67" t="n">
        <x:v>0</x:v>
      </x:c>
      <x:c r="K490" s="67" t="str">
        <x:v>WATCH</x:v>
      </x:c>
      <x:c r="L490" s="67" t="n">
        <x:v>0</x:v>
      </x:c>
      <x:c r="M490" s="68" t="n">
        <x:v>0</x:v>
      </x:c>
      <x:c r="N490" s="69" t="str">
        <x:v>Available</x:v>
      </x:c>
      <x:c r="O490" s="62" t="str">
        <x:v>Camp/summer-depth watch entry; no reliable 2026-27 fantasy projection. Verify final NBA contract, roster status and role before draft use.</x:v>
      </x:c>
      <x:c r="P490" s="60"/>
      <x:c r="Q490" s="60"/>
      <x:c r="R490" s="60"/>
      <x:c r="S490" s="60" t="n">
        <x:v>0</x:v>
      </x:c>
      <x:c r="T490" s="72" t="str">
        <x:v>https://github.com/A-V29/NBA.Rosters/blob/main/2026.Summer.League.json</x:v>
      </x:c>
      <x:c r="U490" s="87" t="str">
        <x:v>WATCH</x:v>
      </x:c>
      <x:c r="V490" s="87" t="str">
        <x:v>LOW</x:v>
      </x:c>
      <x:c r="W490" s="87" t="str">
        <x:v>NONE</x:v>
      </x:c>
      <x:c r="X490" s="87" t="str">
        <x:v>CAMP/SUMMER</x:v>
      </x:c>
      <x:c r="Y490" s="87" t="str">
        <x:v>2026-09-28 master / roster context 2026-09-03+</x:v>
      </x:c>
      <x:c r="Z490" s="72" t="str">
        <x:v>https://github.com/A-V29/NBA.Rosters/blob/main/2026.Summer.League.json</x:v>
      </x:c>
      <x:c r="AA490" s="72" t="str">
        <x:v>https://github.com/ballacademy/NBA-head-to-head-/blob/5b1decfc31ffb645469c7ffbd01aaca4b18181bd/data/nba-stats/nba-player-stats-202526-regular-season-per-game.csv</x:v>
      </x:c>
    </x:row>
    <x:row r="491" ht="21" customHeight="1">
      <x:c r="A491" s="64" t="n">
        <x:v>486</x:v>
      </x:c>
      <x:c r="B491" s="59" t="str">
        <x:v>Dane Goodwin</x:v>
      </x:c>
      <x:c r="C491" s="65" t="str">
        <x:v>CLE</x:v>
      </x:c>
      <x:c r="D491" s="65" t="str">
        <x:v>PG</x:v>
      </x:c>
      <x:c r="E491" s="65" t="str">
        <x:v>G</x:v>
      </x:c>
      <x:c r="F491" s="66"/>
      <x:c r="G491" s="67"/>
      <x:c r="H491" s="67" t="n">
        <x:v>0</x:v>
      </x:c>
      <x:c r="I491" s="67" t="n">
        <x:v>3.5</x:v>
      </x:c>
      <x:c r="J491" s="67" t="n">
        <x:v>0</x:v>
      </x:c>
      <x:c r="K491" s="67" t="str">
        <x:v>WATCH</x:v>
      </x:c>
      <x:c r="L491" s="67" t="n">
        <x:v>0</x:v>
      </x:c>
      <x:c r="M491" s="68" t="n">
        <x:v>0</x:v>
      </x:c>
      <x:c r="N491" s="69" t="str">
        <x:v>Available</x:v>
      </x:c>
      <x:c r="O491" s="62" t="str">
        <x:v>Camp/summer-depth watch entry; no reliable 2026-27 fantasy projection. Verify final NBA contract, roster status and role before draft use.</x:v>
      </x:c>
      <x:c r="P491" s="60"/>
      <x:c r="Q491" s="60"/>
      <x:c r="R491" s="60"/>
      <x:c r="S491" s="60" t="n">
        <x:v>0</x:v>
      </x:c>
      <x:c r="T491" s="72" t="str">
        <x:v>https://github.com/A-V29/NBA.Rosters/blob/main/2026.Summer.League.json</x:v>
      </x:c>
      <x:c r="U491" s="87" t="str">
        <x:v>WATCH</x:v>
      </x:c>
      <x:c r="V491" s="87" t="str">
        <x:v>LOW</x:v>
      </x:c>
      <x:c r="W491" s="87" t="str">
        <x:v>NONE</x:v>
      </x:c>
      <x:c r="X491" s="87" t="str">
        <x:v>CAMP/SUMMER</x:v>
      </x:c>
      <x:c r="Y491" s="87" t="str">
        <x:v>2026-09-28 master / roster context 2026-09-03+</x:v>
      </x:c>
      <x:c r="Z491" s="72" t="str">
        <x:v>https://github.com/A-V29/NBA.Rosters/blob/main/2026.Summer.League.json</x:v>
      </x:c>
      <x:c r="AA491" s="72" t="str">
        <x:v>https://github.com/ballacademy/NBA-head-to-head-/blob/5b1decfc31ffb645469c7ffbd01aaca4b18181bd/data/nba-stats/nba-player-stats-202526-regular-season-per-game.csv</x:v>
      </x:c>
    </x:row>
    <x:row r="492" ht="21" customHeight="1">
      <x:c r="A492" s="64" t="n">
        <x:v>487</x:v>
      </x:c>
      <x:c r="B492" s="59" t="str">
        <x:v>David Green</x:v>
      </x:c>
      <x:c r="C492" s="65" t="str">
        <x:v>GSW</x:v>
      </x:c>
      <x:c r="D492" s="65" t="str">
        <x:v>PF</x:v>
      </x:c>
      <x:c r="E492" s="65" t="str">
        <x:v>F</x:v>
      </x:c>
      <x:c r="F492" s="66"/>
      <x:c r="G492" s="67"/>
      <x:c r="H492" s="67" t="n">
        <x:v>0</x:v>
      </x:c>
      <x:c r="I492" s="67" t="n">
        <x:v>3.5</x:v>
      </x:c>
      <x:c r="J492" s="67" t="n">
        <x:v>0</x:v>
      </x:c>
      <x:c r="K492" s="67" t="str">
        <x:v>WATCH</x:v>
      </x:c>
      <x:c r="L492" s="67" t="n">
        <x:v>0</x:v>
      </x:c>
      <x:c r="M492" s="68" t="n">
        <x:v>0</x:v>
      </x:c>
      <x:c r="N492" s="69" t="str">
        <x:v>Available</x:v>
      </x:c>
      <x:c r="O492" s="62" t="str">
        <x:v>Camp/summer-depth watch entry; no reliable 2026-27 fantasy projection. Verify final NBA contract, roster status and role before draft use.</x:v>
      </x:c>
      <x:c r="P492" s="60"/>
      <x:c r="Q492" s="60"/>
      <x:c r="R492" s="60"/>
      <x:c r="S492" s="60" t="n">
        <x:v>0</x:v>
      </x:c>
      <x:c r="T492" s="72" t="str">
        <x:v>https://github.com/A-V29/NBA.Rosters/blob/main/2026.Summer.League.json</x:v>
      </x:c>
      <x:c r="U492" s="87" t="str">
        <x:v>WATCH</x:v>
      </x:c>
      <x:c r="V492" s="87" t="str">
        <x:v>LOW</x:v>
      </x:c>
      <x:c r="W492" s="87" t="str">
        <x:v>NONE</x:v>
      </x:c>
      <x:c r="X492" s="87" t="str">
        <x:v>CAMP/SUMMER</x:v>
      </x:c>
      <x:c r="Y492" s="87" t="str">
        <x:v>2026-09-28 master / roster context 2026-09-03+</x:v>
      </x:c>
      <x:c r="Z492" s="72" t="str">
        <x:v>https://github.com/A-V29/NBA.Rosters/blob/main/2026.Summer.League.json</x:v>
      </x:c>
      <x:c r="AA492" s="72" t="str">
        <x:v>https://github.com/ballacademy/NBA-head-to-head-/blob/5b1decfc31ffb645469c7ffbd01aaca4b18181bd/data/nba-stats/nba-player-stats-202526-regular-season-per-game.csv</x:v>
      </x:c>
    </x:row>
    <x:row r="493" ht="21" customHeight="1">
      <x:c r="A493" s="64" t="n">
        <x:v>488</x:v>
      </x:c>
      <x:c r="B493" s="59" t="str">
        <x:v>David Muoka</x:v>
      </x:c>
      <x:c r="C493" s="65" t="str">
        <x:v>SAS</x:v>
      </x:c>
      <x:c r="D493" s="65" t="str">
        <x:v>C</x:v>
      </x:c>
      <x:c r="E493" s="65" t="str">
        <x:v>C</x:v>
      </x:c>
      <x:c r="F493" s="66"/>
      <x:c r="G493" s="67"/>
      <x:c r="H493" s="67" t="n">
        <x:v>0</x:v>
      </x:c>
      <x:c r="I493" s="67" t="n">
        <x:v>3.5</x:v>
      </x:c>
      <x:c r="J493" s="67" t="n">
        <x:v>0</x:v>
      </x:c>
      <x:c r="K493" s="67" t="str">
        <x:v>WATCH</x:v>
      </x:c>
      <x:c r="L493" s="67" t="n">
        <x:v>0</x:v>
      </x:c>
      <x:c r="M493" s="68" t="n">
        <x:v>0</x:v>
      </x:c>
      <x:c r="N493" s="69" t="str">
        <x:v>Available</x:v>
      </x:c>
      <x:c r="O493" s="62" t="str">
        <x:v>Camp/summer-depth watch entry; no reliable 2026-27 fantasy projection. Verify final NBA contract, roster status and role before draft use.</x:v>
      </x:c>
      <x:c r="P493" s="60"/>
      <x:c r="Q493" s="60"/>
      <x:c r="R493" s="60"/>
      <x:c r="S493" s="60" t="n">
        <x:v>0</x:v>
      </x:c>
      <x:c r="T493" s="72" t="str">
        <x:v>https://github.com/A-V29/NBA.Rosters/blob/main/2026.Summer.League.json</x:v>
      </x:c>
      <x:c r="U493" s="87" t="str">
        <x:v>WATCH</x:v>
      </x:c>
      <x:c r="V493" s="87" t="str">
        <x:v>LOW</x:v>
      </x:c>
      <x:c r="W493" s="87" t="str">
        <x:v>NONE</x:v>
      </x:c>
      <x:c r="X493" s="87" t="str">
        <x:v>CAMP/SUMMER</x:v>
      </x:c>
      <x:c r="Y493" s="87" t="str">
        <x:v>2026-09-28 master / roster context 2026-09-03+</x:v>
      </x:c>
      <x:c r="Z493" s="72" t="str">
        <x:v>https://github.com/A-V29/NBA.Rosters/blob/main/2026.Summer.League.json</x:v>
      </x:c>
      <x:c r="AA493" s="72" t="str">
        <x:v>https://github.com/ballacademy/NBA-head-to-head-/blob/5b1decfc31ffb645469c7ffbd01aaca4b18181bd/data/nba-stats/nba-player-stats-202526-regular-season-per-game.csv</x:v>
      </x:c>
    </x:row>
    <x:row r="494" ht="21" customHeight="1">
      <x:c r="A494" s="64" t="n">
        <x:v>489</x:v>
      </x:c>
      <x:c r="B494" s="59" t="str">
        <x:v>Davide Casarin</x:v>
      </x:c>
      <x:c r="C494" s="65" t="str">
        <x:v>HOU</x:v>
      </x:c>
      <x:c r="D494" s="65" t="str">
        <x:v>PG</x:v>
      </x:c>
      <x:c r="E494" s="65" t="str">
        <x:v>G</x:v>
      </x:c>
      <x:c r="F494" s="66"/>
      <x:c r="G494" s="67"/>
      <x:c r="H494" s="67" t="n">
        <x:v>0</x:v>
      </x:c>
      <x:c r="I494" s="67" t="n">
        <x:v>3.5</x:v>
      </x:c>
      <x:c r="J494" s="67" t="n">
        <x:v>0</x:v>
      </x:c>
      <x:c r="K494" s="67" t="str">
        <x:v>WATCH</x:v>
      </x:c>
      <x:c r="L494" s="67" t="n">
        <x:v>0</x:v>
      </x:c>
      <x:c r="M494" s="68" t="n">
        <x:v>0</x:v>
      </x:c>
      <x:c r="N494" s="69" t="str">
        <x:v>Available</x:v>
      </x:c>
      <x:c r="O494" s="62" t="str">
        <x:v>Camp/summer-depth watch entry; no reliable 2026-27 fantasy projection. Verify final NBA contract, roster status and role before draft use.</x:v>
      </x:c>
      <x:c r="P494" s="60"/>
      <x:c r="Q494" s="60"/>
      <x:c r="R494" s="60"/>
      <x:c r="S494" s="60" t="n">
        <x:v>0</x:v>
      </x:c>
      <x:c r="T494" s="72" t="str">
        <x:v>https://github.com/A-V29/NBA.Rosters/blob/main/2026.Summer.League.json</x:v>
      </x:c>
      <x:c r="U494" s="87" t="str">
        <x:v>WATCH</x:v>
      </x:c>
      <x:c r="V494" s="87" t="str">
        <x:v>LOW</x:v>
      </x:c>
      <x:c r="W494" s="87" t="str">
        <x:v>NONE</x:v>
      </x:c>
      <x:c r="X494" s="87" t="str">
        <x:v>CAMP/SUMMER</x:v>
      </x:c>
      <x:c r="Y494" s="87" t="str">
        <x:v>2026-09-28 master / roster context 2026-09-03+</x:v>
      </x:c>
      <x:c r="Z494" s="72" t="str">
        <x:v>https://github.com/A-V29/NBA.Rosters/blob/main/2026.Summer.League.json</x:v>
      </x:c>
      <x:c r="AA494" s="72" t="str">
        <x:v>https://github.com/ballacademy/NBA-head-to-head-/blob/5b1decfc31ffb645469c7ffbd01aaca4b18181bd/data/nba-stats/nba-player-stats-202526-regular-season-per-game.csv</x:v>
      </x:c>
    </x:row>
    <x:row r="495" ht="21" customHeight="1">
      <x:c r="A495" s="64" t="n">
        <x:v>490</x:v>
      </x:c>
      <x:c r="B495" s="59" t="str">
        <x:v>Dawson Garcia</x:v>
      </x:c>
      <x:c r="C495" s="65" t="str">
        <x:v>DET</x:v>
      </x:c>
      <x:c r="D495" s="65" t="str">
        <x:v>PF</x:v>
      </x:c>
      <x:c r="E495" s="65" t="str">
        <x:v>F</x:v>
      </x:c>
      <x:c r="F495" s="66"/>
      <x:c r="G495" s="67"/>
      <x:c r="H495" s="67" t="n">
        <x:v>0</x:v>
      </x:c>
      <x:c r="I495" s="67" t="n">
        <x:v>3.5</x:v>
      </x:c>
      <x:c r="J495" s="67" t="n">
        <x:v>0</x:v>
      </x:c>
      <x:c r="K495" s="67" t="str">
        <x:v>WATCH</x:v>
      </x:c>
      <x:c r="L495" s="67" t="n">
        <x:v>0</x:v>
      </x:c>
      <x:c r="M495" s="68" t="n">
        <x:v>0</x:v>
      </x:c>
      <x:c r="N495" s="69" t="str">
        <x:v>Available</x:v>
      </x:c>
      <x:c r="O495" s="62" t="str">
        <x:v>Camp/summer-depth watch entry; no reliable 2026-27 fantasy projection. Verify final NBA contract, roster status and role before draft use.</x:v>
      </x:c>
      <x:c r="P495" s="60"/>
      <x:c r="Q495" s="60"/>
      <x:c r="R495" s="60"/>
      <x:c r="S495" s="60" t="n">
        <x:v>0</x:v>
      </x:c>
      <x:c r="T495" s="72" t="str">
        <x:v>https://github.com/A-V29/NBA.Rosters/blob/main/2026.Summer.League.json</x:v>
      </x:c>
      <x:c r="U495" s="87" t="str">
        <x:v>WATCH</x:v>
      </x:c>
      <x:c r="V495" s="87" t="str">
        <x:v>LOW</x:v>
      </x:c>
      <x:c r="W495" s="87" t="str">
        <x:v>NONE</x:v>
      </x:c>
      <x:c r="X495" s="87" t="str">
        <x:v>CAMP/SUMMER</x:v>
      </x:c>
      <x:c r="Y495" s="87" t="str">
        <x:v>2026-09-28 master / roster context 2026-09-03+</x:v>
      </x:c>
      <x:c r="Z495" s="72" t="str">
        <x:v>https://github.com/A-V29/NBA.Rosters/blob/main/2026.Summer.League.json</x:v>
      </x:c>
      <x:c r="AA495" s="72" t="str">
        <x:v>https://github.com/ballacademy/NBA-head-to-head-/blob/5b1decfc31ffb645469c7ffbd01aaca4b18181bd/data/nba-stats/nba-player-stats-202526-regular-season-per-game.csv</x:v>
      </x:c>
    </x:row>
    <x:row r="496" ht="21" customHeight="1">
      <x:c r="A496" s="64" t="n">
        <x:v>491</x:v>
      </x:c>
      <x:c r="B496" s="59" t="str">
        <x:v>Day-Day Thomas</x:v>
      </x:c>
      <x:c r="C496" s="65" t="str">
        <x:v>BOS</x:v>
      </x:c>
      <x:c r="D496" s="65" t="str">
        <x:v>PG</x:v>
      </x:c>
      <x:c r="E496" s="65" t="str">
        <x:v>G</x:v>
      </x:c>
      <x:c r="F496" s="66"/>
      <x:c r="G496" s="67"/>
      <x:c r="H496" s="67" t="n">
        <x:v>0</x:v>
      </x:c>
      <x:c r="I496" s="67" t="n">
        <x:v>3.5</x:v>
      </x:c>
      <x:c r="J496" s="67" t="n">
        <x:v>0</x:v>
      </x:c>
      <x:c r="K496" s="67" t="str">
        <x:v>WATCH</x:v>
      </x:c>
      <x:c r="L496" s="67" t="n">
        <x:v>0</x:v>
      </x:c>
      <x:c r="M496" s="68" t="n">
        <x:v>0</x:v>
      </x:c>
      <x:c r="N496" s="69" t="str">
        <x:v>Available</x:v>
      </x:c>
      <x:c r="O496" s="62" t="str">
        <x:v>Camp/summer-depth watch entry; no reliable 2026-27 fantasy projection. Verify final NBA contract, roster status and role before draft use.</x:v>
      </x:c>
      <x:c r="P496" s="60"/>
      <x:c r="Q496" s="60"/>
      <x:c r="R496" s="60"/>
      <x:c r="S496" s="60" t="n">
        <x:v>0</x:v>
      </x:c>
      <x:c r="T496" s="72" t="str">
        <x:v>https://github.com/A-V29/NBA.Rosters/blob/main/2026.Summer.League.json</x:v>
      </x:c>
      <x:c r="U496" s="87" t="str">
        <x:v>WATCH</x:v>
      </x:c>
      <x:c r="V496" s="87" t="str">
        <x:v>LOW</x:v>
      </x:c>
      <x:c r="W496" s="87" t="str">
        <x:v>NONE</x:v>
      </x:c>
      <x:c r="X496" s="87" t="str">
        <x:v>CAMP/SUMMER</x:v>
      </x:c>
      <x:c r="Y496" s="87" t="str">
        <x:v>2026-09-28 master / roster context 2026-09-03+</x:v>
      </x:c>
      <x:c r="Z496" s="72" t="str">
        <x:v>https://github.com/A-V29/NBA.Rosters/blob/main/2026.Summer.League.json</x:v>
      </x:c>
      <x:c r="AA496" s="72" t="str">
        <x:v>https://github.com/ballacademy/NBA-head-to-head-/blob/5b1decfc31ffb645469c7ffbd01aaca4b18181bd/data/nba-stats/nba-player-stats-202526-regular-season-per-game.csv</x:v>
      </x:c>
    </x:row>
    <x:row r="497" ht="21" customHeight="1">
      <x:c r="A497" s="64" t="n">
        <x:v>492</x:v>
      </x:c>
      <x:c r="B497" s="59" t="str">
        <x:v>Deivon Smith</x:v>
      </x:c>
      <x:c r="C497" s="65" t="str">
        <x:v>GSW</x:v>
      </x:c>
      <x:c r="D497" s="65" t="str">
        <x:v>PG</x:v>
      </x:c>
      <x:c r="E497" s="65" t="str">
        <x:v>PG</x:v>
      </x:c>
      <x:c r="F497" s="66"/>
      <x:c r="G497" s="67"/>
      <x:c r="H497" s="67" t="n">
        <x:v>0</x:v>
      </x:c>
      <x:c r="I497" s="67" t="n">
        <x:v>3.5</x:v>
      </x:c>
      <x:c r="J497" s="67" t="n">
        <x:v>0</x:v>
      </x:c>
      <x:c r="K497" s="67" t="str">
        <x:v>WATCH</x:v>
      </x:c>
      <x:c r="L497" s="67" t="n">
        <x:v>0</x:v>
      </x:c>
      <x:c r="M497" s="68" t="n">
        <x:v>0</x:v>
      </x:c>
      <x:c r="N497" s="69" t="str">
        <x:v>Available</x:v>
      </x:c>
      <x:c r="O497" s="62" t="str">
        <x:v>Camp/summer-depth watch entry; no reliable 2026-27 fantasy projection. Verify final NBA contract, roster status and role before draft use.</x:v>
      </x:c>
      <x:c r="P497" s="60"/>
      <x:c r="Q497" s="60"/>
      <x:c r="R497" s="60"/>
      <x:c r="S497" s="60" t="n">
        <x:v>0</x:v>
      </x:c>
      <x:c r="T497" s="72" t="str">
        <x:v>https://github.com/A-V29/NBA.Rosters/blob/main/2026.Summer.League.json</x:v>
      </x:c>
      <x:c r="U497" s="87" t="str">
        <x:v>WATCH</x:v>
      </x:c>
      <x:c r="V497" s="87" t="str">
        <x:v>LOW</x:v>
      </x:c>
      <x:c r="W497" s="87" t="str">
        <x:v>NONE</x:v>
      </x:c>
      <x:c r="X497" s="87" t="str">
        <x:v>CAMP/SUMMER</x:v>
      </x:c>
      <x:c r="Y497" s="87" t="str">
        <x:v>2026-09-28 master / roster context 2026-09-03+</x:v>
      </x:c>
      <x:c r="Z497" s="72" t="str">
        <x:v>https://github.com/A-V29/NBA.Rosters/blob/main/2026.Summer.League.json</x:v>
      </x:c>
      <x:c r="AA497" s="72" t="str">
        <x:v>https://github.com/ballacademy/NBA-head-to-head-/blob/5b1decfc31ffb645469c7ffbd01aaca4b18181bd/data/nba-stats/nba-player-stats-202526-regular-season-per-game.csv</x:v>
      </x:c>
    </x:row>
    <x:row r="498" ht="21" customHeight="1">
      <x:c r="A498" s="64" t="n">
        <x:v>493</x:v>
      </x:c>
      <x:c r="B498" s="59" t="str">
        <x:v>Devin Askew</x:v>
      </x:c>
      <x:c r="C498" s="65" t="str">
        <x:v>PHX</x:v>
      </x:c>
      <x:c r="D498" s="65" t="str">
        <x:v>PG</x:v>
      </x:c>
      <x:c r="E498" s="65" t="str">
        <x:v>G</x:v>
      </x:c>
      <x:c r="F498" s="66"/>
      <x:c r="G498" s="67"/>
      <x:c r="H498" s="67" t="n">
        <x:v>0</x:v>
      </x:c>
      <x:c r="I498" s="67" t="n">
        <x:v>3.5</x:v>
      </x:c>
      <x:c r="J498" s="67" t="n">
        <x:v>0</x:v>
      </x:c>
      <x:c r="K498" s="67" t="str">
        <x:v>WATCH</x:v>
      </x:c>
      <x:c r="L498" s="67" t="n">
        <x:v>0</x:v>
      </x:c>
      <x:c r="M498" s="68" t="n">
        <x:v>0</x:v>
      </x:c>
      <x:c r="N498" s="69" t="str">
        <x:v>Available</x:v>
      </x:c>
      <x:c r="O498" s="62" t="str">
        <x:v>Camp/summer-depth watch entry; no reliable 2026-27 fantasy projection. Verify final NBA contract, roster status and role before draft use.</x:v>
      </x:c>
      <x:c r="P498" s="60"/>
      <x:c r="Q498" s="60"/>
      <x:c r="R498" s="60"/>
      <x:c r="S498" s="60" t="n">
        <x:v>0</x:v>
      </x:c>
      <x:c r="T498" s="72" t="str">
        <x:v>https://github.com/A-V29/NBA.Rosters/blob/main/2026.Summer.League.json</x:v>
      </x:c>
      <x:c r="U498" s="87" t="str">
        <x:v>WATCH</x:v>
      </x:c>
      <x:c r="V498" s="87" t="str">
        <x:v>LOW</x:v>
      </x:c>
      <x:c r="W498" s="87" t="str">
        <x:v>NONE</x:v>
      </x:c>
      <x:c r="X498" s="87" t="str">
        <x:v>CAMP/SUMMER</x:v>
      </x:c>
      <x:c r="Y498" s="87" t="str">
        <x:v>2026-09-28 master / roster context 2026-09-03+</x:v>
      </x:c>
      <x:c r="Z498" s="72" t="str">
        <x:v>https://github.com/A-V29/NBA.Rosters/blob/main/2026.Summer.League.json</x:v>
      </x:c>
      <x:c r="AA498" s="72" t="str">
        <x:v>https://github.com/ballacademy/NBA-head-to-head-/blob/5b1decfc31ffb645469c7ffbd01aaca4b18181bd/data/nba-stats/nba-player-stats-202526-regular-season-per-game.csv</x:v>
      </x:c>
    </x:row>
    <x:row r="499" ht="21" customHeight="1">
      <x:c r="A499" s="64" t="n">
        <x:v>494</x:v>
      </x:c>
      <x:c r="B499" s="59" t="str">
        <x:v>Devin McGlockton</x:v>
      </x:c>
      <x:c r="C499" s="65" t="str">
        <x:v>MIN</x:v>
      </x:c>
      <x:c r="D499" s="65" t="str">
        <x:v>PF</x:v>
      </x:c>
      <x:c r="E499" s="65" t="str">
        <x:v>F</x:v>
      </x:c>
      <x:c r="F499" s="66"/>
      <x:c r="G499" s="67"/>
      <x:c r="H499" s="67" t="n">
        <x:v>0</x:v>
      </x:c>
      <x:c r="I499" s="67" t="n">
        <x:v>3.5</x:v>
      </x:c>
      <x:c r="J499" s="67" t="n">
        <x:v>0</x:v>
      </x:c>
      <x:c r="K499" s="67" t="str">
        <x:v>WATCH</x:v>
      </x:c>
      <x:c r="L499" s="67" t="n">
        <x:v>0</x:v>
      </x:c>
      <x:c r="M499" s="68" t="n">
        <x:v>0</x:v>
      </x:c>
      <x:c r="N499" s="69" t="str">
        <x:v>Available</x:v>
      </x:c>
      <x:c r="O499" s="62" t="str">
        <x:v>Camp/summer-depth watch entry; no reliable 2026-27 fantasy projection. Verify final NBA contract, roster status and role before draft use.</x:v>
      </x:c>
      <x:c r="P499" s="60"/>
      <x:c r="Q499" s="60"/>
      <x:c r="R499" s="60"/>
      <x:c r="S499" s="60" t="n">
        <x:v>0</x:v>
      </x:c>
      <x:c r="T499" s="72" t="str">
        <x:v>https://github.com/A-V29/NBA.Rosters/blob/main/2026.Summer.League.json</x:v>
      </x:c>
      <x:c r="U499" s="87" t="str">
        <x:v>WATCH</x:v>
      </x:c>
      <x:c r="V499" s="87" t="str">
        <x:v>LOW</x:v>
      </x:c>
      <x:c r="W499" s="87" t="str">
        <x:v>NONE</x:v>
      </x:c>
      <x:c r="X499" s="87" t="str">
        <x:v>CAMP/SUMMER</x:v>
      </x:c>
      <x:c r="Y499" s="87" t="str">
        <x:v>2026-09-28 master / roster context 2026-09-03+</x:v>
      </x:c>
      <x:c r="Z499" s="72" t="str">
        <x:v>https://github.com/A-V29/NBA.Rosters/blob/main/2026.Summer.League.json</x:v>
      </x:c>
      <x:c r="AA499" s="72" t="str">
        <x:v>https://github.com/ballacademy/NBA-head-to-head-/blob/5b1decfc31ffb645469c7ffbd01aaca4b18181bd/data/nba-stats/nba-player-stats-202526-regular-season-per-game.csv</x:v>
      </x:c>
    </x:row>
    <x:row r="500" ht="21" customHeight="1">
      <x:c r="A500" s="64" t="n">
        <x:v>495</x:v>
      </x:c>
      <x:c r="B500" s="59" t="str">
        <x:v>Devon Higgs</x:v>
      </x:c>
      <x:c r="C500" s="65" t="str">
        <x:v>ATL</x:v>
      </x:c>
      <x:c r="D500" s="65" t="str">
        <x:v>SF</x:v>
      </x:c>
      <x:c r="E500" s="65" t="str">
        <x:v>GF</x:v>
      </x:c>
      <x:c r="F500" s="66"/>
      <x:c r="G500" s="67"/>
      <x:c r="H500" s="67" t="n">
        <x:v>0</x:v>
      </x:c>
      <x:c r="I500" s="67" t="n">
        <x:v>3.5</x:v>
      </x:c>
      <x:c r="J500" s="67" t="n">
        <x:v>0</x:v>
      </x:c>
      <x:c r="K500" s="67" t="str">
        <x:v>WATCH</x:v>
      </x:c>
      <x:c r="L500" s="67" t="n">
        <x:v>0</x:v>
      </x:c>
      <x:c r="M500" s="68" t="n">
        <x:v>0</x:v>
      </x:c>
      <x:c r="N500" s="69" t="str">
        <x:v>Available</x:v>
      </x:c>
      <x:c r="O500" s="62" t="str">
        <x:v>Camp/summer-depth watch entry; no reliable 2026-27 fantasy projection. Verify final NBA contract, roster status and role before draft use.</x:v>
      </x:c>
      <x:c r="P500" s="60"/>
      <x:c r="Q500" s="60"/>
      <x:c r="R500" s="60"/>
      <x:c r="S500" s="60" t="n">
        <x:v>0</x:v>
      </x:c>
      <x:c r="T500" s="72" t="str">
        <x:v>https://github.com/A-V29/NBA.Rosters/blob/main/2026.Summer.League.json</x:v>
      </x:c>
      <x:c r="U500" s="87" t="str">
        <x:v>WATCH</x:v>
      </x:c>
      <x:c r="V500" s="87" t="str">
        <x:v>LOW</x:v>
      </x:c>
      <x:c r="W500" s="87" t="str">
        <x:v>NONE</x:v>
      </x:c>
      <x:c r="X500" s="87" t="str">
        <x:v>CAMP/SUMMER</x:v>
      </x:c>
      <x:c r="Y500" s="87" t="str">
        <x:v>2026-09-28 master / roster context 2026-09-03+</x:v>
      </x:c>
      <x:c r="Z500" s="72" t="str">
        <x:v>https://github.com/A-V29/NBA.Rosters/blob/main/2026.Summer.League.json</x:v>
      </x:c>
      <x:c r="AA500" s="72" t="str">
        <x:v>https://github.com/ballacademy/NBA-head-to-head-/blob/5b1decfc31ffb645469c7ffbd01aaca4b18181bd/data/nba-stats/nba-player-stats-202526-regular-season-per-game.csv</x:v>
      </x:c>
    </x:row>
    <x:row r="501" ht="21" customHeight="1">
      <x:c r="A501" s="64" t="n">
        <x:v>496</x:v>
      </x:c>
      <x:c r="B501" s="59" t="str">
        <x:v>Dillon Mitchell</x:v>
      </x:c>
      <x:c r="C501" s="65" t="str">
        <x:v>BOS</x:v>
      </x:c>
      <x:c r="D501" s="65" t="str">
        <x:v>PF</x:v>
      </x:c>
      <x:c r="E501" s="65" t="str">
        <x:v>F</x:v>
      </x:c>
      <x:c r="F501" s="66"/>
      <x:c r="G501" s="67"/>
      <x:c r="H501" s="67" t="n">
        <x:v>0</x:v>
      </x:c>
      <x:c r="I501" s="67" t="n">
        <x:v>3.5</x:v>
      </x:c>
      <x:c r="J501" s="67" t="n">
        <x:v>0</x:v>
      </x:c>
      <x:c r="K501" s="67" t="str">
        <x:v>WATCH</x:v>
      </x:c>
      <x:c r="L501" s="67" t="n">
        <x:v>0</x:v>
      </x:c>
      <x:c r="M501" s="68" t="n">
        <x:v>0</x:v>
      </x:c>
      <x:c r="N501" s="69" t="str">
        <x:v>Available</x:v>
      </x:c>
      <x:c r="O501" s="62" t="str">
        <x:v>Camp/summer-depth watch entry; no reliable 2026-27 fantasy projection. Verify final NBA contract, roster status and role before draft use.</x:v>
      </x:c>
      <x:c r="P501" s="60"/>
      <x:c r="Q501" s="60"/>
      <x:c r="R501" s="60"/>
      <x:c r="S501" s="60" t="n">
        <x:v>0</x:v>
      </x:c>
      <x:c r="T501" s="72" t="str">
        <x:v>https://github.com/A-V29/NBA.Rosters/blob/main/2026.Summer.League.json</x:v>
      </x:c>
      <x:c r="U501" s="87" t="str">
        <x:v>WATCH</x:v>
      </x:c>
      <x:c r="V501" s="87" t="str">
        <x:v>LOW</x:v>
      </x:c>
      <x:c r="W501" s="87" t="str">
        <x:v>NONE</x:v>
      </x:c>
      <x:c r="X501" s="87" t="str">
        <x:v>CAMP/SUMMER</x:v>
      </x:c>
      <x:c r="Y501" s="87" t="str">
        <x:v>2026-09-28 master / roster context 2026-09-03+</x:v>
      </x:c>
      <x:c r="Z501" s="72" t="str">
        <x:v>https://github.com/A-V29/NBA.Rosters/blob/main/2026.Summer.League.json</x:v>
      </x:c>
      <x:c r="AA501" s="72" t="str">
        <x:v>https://github.com/ballacademy/NBA-head-to-head-/blob/5b1decfc31ffb645469c7ffbd01aaca4b18181bd/data/nba-stats/nba-player-stats-202526-regular-season-per-game.csv</x:v>
      </x:c>
    </x:row>
    <x:row r="502" ht="21" customHeight="1">
      <x:c r="A502" s="64" t="n">
        <x:v>497</x:v>
      </x:c>
      <x:c r="B502" s="59" t="str">
        <x:v>Dion Brown</x:v>
      </x:c>
      <x:c r="C502" s="65" t="str">
        <x:v>BKN</x:v>
      </x:c>
      <x:c r="D502" s="65" t="str">
        <x:v>PG</x:v>
      </x:c>
      <x:c r="E502" s="65" t="str">
        <x:v>G</x:v>
      </x:c>
      <x:c r="F502" s="66"/>
      <x:c r="G502" s="67"/>
      <x:c r="H502" s="67" t="n">
        <x:v>0</x:v>
      </x:c>
      <x:c r="I502" s="67" t="n">
        <x:v>3.5</x:v>
      </x:c>
      <x:c r="J502" s="67" t="n">
        <x:v>0</x:v>
      </x:c>
      <x:c r="K502" s="67" t="str">
        <x:v>WATCH</x:v>
      </x:c>
      <x:c r="L502" s="67" t="n">
        <x:v>0</x:v>
      </x:c>
      <x:c r="M502" s="68" t="n">
        <x:v>0</x:v>
      </x:c>
      <x:c r="N502" s="69" t="str">
        <x:v>Available</x:v>
      </x:c>
      <x:c r="O502" s="62" t="str">
        <x:v>Camp/summer-depth watch entry; no reliable 2026-27 fantasy projection. Verify final NBA contract, roster status and role before draft use.</x:v>
      </x:c>
      <x:c r="P502" s="60"/>
      <x:c r="Q502" s="60"/>
      <x:c r="R502" s="60"/>
      <x:c r="S502" s="60" t="n">
        <x:v>0</x:v>
      </x:c>
      <x:c r="T502" s="72" t="str">
        <x:v>https://github.com/A-V29/NBA.Rosters/blob/main/2026.Summer.League.json</x:v>
      </x:c>
      <x:c r="U502" s="87" t="str">
        <x:v>WATCH</x:v>
      </x:c>
      <x:c r="V502" s="87" t="str">
        <x:v>LOW</x:v>
      </x:c>
      <x:c r="W502" s="87" t="str">
        <x:v>NONE</x:v>
      </x:c>
      <x:c r="X502" s="87" t="str">
        <x:v>CAMP/SUMMER</x:v>
      </x:c>
      <x:c r="Y502" s="87" t="str">
        <x:v>2026-09-28 master / roster context 2026-09-03+</x:v>
      </x:c>
      <x:c r="Z502" s="72" t="str">
        <x:v>https://github.com/A-V29/NBA.Rosters/blob/main/2026.Summer.League.json</x:v>
      </x:c>
      <x:c r="AA502" s="72" t="str">
        <x:v>https://github.com/ballacademy/NBA-head-to-head-/blob/5b1decfc31ffb645469c7ffbd01aaca4b18181bd/data/nba-stats/nba-player-stats-202526-regular-season-per-game.csv</x:v>
      </x:c>
    </x:row>
    <x:row r="503" ht="21" customHeight="1">
      <x:c r="A503" s="64" t="n">
        <x:v>498</x:v>
      </x:c>
      <x:c r="B503" s="59" t="str">
        <x:v>Donovan Atwell</x:v>
      </x:c>
      <x:c r="C503" s="65" t="str">
        <x:v>CHI</x:v>
      </x:c>
      <x:c r="D503" s="65" t="str">
        <x:v>SG</x:v>
      </x:c>
      <x:c r="E503" s="65" t="str">
        <x:v>SG</x:v>
      </x:c>
      <x:c r="F503" s="66"/>
      <x:c r="G503" s="67"/>
      <x:c r="H503" s="67" t="n">
        <x:v>0</x:v>
      </x:c>
      <x:c r="I503" s="67" t="n">
        <x:v>3.5</x:v>
      </x:c>
      <x:c r="J503" s="67" t="n">
        <x:v>0</x:v>
      </x:c>
      <x:c r="K503" s="67" t="str">
        <x:v>WATCH</x:v>
      </x:c>
      <x:c r="L503" s="67" t="n">
        <x:v>0</x:v>
      </x:c>
      <x:c r="M503" s="68" t="n">
        <x:v>0</x:v>
      </x:c>
      <x:c r="N503" s="69" t="str">
        <x:v>Available</x:v>
      </x:c>
      <x:c r="O503" s="62" t="str">
        <x:v>Camp/summer-depth watch entry; no reliable 2026-27 fantasy projection. Verify final NBA contract, roster status and role before draft use.</x:v>
      </x:c>
      <x:c r="P503" s="60"/>
      <x:c r="Q503" s="60"/>
      <x:c r="R503" s="60"/>
      <x:c r="S503" s="60" t="n">
        <x:v>0</x:v>
      </x:c>
      <x:c r="T503" s="72" t="str">
        <x:v>https://github.com/A-V29/NBA.Rosters/blob/main/2026.Summer.League.json</x:v>
      </x:c>
      <x:c r="U503" s="87" t="str">
        <x:v>WATCH</x:v>
      </x:c>
      <x:c r="V503" s="87" t="str">
        <x:v>LOW</x:v>
      </x:c>
      <x:c r="W503" s="87" t="str">
        <x:v>NONE</x:v>
      </x:c>
      <x:c r="X503" s="87" t="str">
        <x:v>CAMP/SUMMER</x:v>
      </x:c>
      <x:c r="Y503" s="87" t="str">
        <x:v>2026-09-28 master / roster context 2026-09-03+</x:v>
      </x:c>
      <x:c r="Z503" s="72" t="str">
        <x:v>https://github.com/A-V29/NBA.Rosters/blob/main/2026.Summer.League.json</x:v>
      </x:c>
      <x:c r="AA503" s="72" t="str">
        <x:v>https://github.com/ballacademy/NBA-head-to-head-/blob/5b1decfc31ffb645469c7ffbd01aaca4b18181bd/data/nba-stats/nba-player-stats-202526-regular-season-per-game.csv</x:v>
      </x:c>
    </x:row>
    <x:row r="504" ht="21" customHeight="1">
      <x:c r="A504" s="64" t="n">
        <x:v>499</x:v>
      </x:c>
      <x:c r="B504" s="59" t="str">
        <x:v>Drake Allen</x:v>
      </x:c>
      <x:c r="C504" s="65" t="str">
        <x:v>DET</x:v>
      </x:c>
      <x:c r="D504" s="65" t="str">
        <x:v>PG</x:v>
      </x:c>
      <x:c r="E504" s="65" t="str">
        <x:v>G</x:v>
      </x:c>
      <x:c r="F504" s="66"/>
      <x:c r="G504" s="67"/>
      <x:c r="H504" s="67" t="n">
        <x:v>0</x:v>
      </x:c>
      <x:c r="I504" s="67" t="n">
        <x:v>3.5</x:v>
      </x:c>
      <x:c r="J504" s="67" t="n">
        <x:v>0</x:v>
      </x:c>
      <x:c r="K504" s="67" t="str">
        <x:v>WATCH</x:v>
      </x:c>
      <x:c r="L504" s="67" t="n">
        <x:v>0</x:v>
      </x:c>
      <x:c r="M504" s="68" t="n">
        <x:v>0</x:v>
      </x:c>
      <x:c r="N504" s="69" t="str">
        <x:v>Available</x:v>
      </x:c>
      <x:c r="O504" s="62" t="str">
        <x:v>Camp/summer-depth watch entry; no reliable 2026-27 fantasy projection. Verify final NBA contract, roster status and role before draft use.</x:v>
      </x:c>
      <x:c r="P504" s="60"/>
      <x:c r="Q504" s="60"/>
      <x:c r="R504" s="60"/>
      <x:c r="S504" s="60" t="n">
        <x:v>0</x:v>
      </x:c>
      <x:c r="T504" s="72" t="str">
        <x:v>https://github.com/A-V29/NBA.Rosters/blob/main/2026.Summer.League.json</x:v>
      </x:c>
      <x:c r="U504" s="87" t="str">
        <x:v>WATCH</x:v>
      </x:c>
      <x:c r="V504" s="87" t="str">
        <x:v>LOW</x:v>
      </x:c>
      <x:c r="W504" s="87" t="str">
        <x:v>NONE</x:v>
      </x:c>
      <x:c r="X504" s="87" t="str">
        <x:v>CAMP/SUMMER</x:v>
      </x:c>
      <x:c r="Y504" s="87" t="str">
        <x:v>2026-09-28 master / roster context 2026-09-03+</x:v>
      </x:c>
      <x:c r="Z504" s="72" t="str">
        <x:v>https://github.com/A-V29/NBA.Rosters/blob/main/2026.Summer.League.json</x:v>
      </x:c>
      <x:c r="AA504" s="72" t="str">
        <x:v>https://github.com/ballacademy/NBA-head-to-head-/blob/5b1decfc31ffb645469c7ffbd01aaca4b18181bd/data/nba-stats/nba-player-stats-202526-regular-season-per-game.csv</x:v>
      </x:c>
    </x:row>
    <x:row r="505" ht="21" customHeight="1">
      <x:c r="A505" s="64" t="n">
        <x:v>500</x:v>
      </x:c>
      <x:c r="B505" s="59" t="str">
        <x:v>Drew Cisse</x:v>
      </x:c>
      <x:c r="C505" s="65" t="str">
        <x:v>PHI</x:v>
      </x:c>
      <x:c r="D505" s="65" t="str">
        <x:v>C</x:v>
      </x:c>
      <x:c r="E505" s="65" t="str">
        <x:v>C</x:v>
      </x:c>
      <x:c r="F505" s="66"/>
      <x:c r="G505" s="67"/>
      <x:c r="H505" s="67" t="n">
        <x:v>0</x:v>
      </x:c>
      <x:c r="I505" s="67" t="n">
        <x:v>3.5</x:v>
      </x:c>
      <x:c r="J505" s="67" t="n">
        <x:v>0</x:v>
      </x:c>
      <x:c r="K505" s="67" t="str">
        <x:v>WATCH</x:v>
      </x:c>
      <x:c r="L505" s="67" t="n">
        <x:v>0</x:v>
      </x:c>
      <x:c r="M505" s="68" t="n">
        <x:v>0</x:v>
      </x:c>
      <x:c r="N505" s="69" t="str">
        <x:v>Available</x:v>
      </x:c>
      <x:c r="O505" s="62" t="str">
        <x:v>Camp/summer-depth watch entry; no reliable 2026-27 fantasy projection. Verify final NBA contract, roster status and role before draft use.</x:v>
      </x:c>
      <x:c r="P505" s="60"/>
      <x:c r="Q505" s="60"/>
      <x:c r="R505" s="60"/>
      <x:c r="S505" s="60" t="n">
        <x:v>0</x:v>
      </x:c>
      <x:c r="T505" s="72" t="str">
        <x:v>https://github.com/A-V29/NBA.Rosters/blob/main/2026.Summer.League.json</x:v>
      </x:c>
      <x:c r="U505" s="87" t="str">
        <x:v>WATCH</x:v>
      </x:c>
      <x:c r="V505" s="87" t="str">
        <x:v>LOW</x:v>
      </x:c>
      <x:c r="W505" s="87" t="str">
        <x:v>NONE</x:v>
      </x:c>
      <x:c r="X505" s="87" t="str">
        <x:v>CAMP/SUMMER</x:v>
      </x:c>
      <x:c r="Y505" s="87" t="str">
        <x:v>2026-09-28 master / roster context 2026-09-03+</x:v>
      </x:c>
      <x:c r="Z505" s="72" t="str">
        <x:v>https://github.com/A-V29/NBA.Rosters/blob/main/2026.Summer.League.json</x:v>
      </x:c>
      <x:c r="AA505" s="72" t="str">
        <x:v>https://github.com/ballacademy/NBA-head-to-head-/blob/5b1decfc31ffb645469c7ffbd01aaca4b18181bd/data/nba-stats/nba-player-stats-202526-regular-season-per-game.csv</x:v>
      </x:c>
    </x:row>
    <x:row r="506" ht="21" customHeight="1">
      <x:c r="A506" s="64" t="n">
        <x:v>501</x:v>
      </x:c>
      <x:c r="B506" s="59" t="str">
        <x:v>Duke Brennan</x:v>
      </x:c>
      <x:c r="C506" s="65" t="str">
        <x:v>BKN</x:v>
      </x:c>
      <x:c r="D506" s="65" t="str">
        <x:v>C</x:v>
      </x:c>
      <x:c r="E506" s="65" t="str">
        <x:v>C</x:v>
      </x:c>
      <x:c r="F506" s="66"/>
      <x:c r="G506" s="67"/>
      <x:c r="H506" s="67" t="n">
        <x:v>0</x:v>
      </x:c>
      <x:c r="I506" s="67" t="n">
        <x:v>3.5</x:v>
      </x:c>
      <x:c r="J506" s="67" t="n">
        <x:v>0</x:v>
      </x:c>
      <x:c r="K506" s="67" t="str">
        <x:v>WATCH</x:v>
      </x:c>
      <x:c r="L506" s="67" t="n">
        <x:v>0</x:v>
      </x:c>
      <x:c r="M506" s="68" t="n">
        <x:v>0</x:v>
      </x:c>
      <x:c r="N506" s="69" t="str">
        <x:v>Available</x:v>
      </x:c>
      <x:c r="O506" s="62" t="str">
        <x:v>Camp/summer-depth watch entry; no reliable 2026-27 fantasy projection. Verify final NBA contract, roster status and role before draft use.</x:v>
      </x:c>
      <x:c r="P506" s="60"/>
      <x:c r="Q506" s="60"/>
      <x:c r="R506" s="60"/>
      <x:c r="S506" s="60" t="n">
        <x:v>0</x:v>
      </x:c>
      <x:c r="T506" s="72" t="str">
        <x:v>https://github.com/A-V29/NBA.Rosters/blob/main/2026.Summer.League.json</x:v>
      </x:c>
      <x:c r="U506" s="87" t="str">
        <x:v>WATCH</x:v>
      </x:c>
      <x:c r="V506" s="87" t="str">
        <x:v>LOW</x:v>
      </x:c>
      <x:c r="W506" s="87" t="str">
        <x:v>NONE</x:v>
      </x:c>
      <x:c r="X506" s="87" t="str">
        <x:v>CAMP/SUMMER</x:v>
      </x:c>
      <x:c r="Y506" s="87" t="str">
        <x:v>2026-09-28 master / roster context 2026-09-03+</x:v>
      </x:c>
      <x:c r="Z506" s="72" t="str">
        <x:v>https://github.com/A-V29/NBA.Rosters/blob/main/2026.Summer.League.json</x:v>
      </x:c>
      <x:c r="AA506" s="72" t="str">
        <x:v>https://github.com/ballacademy/NBA-head-to-head-/blob/5b1decfc31ffb645469c7ffbd01aaca4b18181bd/data/nba-stats/nba-player-stats-202526-regular-season-per-game.csv</x:v>
      </x:c>
    </x:row>
    <x:row r="507" ht="21" customHeight="1">
      <x:c r="A507" s="64" t="n">
        <x:v>502</x:v>
      </x:c>
      <x:c r="B507" s="59" t="str">
        <x:v>Duke Miles</x:v>
      </x:c>
      <x:c r="C507" s="65" t="str">
        <x:v>PHI</x:v>
      </x:c>
      <x:c r="D507" s="65" t="str">
        <x:v>PG</x:v>
      </x:c>
      <x:c r="E507" s="65" t="str">
        <x:v>PG</x:v>
      </x:c>
      <x:c r="F507" s="66"/>
      <x:c r="G507" s="67"/>
      <x:c r="H507" s="67" t="n">
        <x:v>0</x:v>
      </x:c>
      <x:c r="I507" s="67" t="n">
        <x:v>3.5</x:v>
      </x:c>
      <x:c r="J507" s="67" t="n">
        <x:v>0</x:v>
      </x:c>
      <x:c r="K507" s="67" t="str">
        <x:v>WATCH</x:v>
      </x:c>
      <x:c r="L507" s="67" t="n">
        <x:v>0</x:v>
      </x:c>
      <x:c r="M507" s="68" t="n">
        <x:v>0</x:v>
      </x:c>
      <x:c r="N507" s="69" t="str">
        <x:v>Available</x:v>
      </x:c>
      <x:c r="O507" s="62" t="str">
        <x:v>Camp/summer-depth watch entry; no reliable 2026-27 fantasy projection. Verify final NBA contract, roster status and role before draft use.</x:v>
      </x:c>
      <x:c r="P507" s="60"/>
      <x:c r="Q507" s="60"/>
      <x:c r="R507" s="60"/>
      <x:c r="S507" s="60" t="n">
        <x:v>0</x:v>
      </x:c>
      <x:c r="T507" s="72" t="str">
        <x:v>https://github.com/A-V29/NBA.Rosters/blob/main/2026.Summer.League.json</x:v>
      </x:c>
      <x:c r="U507" s="87" t="str">
        <x:v>WATCH</x:v>
      </x:c>
      <x:c r="V507" s="87" t="str">
        <x:v>LOW</x:v>
      </x:c>
      <x:c r="W507" s="87" t="str">
        <x:v>NONE</x:v>
      </x:c>
      <x:c r="X507" s="87" t="str">
        <x:v>CAMP/SUMMER</x:v>
      </x:c>
      <x:c r="Y507" s="87" t="str">
        <x:v>2026-09-28 master / roster context 2026-09-03+</x:v>
      </x:c>
      <x:c r="Z507" s="72" t="str">
        <x:v>https://github.com/A-V29/NBA.Rosters/blob/main/2026.Summer.League.json</x:v>
      </x:c>
      <x:c r="AA507" s="72" t="str">
        <x:v>https://github.com/ballacademy/NBA-head-to-head-/blob/5b1decfc31ffb645469c7ffbd01aaca4b18181bd/data/nba-stats/nba-player-stats-202526-regular-season-per-game.csv</x:v>
      </x:c>
    </x:row>
    <x:row r="508" ht="21" customHeight="1">
      <x:c r="A508" s="64" t="n">
        <x:v>503</x:v>
      </x:c>
      <x:c r="B508" s="59" t="str">
        <x:v>EJ Anosike</x:v>
      </x:c>
      <x:c r="C508" s="65" t="str">
        <x:v>DEN</x:v>
      </x:c>
      <x:c r="D508" s="65" t="str">
        <x:v>PF</x:v>
      </x:c>
      <x:c r="E508" s="65" t="str">
        <x:v>PF</x:v>
      </x:c>
      <x:c r="F508" s="66"/>
      <x:c r="G508" s="67"/>
      <x:c r="H508" s="67" t="n">
        <x:v>0</x:v>
      </x:c>
      <x:c r="I508" s="67" t="n">
        <x:v>3.5</x:v>
      </x:c>
      <x:c r="J508" s="67" t="n">
        <x:v>0</x:v>
      </x:c>
      <x:c r="K508" s="67" t="str">
        <x:v>WATCH</x:v>
      </x:c>
      <x:c r="L508" s="67" t="n">
        <x:v>0</x:v>
      </x:c>
      <x:c r="M508" s="68" t="n">
        <x:v>0</x:v>
      </x:c>
      <x:c r="N508" s="69" t="str">
        <x:v>Available</x:v>
      </x:c>
      <x:c r="O508" s="62" t="str">
        <x:v>Camp/summer-depth watch entry; no reliable 2026-27 fantasy projection. Verify final NBA contract, roster status and role before draft use.</x:v>
      </x:c>
      <x:c r="P508" s="60"/>
      <x:c r="Q508" s="60"/>
      <x:c r="R508" s="60"/>
      <x:c r="S508" s="60" t="n">
        <x:v>0</x:v>
      </x:c>
      <x:c r="T508" s="72" t="str">
        <x:v>https://github.com/A-V29/NBA.Rosters/blob/main/2026.Summer.League.json</x:v>
      </x:c>
      <x:c r="U508" s="87" t="str">
        <x:v>WATCH</x:v>
      </x:c>
      <x:c r="V508" s="87" t="str">
        <x:v>LOW</x:v>
      </x:c>
      <x:c r="W508" s="87" t="str">
        <x:v>NONE</x:v>
      </x:c>
      <x:c r="X508" s="87" t="str">
        <x:v>CAMP/SUMMER</x:v>
      </x:c>
      <x:c r="Y508" s="87" t="str">
        <x:v>2026-09-28 master / roster context 2026-09-03+</x:v>
      </x:c>
      <x:c r="Z508" s="72" t="str">
        <x:v>https://github.com/A-V29/NBA.Rosters/blob/main/2026.Summer.League.json</x:v>
      </x:c>
      <x:c r="AA508" s="72" t="str">
        <x:v>https://github.com/ballacademy/NBA-head-to-head-/blob/5b1decfc31ffb645469c7ffbd01aaca4b18181bd/data/nba-stats/nba-player-stats-202526-regular-season-per-game.csv</x:v>
      </x:c>
    </x:row>
    <x:row r="509" ht="21" customHeight="1">
      <x:c r="A509" s="64" t="n">
        <x:v>504</x:v>
      </x:c>
      <x:c r="B509" s="59" t="str">
        <x:v>Efe Abogidi</x:v>
      </x:c>
      <x:c r="C509" s="65" t="str">
        <x:v>DEN</x:v>
      </x:c>
      <x:c r="D509" s="65" t="str">
        <x:v>C</x:v>
      </x:c>
      <x:c r="E509" s="65" t="str">
        <x:v>C</x:v>
      </x:c>
      <x:c r="F509" s="66"/>
      <x:c r="G509" s="67"/>
      <x:c r="H509" s="67" t="n">
        <x:v>0</x:v>
      </x:c>
      <x:c r="I509" s="67" t="n">
        <x:v>3.5</x:v>
      </x:c>
      <x:c r="J509" s="67" t="n">
        <x:v>0</x:v>
      </x:c>
      <x:c r="K509" s="67" t="str">
        <x:v>WATCH</x:v>
      </x:c>
      <x:c r="L509" s="67" t="n">
        <x:v>0</x:v>
      </x:c>
      <x:c r="M509" s="68" t="n">
        <x:v>0</x:v>
      </x:c>
      <x:c r="N509" s="69" t="str">
        <x:v>Available</x:v>
      </x:c>
      <x:c r="O509" s="62" t="str">
        <x:v>Camp/summer-depth watch entry; no reliable 2026-27 fantasy projection. Verify final NBA contract, roster status and role before draft use.</x:v>
      </x:c>
      <x:c r="P509" s="60"/>
      <x:c r="Q509" s="60"/>
      <x:c r="R509" s="60"/>
      <x:c r="S509" s="60" t="n">
        <x:v>0</x:v>
      </x:c>
      <x:c r="T509" s="72" t="str">
        <x:v>https://github.com/A-V29/NBA.Rosters/blob/main/2026.Summer.League.json</x:v>
      </x:c>
      <x:c r="U509" s="87" t="str">
        <x:v>WATCH</x:v>
      </x:c>
      <x:c r="V509" s="87" t="str">
        <x:v>LOW</x:v>
      </x:c>
      <x:c r="W509" s="87" t="str">
        <x:v>NONE</x:v>
      </x:c>
      <x:c r="X509" s="87" t="str">
        <x:v>CAMP/SUMMER</x:v>
      </x:c>
      <x:c r="Y509" s="87" t="str">
        <x:v>2026-09-28 master / roster context 2026-09-03+</x:v>
      </x:c>
      <x:c r="Z509" s="72" t="str">
        <x:v>https://github.com/A-V29/NBA.Rosters/blob/main/2026.Summer.League.json</x:v>
      </x:c>
      <x:c r="AA509" s="72" t="str">
        <x:v>https://github.com/ballacademy/NBA-head-to-head-/blob/5b1decfc31ffb645469c7ffbd01aaca4b18181bd/data/nba-stats/nba-player-stats-202526-regular-season-per-game.csv</x:v>
      </x:c>
    </x:row>
    <x:row r="510" ht="21" customHeight="1">
      <x:c r="A510" s="64" t="n">
        <x:v>505</x:v>
      </x:c>
      <x:c r="B510" s="59" t="str">
        <x:v>Elias Ralph</x:v>
      </x:c>
      <x:c r="C510" s="65" t="str">
        <x:v>SAC</x:v>
      </x:c>
      <x:c r="D510" s="65" t="str">
        <x:v>PF</x:v>
      </x:c>
      <x:c r="E510" s="65" t="str">
        <x:v>F</x:v>
      </x:c>
      <x:c r="F510" s="66"/>
      <x:c r="G510" s="67"/>
      <x:c r="H510" s="67" t="n">
        <x:v>0</x:v>
      </x:c>
      <x:c r="I510" s="67" t="n">
        <x:v>3.5</x:v>
      </x:c>
      <x:c r="J510" s="67" t="n">
        <x:v>0</x:v>
      </x:c>
      <x:c r="K510" s="67" t="str">
        <x:v>WATCH</x:v>
      </x:c>
      <x:c r="L510" s="67" t="n">
        <x:v>0</x:v>
      </x:c>
      <x:c r="M510" s="68" t="n">
        <x:v>0</x:v>
      </x:c>
      <x:c r="N510" s="69" t="str">
        <x:v>Available</x:v>
      </x:c>
      <x:c r="O510" s="62" t="str">
        <x:v>Camp/summer-depth watch entry; no reliable 2026-27 fantasy projection. Verify final NBA contract, roster status and role before draft use.</x:v>
      </x:c>
      <x:c r="P510" s="60"/>
      <x:c r="Q510" s="60"/>
      <x:c r="R510" s="60"/>
      <x:c r="S510" s="60" t="n">
        <x:v>0</x:v>
      </x:c>
      <x:c r="T510" s="72" t="str">
        <x:v>https://github.com/A-V29/NBA.Rosters/blob/main/2026.Summer.League.json</x:v>
      </x:c>
      <x:c r="U510" s="87" t="str">
        <x:v>WATCH</x:v>
      </x:c>
      <x:c r="V510" s="87" t="str">
        <x:v>LOW</x:v>
      </x:c>
      <x:c r="W510" s="87" t="str">
        <x:v>NONE</x:v>
      </x:c>
      <x:c r="X510" s="87" t="str">
        <x:v>CAMP/SUMMER</x:v>
      </x:c>
      <x:c r="Y510" s="87" t="str">
        <x:v>2026-09-28 master / roster context 2026-09-03+</x:v>
      </x:c>
      <x:c r="Z510" s="72" t="str">
        <x:v>https://github.com/A-V29/NBA.Rosters/blob/main/2026.Summer.League.json</x:v>
      </x:c>
      <x:c r="AA510" s="72" t="str">
        <x:v>https://github.com/ballacademy/NBA-head-to-head-/blob/5b1decfc31ffb645469c7ffbd01aaca4b18181bd/data/nba-stats/nba-player-stats-202526-regular-season-per-game.csv</x:v>
      </x:c>
    </x:row>
    <x:row r="511" ht="21" customHeight="1">
      <x:c r="A511" s="64" t="n">
        <x:v>506</x:v>
      </x:c>
      <x:c r="B511" s="59" t="str">
        <x:v>Elijah Mahi</x:v>
      </x:c>
      <x:c r="C511" s="65" t="str">
        <x:v>OKC</x:v>
      </x:c>
      <x:c r="D511" s="65" t="str">
        <x:v>SF</x:v>
      </x:c>
      <x:c r="E511" s="65" t="str">
        <x:v>GF</x:v>
      </x:c>
      <x:c r="F511" s="66"/>
      <x:c r="G511" s="67"/>
      <x:c r="H511" s="67" t="n">
        <x:v>0</x:v>
      </x:c>
      <x:c r="I511" s="67" t="n">
        <x:v>3.5</x:v>
      </x:c>
      <x:c r="J511" s="67" t="n">
        <x:v>0</x:v>
      </x:c>
      <x:c r="K511" s="67" t="str">
        <x:v>WATCH</x:v>
      </x:c>
      <x:c r="L511" s="67" t="n">
        <x:v>0</x:v>
      </x:c>
      <x:c r="M511" s="68" t="n">
        <x:v>0</x:v>
      </x:c>
      <x:c r="N511" s="69" t="str">
        <x:v>Available</x:v>
      </x:c>
      <x:c r="O511" s="62" t="str">
        <x:v>Camp/summer-depth watch entry; no reliable 2026-27 fantasy projection. Verify final NBA contract, roster status and role before draft use.</x:v>
      </x:c>
      <x:c r="P511" s="60"/>
      <x:c r="Q511" s="60"/>
      <x:c r="R511" s="60"/>
      <x:c r="S511" s="60" t="n">
        <x:v>0</x:v>
      </x:c>
      <x:c r="T511" s="72" t="str">
        <x:v>https://github.com/A-V29/NBA.Rosters/blob/main/2026.Summer.League.json</x:v>
      </x:c>
      <x:c r="U511" s="87" t="str">
        <x:v>WATCH</x:v>
      </x:c>
      <x:c r="V511" s="87" t="str">
        <x:v>LOW</x:v>
      </x:c>
      <x:c r="W511" s="87" t="str">
        <x:v>NONE</x:v>
      </x:c>
      <x:c r="X511" s="87" t="str">
        <x:v>CAMP/SUMMER</x:v>
      </x:c>
      <x:c r="Y511" s="87" t="str">
        <x:v>2026-09-28 master / roster context 2026-09-03+</x:v>
      </x:c>
      <x:c r="Z511" s="72" t="str">
        <x:v>https://github.com/A-V29/NBA.Rosters/blob/main/2026.Summer.League.json</x:v>
      </x:c>
      <x:c r="AA511" s="72" t="str">
        <x:v>https://github.com/ballacademy/NBA-head-to-head-/blob/5b1decfc31ffb645469c7ffbd01aaca4b18181bd/data/nba-stats/nba-player-stats-202526-regular-season-per-game.csv</x:v>
      </x:c>
    </x:row>
    <x:row r="512" ht="21" customHeight="1">
      <x:c r="A512" s="64" t="n">
        <x:v>507</x:v>
      </x:c>
      <x:c r="B512" s="59" t="str">
        <x:v>Eric Dixon</x:v>
      </x:c>
      <x:c r="C512" s="65" t="str">
        <x:v>UTA</x:v>
      </x:c>
      <x:c r="D512" s="65" t="str">
        <x:v>PF</x:v>
      </x:c>
      <x:c r="E512" s="65" t="str">
        <x:v>PF</x:v>
      </x:c>
      <x:c r="F512" s="66"/>
      <x:c r="G512" s="67"/>
      <x:c r="H512" s="67" t="n">
        <x:v>0</x:v>
      </x:c>
      <x:c r="I512" s="67" t="n">
        <x:v>3.5</x:v>
      </x:c>
      <x:c r="J512" s="67" t="n">
        <x:v>0</x:v>
      </x:c>
      <x:c r="K512" s="67" t="str">
        <x:v>WATCH</x:v>
      </x:c>
      <x:c r="L512" s="67" t="n">
        <x:v>0</x:v>
      </x:c>
      <x:c r="M512" s="68" t="n">
        <x:v>0</x:v>
      </x:c>
      <x:c r="N512" s="69" t="str">
        <x:v>Available</x:v>
      </x:c>
      <x:c r="O512" s="62" t="str">
        <x:v>Camp/summer-depth watch entry; no reliable 2026-27 fantasy projection. Verify final NBA contract, roster status and role before draft use.</x:v>
      </x:c>
      <x:c r="P512" s="60"/>
      <x:c r="Q512" s="60"/>
      <x:c r="R512" s="60"/>
      <x:c r="S512" s="60" t="n">
        <x:v>0</x:v>
      </x:c>
      <x:c r="T512" s="72" t="str">
        <x:v>https://github.com/A-V29/NBA.Rosters/blob/main/2026.Summer.League.json</x:v>
      </x:c>
      <x:c r="U512" s="87" t="str">
        <x:v>WATCH</x:v>
      </x:c>
      <x:c r="V512" s="87" t="str">
        <x:v>LOW</x:v>
      </x:c>
      <x:c r="W512" s="87" t="str">
        <x:v>NONE</x:v>
      </x:c>
      <x:c r="X512" s="87" t="str">
        <x:v>CAMP/SUMMER</x:v>
      </x:c>
      <x:c r="Y512" s="87" t="str">
        <x:v>2026-09-28 master / roster context 2026-09-03+</x:v>
      </x:c>
      <x:c r="Z512" s="72" t="str">
        <x:v>https://github.com/A-V29/NBA.Rosters/blob/main/2026.Summer.League.json</x:v>
      </x:c>
      <x:c r="AA512" s="72" t="str">
        <x:v>https://github.com/ballacademy/NBA-head-to-head-/blob/5b1decfc31ffb645469c7ffbd01aaca4b18181bd/data/nba-stats/nba-player-stats-202526-regular-season-per-game.csv</x:v>
      </x:c>
    </x:row>
    <x:row r="513" ht="21" customHeight="1">
      <x:c r="A513" s="64" t="n">
        <x:v>508</x:v>
      </x:c>
      <x:c r="B513" s="59" t="str">
        <x:v>Erik Stevenson</x:v>
      </x:c>
      <x:c r="C513" s="65" t="str">
        <x:v>DEN</x:v>
      </x:c>
      <x:c r="D513" s="65" t="str">
        <x:v>PG</x:v>
      </x:c>
      <x:c r="E513" s="65" t="str">
        <x:v>G</x:v>
      </x:c>
      <x:c r="F513" s="66"/>
      <x:c r="G513" s="67"/>
      <x:c r="H513" s="67" t="n">
        <x:v>0</x:v>
      </x:c>
      <x:c r="I513" s="67" t="n">
        <x:v>3.5</x:v>
      </x:c>
      <x:c r="J513" s="67" t="n">
        <x:v>0</x:v>
      </x:c>
      <x:c r="K513" s="67" t="str">
        <x:v>WATCH</x:v>
      </x:c>
      <x:c r="L513" s="67" t="n">
        <x:v>0</x:v>
      </x:c>
      <x:c r="M513" s="68" t="n">
        <x:v>0</x:v>
      </x:c>
      <x:c r="N513" s="69" t="str">
        <x:v>Available</x:v>
      </x:c>
      <x:c r="O513" s="62" t="str">
        <x:v>Camp/summer-depth watch entry; no reliable 2026-27 fantasy projection. Verify final NBA contract, roster status and role before draft use.</x:v>
      </x:c>
      <x:c r="P513" s="60"/>
      <x:c r="Q513" s="60"/>
      <x:c r="R513" s="60"/>
      <x:c r="S513" s="60" t="n">
        <x:v>0</x:v>
      </x:c>
      <x:c r="T513" s="72" t="str">
        <x:v>https://github.com/A-V29/NBA.Rosters/blob/main/2026.Summer.League.json</x:v>
      </x:c>
      <x:c r="U513" s="87" t="str">
        <x:v>WATCH</x:v>
      </x:c>
      <x:c r="V513" s="87" t="str">
        <x:v>LOW</x:v>
      </x:c>
      <x:c r="W513" s="87" t="str">
        <x:v>NONE</x:v>
      </x:c>
      <x:c r="X513" s="87" t="str">
        <x:v>CAMP/SUMMER</x:v>
      </x:c>
      <x:c r="Y513" s="87" t="str">
        <x:v>2026-09-28 master / roster context 2026-09-03+</x:v>
      </x:c>
      <x:c r="Z513" s="72" t="str">
        <x:v>https://github.com/A-V29/NBA.Rosters/blob/main/2026.Summer.League.json</x:v>
      </x:c>
      <x:c r="AA513" s="72" t="str">
        <x:v>https://github.com/ballacademy/NBA-head-to-head-/blob/5b1decfc31ffb645469c7ffbd01aaca4b18181bd/data/nba-stats/nba-player-stats-202526-regular-season-per-game.csv</x:v>
      </x:c>
    </x:row>
    <x:row r="514" ht="21" customHeight="1">
      <x:c r="A514" s="64" t="n">
        <x:v>509</x:v>
      </x:c>
      <x:c r="B514" s="59" t="str">
        <x:v>Ezra Ausar</x:v>
      </x:c>
      <x:c r="C514" s="65" t="str">
        <x:v>MIA</x:v>
      </x:c>
      <x:c r="D514" s="65" t="str">
        <x:v>PF</x:v>
      </x:c>
      <x:c r="E514" s="65" t="str">
        <x:v>PF</x:v>
      </x:c>
      <x:c r="F514" s="66"/>
      <x:c r="G514" s="67"/>
      <x:c r="H514" s="67" t="n">
        <x:v>0</x:v>
      </x:c>
      <x:c r="I514" s="67" t="n">
        <x:v>3.5</x:v>
      </x:c>
      <x:c r="J514" s="67" t="n">
        <x:v>0</x:v>
      </x:c>
      <x:c r="K514" s="67" t="str">
        <x:v>WATCH</x:v>
      </x:c>
      <x:c r="L514" s="67" t="n">
        <x:v>0</x:v>
      </x:c>
      <x:c r="M514" s="68" t="n">
        <x:v>0</x:v>
      </x:c>
      <x:c r="N514" s="69" t="str">
        <x:v>Available</x:v>
      </x:c>
      <x:c r="O514" s="62" t="str">
        <x:v>Camp/summer-depth watch entry; no reliable 2026-27 fantasy projection. Verify final NBA contract, roster status and role before draft use.</x:v>
      </x:c>
      <x:c r="P514" s="60"/>
      <x:c r="Q514" s="60"/>
      <x:c r="R514" s="60"/>
      <x:c r="S514" s="60" t="n">
        <x:v>0</x:v>
      </x:c>
      <x:c r="T514" s="72" t="str">
        <x:v>https://github.com/A-V29/NBA.Rosters/blob/main/2026.Summer.League.json</x:v>
      </x:c>
      <x:c r="U514" s="87" t="str">
        <x:v>WATCH</x:v>
      </x:c>
      <x:c r="V514" s="87" t="str">
        <x:v>LOW</x:v>
      </x:c>
      <x:c r="W514" s="87" t="str">
        <x:v>NONE</x:v>
      </x:c>
      <x:c r="X514" s="87" t="str">
        <x:v>CAMP/SUMMER</x:v>
      </x:c>
      <x:c r="Y514" s="87" t="str">
        <x:v>2026-09-28 master / roster context 2026-09-03+</x:v>
      </x:c>
      <x:c r="Z514" s="72" t="str">
        <x:v>https://github.com/A-V29/NBA.Rosters/blob/main/2026.Summer.League.json</x:v>
      </x:c>
      <x:c r="AA514" s="72" t="str">
        <x:v>https://github.com/ballacademy/NBA-head-to-head-/blob/5b1decfc31ffb645469c7ffbd01aaca4b18181bd/data/nba-stats/nba-player-stats-202526-regular-season-per-game.csv</x:v>
      </x:c>
    </x:row>
    <x:row r="515" ht="21" customHeight="1">
      <x:c r="A515" s="64" t="n">
        <x:v>510</x:v>
      </x:c>
      <x:c r="B515" s="59" t="str">
        <x:v>Felix Okpara</x:v>
      </x:c>
      <x:c r="C515" s="65" t="str">
        <x:v>WAS</x:v>
      </x:c>
      <x:c r="D515" s="65" t="str">
        <x:v>C</x:v>
      </x:c>
      <x:c r="E515" s="65" t="str">
        <x:v>C</x:v>
      </x:c>
      <x:c r="F515" s="66"/>
      <x:c r="G515" s="67"/>
      <x:c r="H515" s="67" t="n">
        <x:v>0</x:v>
      </x:c>
      <x:c r="I515" s="67" t="n">
        <x:v>3.5</x:v>
      </x:c>
      <x:c r="J515" s="67" t="n">
        <x:v>0</x:v>
      </x:c>
      <x:c r="K515" s="67" t="str">
        <x:v>WATCH</x:v>
      </x:c>
      <x:c r="L515" s="67" t="n">
        <x:v>0</x:v>
      </x:c>
      <x:c r="M515" s="68" t="n">
        <x:v>0</x:v>
      </x:c>
      <x:c r="N515" s="69" t="str">
        <x:v>Available</x:v>
      </x:c>
      <x:c r="O515" s="62" t="str">
        <x:v>Camp/summer-depth watch entry; no reliable 2026-27 fantasy projection. Verify final NBA contract, roster status and role before draft use.</x:v>
      </x:c>
      <x:c r="P515" s="60"/>
      <x:c r="Q515" s="60"/>
      <x:c r="R515" s="60"/>
      <x:c r="S515" s="60" t="n">
        <x:v>0</x:v>
      </x:c>
      <x:c r="T515" s="72" t="str">
        <x:v>https://github.com/A-V29/NBA.Rosters/blob/main/2026.Summer.League.json</x:v>
      </x:c>
      <x:c r="U515" s="87" t="str">
        <x:v>WATCH</x:v>
      </x:c>
      <x:c r="V515" s="87" t="str">
        <x:v>LOW</x:v>
      </x:c>
      <x:c r="W515" s="87" t="str">
        <x:v>NONE</x:v>
      </x:c>
      <x:c r="X515" s="87" t="str">
        <x:v>CAMP/SUMMER</x:v>
      </x:c>
      <x:c r="Y515" s="87" t="str">
        <x:v>2026-09-28 master / roster context 2026-09-03+</x:v>
      </x:c>
      <x:c r="Z515" s="72" t="str">
        <x:v>https://github.com/A-V29/NBA.Rosters/blob/main/2026.Summer.League.json</x:v>
      </x:c>
      <x:c r="AA515" s="72" t="str">
        <x:v>https://github.com/ballacademy/NBA-head-to-head-/blob/5b1decfc31ffb645469c7ffbd01aaca4b18181bd/data/nba-stats/nba-player-stats-202526-regular-season-per-game.csv</x:v>
      </x:c>
    </x:row>
    <x:row r="516" ht="21" customHeight="1">
      <x:c r="A516" s="64" t="n">
        <x:v>511</x:v>
      </x:c>
      <x:c r="B516" s="59" t="str">
        <x:v>Fletcher Loyer</x:v>
      </x:c>
      <x:c r="C516" s="65" t="str">
        <x:v>LAC</x:v>
      </x:c>
      <x:c r="D516" s="65" t="str">
        <x:v>SG</x:v>
      </x:c>
      <x:c r="E516" s="65" t="str">
        <x:v>SG</x:v>
      </x:c>
      <x:c r="F516" s="66"/>
      <x:c r="G516" s="67"/>
      <x:c r="H516" s="67" t="n">
        <x:v>0</x:v>
      </x:c>
      <x:c r="I516" s="67" t="n">
        <x:v>3.5</x:v>
      </x:c>
      <x:c r="J516" s="67" t="n">
        <x:v>0</x:v>
      </x:c>
      <x:c r="K516" s="67" t="str">
        <x:v>WATCH</x:v>
      </x:c>
      <x:c r="L516" s="67" t="n">
        <x:v>0</x:v>
      </x:c>
      <x:c r="M516" s="68" t="n">
        <x:v>0</x:v>
      </x:c>
      <x:c r="N516" s="69" t="str">
        <x:v>Available</x:v>
      </x:c>
      <x:c r="O516" s="62" t="str">
        <x:v>Camp/summer-depth watch entry; no reliable 2026-27 fantasy projection. Verify final NBA contract, roster status and role before draft use.</x:v>
      </x:c>
      <x:c r="P516" s="60"/>
      <x:c r="Q516" s="60"/>
      <x:c r="R516" s="60"/>
      <x:c r="S516" s="60" t="n">
        <x:v>0</x:v>
      </x:c>
      <x:c r="T516" s="72" t="str">
        <x:v>https://github.com/A-V29/NBA.Rosters/blob/main/2026.Summer.League.json</x:v>
      </x:c>
      <x:c r="U516" s="87" t="str">
        <x:v>WATCH</x:v>
      </x:c>
      <x:c r="V516" s="87" t="str">
        <x:v>LOW</x:v>
      </x:c>
      <x:c r="W516" s="87" t="str">
        <x:v>NONE</x:v>
      </x:c>
      <x:c r="X516" s="87" t="str">
        <x:v>CAMP/SUMMER</x:v>
      </x:c>
      <x:c r="Y516" s="87" t="str">
        <x:v>2026-09-28 master / roster context 2026-09-03+</x:v>
      </x:c>
      <x:c r="Z516" s="72" t="str">
        <x:v>https://github.com/A-V29/NBA.Rosters/blob/main/2026.Summer.League.json</x:v>
      </x:c>
      <x:c r="AA516" s="72" t="str">
        <x:v>https://github.com/ballacademy/NBA-head-to-head-/blob/5b1decfc31ffb645469c7ffbd01aaca4b18181bd/data/nba-stats/nba-player-stats-202526-regular-season-per-game.csv</x:v>
      </x:c>
    </x:row>
    <x:row r="517" ht="21" customHeight="1">
      <x:c r="A517" s="64" t="n">
        <x:v>512</x:v>
      </x:c>
      <x:c r="B517" s="59" t="str">
        <x:v>Flynn Cameron</x:v>
      </x:c>
      <x:c r="C517" s="65" t="str">
        <x:v>POR</x:v>
      </x:c>
      <x:c r="D517" s="65" t="str">
        <x:v>PG</x:v>
      </x:c>
      <x:c r="E517" s="65" t="str">
        <x:v>G</x:v>
      </x:c>
      <x:c r="F517" s="66"/>
      <x:c r="G517" s="67"/>
      <x:c r="H517" s="67" t="n">
        <x:v>0</x:v>
      </x:c>
      <x:c r="I517" s="67" t="n">
        <x:v>3.5</x:v>
      </x:c>
      <x:c r="J517" s="67" t="n">
        <x:v>0</x:v>
      </x:c>
      <x:c r="K517" s="67" t="str">
        <x:v>WATCH</x:v>
      </x:c>
      <x:c r="L517" s="67" t="n">
        <x:v>0</x:v>
      </x:c>
      <x:c r="M517" s="68" t="n">
        <x:v>0</x:v>
      </x:c>
      <x:c r="N517" s="69" t="str">
        <x:v>Available</x:v>
      </x:c>
      <x:c r="O517" s="62" t="str">
        <x:v>Camp/summer-depth watch entry; no reliable 2026-27 fantasy projection. Verify final NBA contract, roster status and role before draft use.</x:v>
      </x:c>
      <x:c r="P517" s="60"/>
      <x:c r="Q517" s="60"/>
      <x:c r="R517" s="60"/>
      <x:c r="S517" s="60" t="n">
        <x:v>0</x:v>
      </x:c>
      <x:c r="T517" s="72" t="str">
        <x:v>https://github.com/A-V29/NBA.Rosters/blob/main/2026.Summer.League.json</x:v>
      </x:c>
      <x:c r="U517" s="87" t="str">
        <x:v>WATCH</x:v>
      </x:c>
      <x:c r="V517" s="87" t="str">
        <x:v>LOW</x:v>
      </x:c>
      <x:c r="W517" s="87" t="str">
        <x:v>NONE</x:v>
      </x:c>
      <x:c r="X517" s="87" t="str">
        <x:v>CAMP/SUMMER</x:v>
      </x:c>
      <x:c r="Y517" s="87" t="str">
        <x:v>2026-09-28 master / roster context 2026-09-03+</x:v>
      </x:c>
      <x:c r="Z517" s="72" t="str">
        <x:v>https://github.com/A-V29/NBA.Rosters/blob/main/2026.Summer.League.json</x:v>
      </x:c>
      <x:c r="AA517" s="72" t="str">
        <x:v>https://github.com/ballacademy/NBA-head-to-head-/blob/5b1decfc31ffb645469c7ffbd01aaca4b18181bd/data/nba-stats/nba-player-stats-202526-regular-season-per-game.csv</x:v>
      </x:c>
    </x:row>
    <x:row r="518" ht="21" customHeight="1">
      <x:c r="A518" s="64" t="n">
        <x:v>513</x:v>
      </x:c>
      <x:c r="B518" s="59" t="str">
        <x:v>Frankie Fidler</x:v>
      </x:c>
      <x:c r="C518" s="65" t="str">
        <x:v>POR</x:v>
      </x:c>
      <x:c r="D518" s="65" t="str">
        <x:v>SF</x:v>
      </x:c>
      <x:c r="E518" s="65" t="str">
        <x:v>GF</x:v>
      </x:c>
      <x:c r="F518" s="66"/>
      <x:c r="G518" s="67"/>
      <x:c r="H518" s="67" t="n">
        <x:v>0</x:v>
      </x:c>
      <x:c r="I518" s="67" t="n">
        <x:v>3.5</x:v>
      </x:c>
      <x:c r="J518" s="67" t="n">
        <x:v>0</x:v>
      </x:c>
      <x:c r="K518" s="67" t="str">
        <x:v>WATCH</x:v>
      </x:c>
      <x:c r="L518" s="67" t="n">
        <x:v>0</x:v>
      </x:c>
      <x:c r="M518" s="68" t="n">
        <x:v>0</x:v>
      </x:c>
      <x:c r="N518" s="69" t="str">
        <x:v>Available</x:v>
      </x:c>
      <x:c r="O518" s="62" t="str">
        <x:v>Camp/summer-depth watch entry; no reliable 2026-27 fantasy projection. Verify final NBA contract, roster status and role before draft use.</x:v>
      </x:c>
      <x:c r="P518" s="60"/>
      <x:c r="Q518" s="60"/>
      <x:c r="R518" s="60"/>
      <x:c r="S518" s="60" t="n">
        <x:v>0</x:v>
      </x:c>
      <x:c r="T518" s="72" t="str">
        <x:v>https://github.com/A-V29/NBA.Rosters/blob/main/2026.Summer.League.json</x:v>
      </x:c>
      <x:c r="U518" s="87" t="str">
        <x:v>WATCH</x:v>
      </x:c>
      <x:c r="V518" s="87" t="str">
        <x:v>LOW</x:v>
      </x:c>
      <x:c r="W518" s="87" t="str">
        <x:v>NONE</x:v>
      </x:c>
      <x:c r="X518" s="87" t="str">
        <x:v>CAMP/SUMMER</x:v>
      </x:c>
      <x:c r="Y518" s="87" t="str">
        <x:v>2026-09-28 master / roster context 2026-09-03+</x:v>
      </x:c>
      <x:c r="Z518" s="72" t="str">
        <x:v>https://github.com/A-V29/NBA.Rosters/blob/main/2026.Summer.League.json</x:v>
      </x:c>
      <x:c r="AA518" s="72" t="str">
        <x:v>https://github.com/ballacademy/NBA-head-to-head-/blob/5b1decfc31ffb645469c7ffbd01aaca4b18181bd/data/nba-stats/nba-player-stats-202526-regular-season-per-game.csv</x:v>
      </x:c>
    </x:row>
    <x:row r="519" ht="21" customHeight="1">
      <x:c r="A519" s="64" t="n">
        <x:v>514</x:v>
      </x:c>
      <x:c r="B519" s="59" t="str">
        <x:v>Gabe Madsen</x:v>
      </x:c>
      <x:c r="C519" s="65" t="str">
        <x:v>ATL</x:v>
      </x:c>
      <x:c r="D519" s="65" t="str">
        <x:v>PG</x:v>
      </x:c>
      <x:c r="E519" s="65" t="str">
        <x:v>G</x:v>
      </x:c>
      <x:c r="F519" s="66"/>
      <x:c r="G519" s="67"/>
      <x:c r="H519" s="67" t="n">
        <x:v>0</x:v>
      </x:c>
      <x:c r="I519" s="67" t="n">
        <x:v>3.5</x:v>
      </x:c>
      <x:c r="J519" s="67" t="n">
        <x:v>0</x:v>
      </x:c>
      <x:c r="K519" s="67" t="str">
        <x:v>WATCH</x:v>
      </x:c>
      <x:c r="L519" s="67" t="n">
        <x:v>0</x:v>
      </x:c>
      <x:c r="M519" s="68" t="n">
        <x:v>0</x:v>
      </x:c>
      <x:c r="N519" s="69" t="str">
        <x:v>Available</x:v>
      </x:c>
      <x:c r="O519" s="62" t="str">
        <x:v>Camp/summer-depth watch entry; no reliable 2026-27 fantasy projection. Verify final NBA contract, roster status and role before draft use.</x:v>
      </x:c>
      <x:c r="P519" s="60"/>
      <x:c r="Q519" s="60"/>
      <x:c r="R519" s="60"/>
      <x:c r="S519" s="60" t="n">
        <x:v>0</x:v>
      </x:c>
      <x:c r="T519" s="72" t="str">
        <x:v>https://github.com/A-V29/NBA.Rosters/blob/main/2026.Summer.League.json</x:v>
      </x:c>
      <x:c r="U519" s="87" t="str">
        <x:v>WATCH</x:v>
      </x:c>
      <x:c r="V519" s="87" t="str">
        <x:v>LOW</x:v>
      </x:c>
      <x:c r="W519" s="87" t="str">
        <x:v>NONE</x:v>
      </x:c>
      <x:c r="X519" s="87" t="str">
        <x:v>CAMP/SUMMER</x:v>
      </x:c>
      <x:c r="Y519" s="87" t="str">
        <x:v>2026-09-28 master / roster context 2026-09-03+</x:v>
      </x:c>
      <x:c r="Z519" s="72" t="str">
        <x:v>https://github.com/A-V29/NBA.Rosters/blob/main/2026.Summer.League.json</x:v>
      </x:c>
      <x:c r="AA519" s="72" t="str">
        <x:v>https://github.com/ballacademy/NBA-head-to-head-/blob/5b1decfc31ffb645469c7ffbd01aaca4b18181bd/data/nba-stats/nba-player-stats-202526-regular-season-per-game.csv</x:v>
      </x:c>
    </x:row>
    <x:row r="520" ht="21" customHeight="1">
      <x:c r="A520" s="64" t="n">
        <x:v>515</x:v>
      </x:c>
      <x:c r="B520" s="59" t="str">
        <x:v>Gabe McGlothan</x:v>
      </x:c>
      <x:c r="C520" s="65" t="str">
        <x:v>IND</x:v>
      </x:c>
      <x:c r="D520" s="65" t="str">
        <x:v>PF</x:v>
      </x:c>
      <x:c r="E520" s="65" t="str">
        <x:v>PF</x:v>
      </x:c>
      <x:c r="F520" s="66"/>
      <x:c r="G520" s="67"/>
      <x:c r="H520" s="67" t="n">
        <x:v>0</x:v>
      </x:c>
      <x:c r="I520" s="67" t="n">
        <x:v>3.5</x:v>
      </x:c>
      <x:c r="J520" s="67" t="n">
        <x:v>0</x:v>
      </x:c>
      <x:c r="K520" s="67" t="str">
        <x:v>WATCH</x:v>
      </x:c>
      <x:c r="L520" s="67" t="n">
        <x:v>0</x:v>
      </x:c>
      <x:c r="M520" s="68" t="n">
        <x:v>0</x:v>
      </x:c>
      <x:c r="N520" s="69" t="str">
        <x:v>Available</x:v>
      </x:c>
      <x:c r="O520" s="62" t="str">
        <x:v>Camp/summer-depth watch entry; no reliable 2026-27 fantasy projection. Verify final NBA contract, roster status and role before draft use.</x:v>
      </x:c>
      <x:c r="P520" s="60"/>
      <x:c r="Q520" s="60"/>
      <x:c r="R520" s="60"/>
      <x:c r="S520" s="60" t="n">
        <x:v>0</x:v>
      </x:c>
      <x:c r="T520" s="72" t="str">
        <x:v>https://github.com/A-V29/NBA.Rosters/blob/main/2026.Summer.League.json</x:v>
      </x:c>
      <x:c r="U520" s="87" t="str">
        <x:v>WATCH</x:v>
      </x:c>
      <x:c r="V520" s="87" t="str">
        <x:v>LOW</x:v>
      </x:c>
      <x:c r="W520" s="87" t="str">
        <x:v>NONE</x:v>
      </x:c>
      <x:c r="X520" s="87" t="str">
        <x:v>CAMP/SUMMER</x:v>
      </x:c>
      <x:c r="Y520" s="87" t="str">
        <x:v>2026-09-28 master / roster context 2026-09-03+</x:v>
      </x:c>
      <x:c r="Z520" s="72" t="str">
        <x:v>https://github.com/A-V29/NBA.Rosters/blob/main/2026.Summer.League.json</x:v>
      </x:c>
      <x:c r="AA520" s="72" t="str">
        <x:v>https://github.com/ballacademy/NBA-head-to-head-/blob/5b1decfc31ffb645469c7ffbd01aaca4b18181bd/data/nba-stats/nba-player-stats-202526-regular-season-per-game.csv</x:v>
      </x:c>
    </x:row>
    <x:row r="521" ht="21" customHeight="1">
      <x:c r="A521" s="64" t="n">
        <x:v>516</x:v>
      </x:c>
      <x:c r="B521" s="59" t="str">
        <x:v>Giovanni Emejuru</x:v>
      </x:c>
      <x:c r="C521" s="65" t="str">
        <x:v>DEN</x:v>
      </x:c>
      <x:c r="D521" s="65" t="str">
        <x:v>C</x:v>
      </x:c>
      <x:c r="E521" s="65" t="str">
        <x:v>C</x:v>
      </x:c>
      <x:c r="F521" s="66"/>
      <x:c r="G521" s="67"/>
      <x:c r="H521" s="67" t="n">
        <x:v>0</x:v>
      </x:c>
      <x:c r="I521" s="67" t="n">
        <x:v>3.5</x:v>
      </x:c>
      <x:c r="J521" s="67" t="n">
        <x:v>0</x:v>
      </x:c>
      <x:c r="K521" s="67" t="str">
        <x:v>WATCH</x:v>
      </x:c>
      <x:c r="L521" s="67" t="n">
        <x:v>0</x:v>
      </x:c>
      <x:c r="M521" s="68" t="n">
        <x:v>0</x:v>
      </x:c>
      <x:c r="N521" s="69" t="str">
        <x:v>Available</x:v>
      </x:c>
      <x:c r="O521" s="62" t="str">
        <x:v>Camp/summer-depth watch entry; no reliable 2026-27 fantasy projection. Verify final NBA contract, roster status and role before draft use.</x:v>
      </x:c>
      <x:c r="P521" s="60"/>
      <x:c r="Q521" s="60"/>
      <x:c r="R521" s="60"/>
      <x:c r="S521" s="60" t="n">
        <x:v>0</x:v>
      </x:c>
      <x:c r="T521" s="72" t="str">
        <x:v>https://github.com/A-V29/NBA.Rosters/blob/main/2026.Summer.League.json</x:v>
      </x:c>
      <x:c r="U521" s="87" t="str">
        <x:v>WATCH</x:v>
      </x:c>
      <x:c r="V521" s="87" t="str">
        <x:v>LOW</x:v>
      </x:c>
      <x:c r="W521" s="87" t="str">
        <x:v>NONE</x:v>
      </x:c>
      <x:c r="X521" s="87" t="str">
        <x:v>CAMP/SUMMER</x:v>
      </x:c>
      <x:c r="Y521" s="87" t="str">
        <x:v>2026-09-28 master / roster context 2026-09-03+</x:v>
      </x:c>
      <x:c r="Z521" s="72" t="str">
        <x:v>https://github.com/A-V29/NBA.Rosters/blob/main/2026.Summer.League.json</x:v>
      </x:c>
      <x:c r="AA521" s="72" t="str">
        <x:v>https://github.com/ballacademy/NBA-head-to-head-/blob/5b1decfc31ffb645469c7ffbd01aaca4b18181bd/data/nba-stats/nba-player-stats-202526-regular-season-per-game.csv</x:v>
      </x:c>
    </x:row>
    <x:row r="522" ht="21" customHeight="1">
      <x:c r="A522" s="64" t="n">
        <x:v>517</x:v>
      </x:c>
      <x:c r="B522" s="59" t="str">
        <x:v>Graham Ike</x:v>
      </x:c>
      <x:c r="C522" s="65" t="str">
        <x:v>GSW</x:v>
      </x:c>
      <x:c r="D522" s="65" t="str">
        <x:v>C</x:v>
      </x:c>
      <x:c r="E522" s="65" t="str">
        <x:v>FC</x:v>
      </x:c>
      <x:c r="F522" s="66"/>
      <x:c r="G522" s="67"/>
      <x:c r="H522" s="67" t="n">
        <x:v>0</x:v>
      </x:c>
      <x:c r="I522" s="67" t="n">
        <x:v>3.5</x:v>
      </x:c>
      <x:c r="J522" s="67" t="n">
        <x:v>0</x:v>
      </x:c>
      <x:c r="K522" s="67" t="str">
        <x:v>WATCH</x:v>
      </x:c>
      <x:c r="L522" s="67" t="n">
        <x:v>0</x:v>
      </x:c>
      <x:c r="M522" s="68" t="n">
        <x:v>0</x:v>
      </x:c>
      <x:c r="N522" s="69" t="str">
        <x:v>Available</x:v>
      </x:c>
      <x:c r="O522" s="62" t="str">
        <x:v>Camp/summer-depth watch entry; no reliable 2026-27 fantasy projection. Verify final NBA contract, roster status and role before draft use.</x:v>
      </x:c>
      <x:c r="P522" s="60"/>
      <x:c r="Q522" s="60"/>
      <x:c r="R522" s="60"/>
      <x:c r="S522" s="60" t="n">
        <x:v>0</x:v>
      </x:c>
      <x:c r="T522" s="72" t="str">
        <x:v>https://github.com/A-V29/NBA.Rosters/blob/main/2026.Summer.League.json</x:v>
      </x:c>
      <x:c r="U522" s="87" t="str">
        <x:v>WATCH</x:v>
      </x:c>
      <x:c r="V522" s="87" t="str">
        <x:v>LOW</x:v>
      </x:c>
      <x:c r="W522" s="87" t="str">
        <x:v>NONE</x:v>
      </x:c>
      <x:c r="X522" s="87" t="str">
        <x:v>CAMP/SUMMER</x:v>
      </x:c>
      <x:c r="Y522" s="87" t="str">
        <x:v>2026-09-28 master / roster context 2026-09-03+</x:v>
      </x:c>
      <x:c r="Z522" s="72" t="str">
        <x:v>https://github.com/A-V29/NBA.Rosters/blob/main/2026.Summer.League.json</x:v>
      </x:c>
      <x:c r="AA522" s="72" t="str">
        <x:v>https://github.com/ballacademy/NBA-head-to-head-/blob/5b1decfc31ffb645469c7ffbd01aaca4b18181bd/data/nba-stats/nba-player-stats-202526-regular-season-per-game.csv</x:v>
      </x:c>
    </x:row>
    <x:row r="523" ht="21" customHeight="1">
      <x:c r="A523" s="64" t="n">
        <x:v>518</x:v>
      </x:c>
      <x:c r="B523" s="59" t="str">
        <x:v>Grant Newell</x:v>
      </x:c>
      <x:c r="C523" s="65" t="str">
        <x:v>CHI</x:v>
      </x:c>
      <x:c r="D523" s="65" t="str">
        <x:v>PF</x:v>
      </x:c>
      <x:c r="E523" s="65" t="str">
        <x:v>F</x:v>
      </x:c>
      <x:c r="F523" s="66"/>
      <x:c r="G523" s="67"/>
      <x:c r="H523" s="67" t="n">
        <x:v>0</x:v>
      </x:c>
      <x:c r="I523" s="67" t="n">
        <x:v>3.5</x:v>
      </x:c>
      <x:c r="J523" s="67" t="n">
        <x:v>0</x:v>
      </x:c>
      <x:c r="K523" s="67" t="str">
        <x:v>WATCH</x:v>
      </x:c>
      <x:c r="L523" s="67" t="n">
        <x:v>0</x:v>
      </x:c>
      <x:c r="M523" s="68" t="n">
        <x:v>0</x:v>
      </x:c>
      <x:c r="N523" s="69" t="str">
        <x:v>Available</x:v>
      </x:c>
      <x:c r="O523" s="62" t="str">
        <x:v>Camp/summer-depth watch entry; no reliable 2026-27 fantasy projection. Verify final NBA contract, roster status and role before draft use.</x:v>
      </x:c>
      <x:c r="P523" s="60"/>
      <x:c r="Q523" s="60"/>
      <x:c r="R523" s="60"/>
      <x:c r="S523" s="60" t="n">
        <x:v>0</x:v>
      </x:c>
      <x:c r="T523" s="72" t="str">
        <x:v>https://github.com/A-V29/NBA.Rosters/blob/main/2026.Summer.League.json</x:v>
      </x:c>
      <x:c r="U523" s="87" t="str">
        <x:v>WATCH</x:v>
      </x:c>
      <x:c r="V523" s="87" t="str">
        <x:v>LOW</x:v>
      </x:c>
      <x:c r="W523" s="87" t="str">
        <x:v>NONE</x:v>
      </x:c>
      <x:c r="X523" s="87" t="str">
        <x:v>CAMP/SUMMER</x:v>
      </x:c>
      <x:c r="Y523" s="87" t="str">
        <x:v>2026-09-28 master / roster context 2026-09-03+</x:v>
      </x:c>
      <x:c r="Z523" s="72" t="str">
        <x:v>https://github.com/A-V29/NBA.Rosters/blob/main/2026.Summer.League.json</x:v>
      </x:c>
      <x:c r="AA523" s="72" t="str">
        <x:v>https://github.com/ballacademy/NBA-head-to-head-/blob/5b1decfc31ffb645469c7ffbd01aaca4b18181bd/data/nba-stats/nba-player-stats-202526-regular-season-per-game.csv</x:v>
      </x:c>
    </x:row>
    <x:row r="524" ht="21" customHeight="1">
      <x:c r="A524" s="64" t="n">
        <x:v>519</x:v>
      </x:c>
      <x:c r="B524" s="59" t="str">
        <x:v>Hank Morgan</x:v>
      </x:c>
      <x:c r="C524" s="65" t="str">
        <x:v>BOS</x:v>
      </x:c>
      <x:c r="D524" s="65" t="str">
        <x:v>SF</x:v>
      </x:c>
      <x:c r="E524" s="65" t="str">
        <x:v>GF</x:v>
      </x:c>
      <x:c r="F524" s="66"/>
      <x:c r="G524" s="67"/>
      <x:c r="H524" s="67" t="n">
        <x:v>0</x:v>
      </x:c>
      <x:c r="I524" s="67" t="n">
        <x:v>3.5</x:v>
      </x:c>
      <x:c r="J524" s="67" t="n">
        <x:v>0</x:v>
      </x:c>
      <x:c r="K524" s="67" t="str">
        <x:v>WATCH</x:v>
      </x:c>
      <x:c r="L524" s="67" t="n">
        <x:v>0</x:v>
      </x:c>
      <x:c r="M524" s="68" t="n">
        <x:v>0</x:v>
      </x:c>
      <x:c r="N524" s="69" t="str">
        <x:v>Available</x:v>
      </x:c>
      <x:c r="O524" s="62" t="str">
        <x:v>Camp/summer-depth watch entry; no reliable 2026-27 fantasy projection. Verify final NBA contract, roster status and role before draft use.</x:v>
      </x:c>
      <x:c r="P524" s="60"/>
      <x:c r="Q524" s="60"/>
      <x:c r="R524" s="60"/>
      <x:c r="S524" s="60" t="n">
        <x:v>0</x:v>
      </x:c>
      <x:c r="T524" s="72" t="str">
        <x:v>https://github.com/A-V29/NBA.Rosters/blob/main/2026.Summer.League.json</x:v>
      </x:c>
      <x:c r="U524" s="87" t="str">
        <x:v>WATCH</x:v>
      </x:c>
      <x:c r="V524" s="87" t="str">
        <x:v>LOW</x:v>
      </x:c>
      <x:c r="W524" s="87" t="str">
        <x:v>NONE</x:v>
      </x:c>
      <x:c r="X524" s="87" t="str">
        <x:v>CAMP/SUMMER</x:v>
      </x:c>
      <x:c r="Y524" s="87" t="str">
        <x:v>2026-09-28 master / roster context 2026-09-03+</x:v>
      </x:c>
      <x:c r="Z524" s="72" t="str">
        <x:v>https://github.com/A-V29/NBA.Rosters/blob/main/2026.Summer.League.json</x:v>
      </x:c>
      <x:c r="AA524" s="72" t="str">
        <x:v>https://github.com/ballacademy/NBA-head-to-head-/blob/5b1decfc31ffb645469c7ffbd01aaca4b18181bd/data/nba-stats/nba-player-stats-202526-regular-season-per-game.csv</x:v>
      </x:c>
    </x:row>
    <x:row r="525" ht="21" customHeight="1">
      <x:c r="A525" s="64" t="n">
        <x:v>520</x:v>
      </x:c>
      <x:c r="B525" s="59" t="str">
        <x:v>Hansen Yang</x:v>
      </x:c>
      <x:c r="C525" s="65" t="str">
        <x:v>POR</x:v>
      </x:c>
      <x:c r="D525" s="65" t="str">
        <x:v>C</x:v>
      </x:c>
      <x:c r="E525" s="65" t="str">
        <x:v>C</x:v>
      </x:c>
      <x:c r="F525" s="66"/>
      <x:c r="G525" s="67"/>
      <x:c r="H525" s="67" t="n">
        <x:v>0</x:v>
      </x:c>
      <x:c r="I525" s="67" t="n">
        <x:v>3.5</x:v>
      </x:c>
      <x:c r="J525" s="67" t="n">
        <x:v>0</x:v>
      </x:c>
      <x:c r="K525" s="67" t="str">
        <x:v>WATCH</x:v>
      </x:c>
      <x:c r="L525" s="67" t="n">
        <x:v>0</x:v>
      </x:c>
      <x:c r="M525" s="68" t="n">
        <x:v>0</x:v>
      </x:c>
      <x:c r="N525" s="69" t="str">
        <x:v>Available</x:v>
      </x:c>
      <x:c r="O525" s="62" t="str">
        <x:v>Camp/summer-depth watch entry; no reliable 2026-27 fantasy projection. Verify final NBA contract, roster status and role before draft use.</x:v>
      </x:c>
      <x:c r="P525" s="60"/>
      <x:c r="Q525" s="60"/>
      <x:c r="R525" s="60"/>
      <x:c r="S525" s="60" t="n">
        <x:v>0</x:v>
      </x:c>
      <x:c r="T525" s="72" t="str">
        <x:v>https://github.com/A-V29/NBA.Rosters/blob/main/2026.Summer.League.json</x:v>
      </x:c>
      <x:c r="U525" s="87" t="str">
        <x:v>WATCH</x:v>
      </x:c>
      <x:c r="V525" s="87" t="str">
        <x:v>LOW</x:v>
      </x:c>
      <x:c r="W525" s="87" t="str">
        <x:v>NONE</x:v>
      </x:c>
      <x:c r="X525" s="87" t="str">
        <x:v>CAMP/SUMMER</x:v>
      </x:c>
      <x:c r="Y525" s="87" t="str">
        <x:v>2026-09-28 master / roster context 2026-09-03+</x:v>
      </x:c>
      <x:c r="Z525" s="72" t="str">
        <x:v>https://github.com/A-V29/NBA.Rosters/blob/main/2026.Summer.League.json</x:v>
      </x:c>
      <x:c r="AA525" s="72" t="str">
        <x:v>https://github.com/ballacademy/NBA-head-to-head-/blob/5b1decfc31ffb645469c7ffbd01aaca4b18181bd/data/nba-stats/nba-player-stats-202526-regular-season-per-game.csv</x:v>
      </x:c>
    </x:row>
    <x:row r="526" ht="21" customHeight="1">
      <x:c r="A526" s="64" t="n">
        <x:v>521</x:v>
      </x:c>
      <x:c r="B526" s="59" t="str">
        <x:v>Harry Wessels</x:v>
      </x:c>
      <x:c r="C526" s="65" t="str">
        <x:v>SAS</x:v>
      </x:c>
      <x:c r="D526" s="65" t="str">
        <x:v>C</x:v>
      </x:c>
      <x:c r="E526" s="65" t="str">
        <x:v>C</x:v>
      </x:c>
      <x:c r="F526" s="66"/>
      <x:c r="G526" s="67"/>
      <x:c r="H526" s="67" t="n">
        <x:v>0</x:v>
      </x:c>
      <x:c r="I526" s="67" t="n">
        <x:v>3.5</x:v>
      </x:c>
      <x:c r="J526" s="67" t="n">
        <x:v>0</x:v>
      </x:c>
      <x:c r="K526" s="67" t="str">
        <x:v>WATCH</x:v>
      </x:c>
      <x:c r="L526" s="67" t="n">
        <x:v>0</x:v>
      </x:c>
      <x:c r="M526" s="68" t="n">
        <x:v>0</x:v>
      </x:c>
      <x:c r="N526" s="69" t="str">
        <x:v>Available</x:v>
      </x:c>
      <x:c r="O526" s="62" t="str">
        <x:v>Camp/summer-depth watch entry; no reliable 2026-27 fantasy projection. Verify final NBA contract, roster status and role before draft use.</x:v>
      </x:c>
      <x:c r="P526" s="60"/>
      <x:c r="Q526" s="60"/>
      <x:c r="R526" s="60"/>
      <x:c r="S526" s="60" t="n">
        <x:v>0</x:v>
      </x:c>
      <x:c r="T526" s="72" t="str">
        <x:v>https://github.com/A-V29/NBA.Rosters/blob/main/2026.Summer.League.json</x:v>
      </x:c>
      <x:c r="U526" s="87" t="str">
        <x:v>WATCH</x:v>
      </x:c>
      <x:c r="V526" s="87" t="str">
        <x:v>LOW</x:v>
      </x:c>
      <x:c r="W526" s="87" t="str">
        <x:v>NONE</x:v>
      </x:c>
      <x:c r="X526" s="87" t="str">
        <x:v>CAMP/SUMMER</x:v>
      </x:c>
      <x:c r="Y526" s="87" t="str">
        <x:v>2026-09-28 master / roster context 2026-09-03+</x:v>
      </x:c>
      <x:c r="Z526" s="72" t="str">
        <x:v>https://github.com/A-V29/NBA.Rosters/blob/main/2026.Summer.League.json</x:v>
      </x:c>
      <x:c r="AA526" s="72" t="str">
        <x:v>https://github.com/ballacademy/NBA-head-to-head-/blob/5b1decfc31ffb645469c7ffbd01aaca4b18181bd/data/nba-stats/nba-player-stats-202526-regular-season-per-game.csv</x:v>
      </x:c>
    </x:row>
    <x:row r="527" ht="21" customHeight="1">
      <x:c r="A527" s="64" t="n">
        <x:v>522</x:v>
      </x:c>
      <x:c r="B527" s="59" t="str">
        <x:v>Houston Mallette</x:v>
      </x:c>
      <x:c r="C527" s="65" t="str">
        <x:v>CHI</x:v>
      </x:c>
      <x:c r="D527" s="65" t="str">
        <x:v>PG</x:v>
      </x:c>
      <x:c r="E527" s="65" t="str">
        <x:v>G</x:v>
      </x:c>
      <x:c r="F527" s="66"/>
      <x:c r="G527" s="67"/>
      <x:c r="H527" s="67" t="n">
        <x:v>0</x:v>
      </x:c>
      <x:c r="I527" s="67" t="n">
        <x:v>3.5</x:v>
      </x:c>
      <x:c r="J527" s="67" t="n">
        <x:v>0</x:v>
      </x:c>
      <x:c r="K527" s="67" t="str">
        <x:v>WATCH</x:v>
      </x:c>
      <x:c r="L527" s="67" t="n">
        <x:v>0</x:v>
      </x:c>
      <x:c r="M527" s="68" t="n">
        <x:v>0</x:v>
      </x:c>
      <x:c r="N527" s="69" t="str">
        <x:v>Available</x:v>
      </x:c>
      <x:c r="O527" s="62" t="str">
        <x:v>Camp/summer-depth watch entry; no reliable 2026-27 fantasy projection. Verify final NBA contract, roster status and role before draft use.</x:v>
      </x:c>
      <x:c r="P527" s="60"/>
      <x:c r="Q527" s="60"/>
      <x:c r="R527" s="60"/>
      <x:c r="S527" s="60" t="n">
        <x:v>0</x:v>
      </x:c>
      <x:c r="T527" s="72" t="str">
        <x:v>https://github.com/A-V29/NBA.Rosters/blob/main/2026.Summer.League.json</x:v>
      </x:c>
      <x:c r="U527" s="87" t="str">
        <x:v>WATCH</x:v>
      </x:c>
      <x:c r="V527" s="87" t="str">
        <x:v>LOW</x:v>
      </x:c>
      <x:c r="W527" s="87" t="str">
        <x:v>NONE</x:v>
      </x:c>
      <x:c r="X527" s="87" t="str">
        <x:v>CAMP/SUMMER</x:v>
      </x:c>
      <x:c r="Y527" s="87" t="str">
        <x:v>2026-09-28 master / roster context 2026-09-03+</x:v>
      </x:c>
      <x:c r="Z527" s="72" t="str">
        <x:v>https://github.com/A-V29/NBA.Rosters/blob/main/2026.Summer.League.json</x:v>
      </x:c>
      <x:c r="AA527" s="72" t="str">
        <x:v>https://github.com/ballacademy/NBA-head-to-head-/blob/5b1decfc31ffb645469c7ffbd01aaca4b18181bd/data/nba-stats/nba-player-stats-202526-regular-season-per-game.csv</x:v>
      </x:c>
    </x:row>
    <x:row r="528" ht="21" customHeight="1">
      <x:c r="A528" s="64" t="n">
        <x:v>523</x:v>
      </x:c>
      <x:c r="B528" s="59" t="str">
        <x:v>Hyunjung Lee</x:v>
      </x:c>
      <x:c r="C528" s="65" t="str">
        <x:v>SAS</x:v>
      </x:c>
      <x:c r="D528" s="65" t="str">
        <x:v>SF</x:v>
      </x:c>
      <x:c r="E528" s="65" t="str">
        <x:v>GF</x:v>
      </x:c>
      <x:c r="F528" s="66"/>
      <x:c r="G528" s="67"/>
      <x:c r="H528" s="67" t="n">
        <x:v>0</x:v>
      </x:c>
      <x:c r="I528" s="67" t="n">
        <x:v>3.5</x:v>
      </x:c>
      <x:c r="J528" s="67" t="n">
        <x:v>0</x:v>
      </x:c>
      <x:c r="K528" s="67" t="str">
        <x:v>WATCH</x:v>
      </x:c>
      <x:c r="L528" s="67" t="n">
        <x:v>0</x:v>
      </x:c>
      <x:c r="M528" s="68" t="n">
        <x:v>0</x:v>
      </x:c>
      <x:c r="N528" s="69" t="str">
        <x:v>Available</x:v>
      </x:c>
      <x:c r="O528" s="62" t="str">
        <x:v>Camp/summer-depth watch entry; no reliable 2026-27 fantasy projection. Verify final NBA contract, roster status and role before draft use.</x:v>
      </x:c>
      <x:c r="P528" s="60"/>
      <x:c r="Q528" s="60"/>
      <x:c r="R528" s="60"/>
      <x:c r="S528" s="60" t="n">
        <x:v>0</x:v>
      </x:c>
      <x:c r="T528" s="72" t="str">
        <x:v>https://github.com/A-V29/NBA.Rosters/blob/main/2026.Summer.League.json</x:v>
      </x:c>
      <x:c r="U528" s="87" t="str">
        <x:v>WATCH</x:v>
      </x:c>
      <x:c r="V528" s="87" t="str">
        <x:v>LOW</x:v>
      </x:c>
      <x:c r="W528" s="87" t="str">
        <x:v>NONE</x:v>
      </x:c>
      <x:c r="X528" s="87" t="str">
        <x:v>CAMP/SUMMER</x:v>
      </x:c>
      <x:c r="Y528" s="87" t="str">
        <x:v>2026-09-28 master / roster context 2026-09-03+</x:v>
      </x:c>
      <x:c r="Z528" s="72" t="str">
        <x:v>https://github.com/A-V29/NBA.Rosters/blob/main/2026.Summer.League.json</x:v>
      </x:c>
      <x:c r="AA528" s="72" t="str">
        <x:v>https://github.com/ballacademy/NBA-head-to-head-/blob/5b1decfc31ffb645469c7ffbd01aaca4b18181bd/data/nba-stats/nba-player-stats-202526-regular-season-per-game.csv</x:v>
      </x:c>
    </x:row>
    <x:row r="529" ht="21" customHeight="1">
      <x:c r="A529" s="64" t="n">
        <x:v>524</x:v>
      </x:c>
      <x:c r="B529" s="59" t="str">
        <x:v>Ian Martinez</x:v>
      </x:c>
      <x:c r="C529" s="65" t="str">
        <x:v>CLE</x:v>
      </x:c>
      <x:c r="D529" s="65" t="str">
        <x:v>PG</x:v>
      </x:c>
      <x:c r="E529" s="65" t="str">
        <x:v>G</x:v>
      </x:c>
      <x:c r="F529" s="66"/>
      <x:c r="G529" s="67"/>
      <x:c r="H529" s="67" t="n">
        <x:v>0</x:v>
      </x:c>
      <x:c r="I529" s="67" t="n">
        <x:v>3.5</x:v>
      </x:c>
      <x:c r="J529" s="67" t="n">
        <x:v>0</x:v>
      </x:c>
      <x:c r="K529" s="67" t="str">
        <x:v>WATCH</x:v>
      </x:c>
      <x:c r="L529" s="67" t="n">
        <x:v>0</x:v>
      </x:c>
      <x:c r="M529" s="68" t="n">
        <x:v>0</x:v>
      </x:c>
      <x:c r="N529" s="69" t="str">
        <x:v>Available</x:v>
      </x:c>
      <x:c r="O529" s="62" t="str">
        <x:v>Camp/summer-depth watch entry; no reliable 2026-27 fantasy projection. Verify final NBA contract, roster status and role before draft use.</x:v>
      </x:c>
      <x:c r="P529" s="60"/>
      <x:c r="Q529" s="60"/>
      <x:c r="R529" s="60"/>
      <x:c r="S529" s="60" t="n">
        <x:v>0</x:v>
      </x:c>
      <x:c r="T529" s="72" t="str">
        <x:v>https://github.com/A-V29/NBA.Rosters/blob/main/2026.Summer.League.json</x:v>
      </x:c>
      <x:c r="U529" s="87" t="str">
        <x:v>WATCH</x:v>
      </x:c>
      <x:c r="V529" s="87" t="str">
        <x:v>LOW</x:v>
      </x:c>
      <x:c r="W529" s="87" t="str">
        <x:v>NONE</x:v>
      </x:c>
      <x:c r="X529" s="87" t="str">
        <x:v>CAMP/SUMMER</x:v>
      </x:c>
      <x:c r="Y529" s="87" t="str">
        <x:v>2026-09-28 master / roster context 2026-09-03+</x:v>
      </x:c>
      <x:c r="Z529" s="72" t="str">
        <x:v>https://github.com/A-V29/NBA.Rosters/blob/main/2026.Summer.League.json</x:v>
      </x:c>
      <x:c r="AA529" s="72" t="str">
        <x:v>https://github.com/ballacademy/NBA-head-to-head-/blob/5b1decfc31ffb645469c7ffbd01aaca4b18181bd/data/nba-stats/nba-player-stats-202526-regular-season-per-game.csv</x:v>
      </x:c>
    </x:row>
    <x:row r="530" ht="21" customHeight="1">
      <x:c r="A530" s="64" t="n">
        <x:v>525</x:v>
      </x:c>
      <x:c r="B530" s="59" t="str">
        <x:v>Ian Schieffelin</x:v>
      </x:c>
      <x:c r="C530" s="65" t="str">
        <x:v>MIA</x:v>
      </x:c>
      <x:c r="D530" s="65" t="str">
        <x:v>PF</x:v>
      </x:c>
      <x:c r="E530" s="65" t="str">
        <x:v>F</x:v>
      </x:c>
      <x:c r="F530" s="66"/>
      <x:c r="G530" s="67"/>
      <x:c r="H530" s="67" t="n">
        <x:v>0</x:v>
      </x:c>
      <x:c r="I530" s="67" t="n">
        <x:v>3.5</x:v>
      </x:c>
      <x:c r="J530" s="67" t="n">
        <x:v>0</x:v>
      </x:c>
      <x:c r="K530" s="67" t="str">
        <x:v>WATCH</x:v>
      </x:c>
      <x:c r="L530" s="67" t="n">
        <x:v>0</x:v>
      </x:c>
      <x:c r="M530" s="68" t="n">
        <x:v>0</x:v>
      </x:c>
      <x:c r="N530" s="69" t="str">
        <x:v>Available</x:v>
      </x:c>
      <x:c r="O530" s="62" t="str">
        <x:v>Camp/summer-depth watch entry; no reliable 2026-27 fantasy projection. Verify final NBA contract, roster status and role before draft use.</x:v>
      </x:c>
      <x:c r="P530" s="60"/>
      <x:c r="Q530" s="60"/>
      <x:c r="R530" s="60"/>
      <x:c r="S530" s="60" t="n">
        <x:v>0</x:v>
      </x:c>
      <x:c r="T530" s="72" t="str">
        <x:v>https://github.com/A-V29/NBA.Rosters/blob/main/2026.Summer.League.json</x:v>
      </x:c>
      <x:c r="U530" s="87" t="str">
        <x:v>WATCH</x:v>
      </x:c>
      <x:c r="V530" s="87" t="str">
        <x:v>LOW</x:v>
      </x:c>
      <x:c r="W530" s="87" t="str">
        <x:v>NONE</x:v>
      </x:c>
      <x:c r="X530" s="87" t="str">
        <x:v>CAMP/SUMMER</x:v>
      </x:c>
      <x:c r="Y530" s="87" t="str">
        <x:v>2026-09-28 master / roster context 2026-09-03+</x:v>
      </x:c>
      <x:c r="Z530" s="72" t="str">
        <x:v>https://github.com/A-V29/NBA.Rosters/blob/main/2026.Summer.League.json</x:v>
      </x:c>
      <x:c r="AA530" s="72" t="str">
        <x:v>https://github.com/ballacademy/NBA-head-to-head-/blob/5b1decfc31ffb645469c7ffbd01aaca4b18181bd/data/nba-stats/nba-player-stats-202526-regular-season-per-game.csv</x:v>
      </x:c>
    </x:row>
    <x:row r="531" ht="21" customHeight="1">
      <x:c r="A531" s="64" t="n">
        <x:v>526</x:v>
      </x:c>
      <x:c r="B531" s="59" t="str">
        <x:v>Isaac Johnson</x:v>
      </x:c>
      <x:c r="C531" s="65" t="str">
        <x:v>PHI</x:v>
      </x:c>
      <x:c r="D531" s="65" t="str">
        <x:v>C</x:v>
      </x:c>
      <x:c r="E531" s="65" t="str">
        <x:v>C</x:v>
      </x:c>
      <x:c r="F531" s="66"/>
      <x:c r="G531" s="67"/>
      <x:c r="H531" s="67" t="n">
        <x:v>0</x:v>
      </x:c>
      <x:c r="I531" s="67" t="n">
        <x:v>3.5</x:v>
      </x:c>
      <x:c r="J531" s="67" t="n">
        <x:v>0</x:v>
      </x:c>
      <x:c r="K531" s="67" t="str">
        <x:v>WATCH</x:v>
      </x:c>
      <x:c r="L531" s="67" t="n">
        <x:v>0</x:v>
      </x:c>
      <x:c r="M531" s="68" t="n">
        <x:v>0</x:v>
      </x:c>
      <x:c r="N531" s="69" t="str">
        <x:v>Available</x:v>
      </x:c>
      <x:c r="O531" s="62" t="str">
        <x:v>Camp/summer-depth watch entry; no reliable 2026-27 fantasy projection. Verify final NBA contract, roster status and role before draft use.</x:v>
      </x:c>
      <x:c r="P531" s="60"/>
      <x:c r="Q531" s="60"/>
      <x:c r="R531" s="60"/>
      <x:c r="S531" s="60" t="n">
        <x:v>0</x:v>
      </x:c>
      <x:c r="T531" s="72" t="str">
        <x:v>https://github.com/A-V29/NBA.Rosters/blob/main/2026.Summer.League.json</x:v>
      </x:c>
      <x:c r="U531" s="87" t="str">
        <x:v>WATCH</x:v>
      </x:c>
      <x:c r="V531" s="87" t="str">
        <x:v>LOW</x:v>
      </x:c>
      <x:c r="W531" s="87" t="str">
        <x:v>NONE</x:v>
      </x:c>
      <x:c r="X531" s="87" t="str">
        <x:v>CAMP/SUMMER</x:v>
      </x:c>
      <x:c r="Y531" s="87" t="str">
        <x:v>2026-09-28 master / roster context 2026-09-03+</x:v>
      </x:c>
      <x:c r="Z531" s="72" t="str">
        <x:v>https://github.com/A-V29/NBA.Rosters/blob/main/2026.Summer.League.json</x:v>
      </x:c>
      <x:c r="AA531" s="72" t="str">
        <x:v>https://github.com/ballacademy/NBA-head-to-head-/blob/5b1decfc31ffb645469c7ffbd01aaca4b18181bd/data/nba-stats/nba-player-stats-202526-regular-season-per-game.csv</x:v>
      </x:c>
    </x:row>
    <x:row r="532" ht="21" customHeight="1">
      <x:c r="A532" s="64" t="n">
        <x:v>527</x:v>
      </x:c>
      <x:c r="B532" s="59" t="str">
        <x:v>Isaac McKneely</x:v>
      </x:c>
      <x:c r="C532" s="65" t="str">
        <x:v>ATL</x:v>
      </x:c>
      <x:c r="D532" s="65" t="str">
        <x:v>SG</x:v>
      </x:c>
      <x:c r="E532" s="65" t="str">
        <x:v>SG</x:v>
      </x:c>
      <x:c r="F532" s="66"/>
      <x:c r="G532" s="67"/>
      <x:c r="H532" s="67" t="n">
        <x:v>0</x:v>
      </x:c>
      <x:c r="I532" s="67" t="n">
        <x:v>3.5</x:v>
      </x:c>
      <x:c r="J532" s="67" t="n">
        <x:v>0</x:v>
      </x:c>
      <x:c r="K532" s="67" t="str">
        <x:v>WATCH</x:v>
      </x:c>
      <x:c r="L532" s="67" t="n">
        <x:v>0</x:v>
      </x:c>
      <x:c r="M532" s="68" t="n">
        <x:v>0</x:v>
      </x:c>
      <x:c r="N532" s="69" t="str">
        <x:v>Available</x:v>
      </x:c>
      <x:c r="O532" s="62" t="str">
        <x:v>Camp/summer-depth watch entry; no reliable 2026-27 fantasy projection. Verify final NBA contract, roster status and role before draft use.</x:v>
      </x:c>
      <x:c r="P532" s="60"/>
      <x:c r="Q532" s="60"/>
      <x:c r="R532" s="60"/>
      <x:c r="S532" s="60" t="n">
        <x:v>0</x:v>
      </x:c>
      <x:c r="T532" s="72" t="str">
        <x:v>https://github.com/A-V29/NBA.Rosters/blob/main/2026.Summer.League.json</x:v>
      </x:c>
      <x:c r="U532" s="87" t="str">
        <x:v>WATCH</x:v>
      </x:c>
      <x:c r="V532" s="87" t="str">
        <x:v>LOW</x:v>
      </x:c>
      <x:c r="W532" s="87" t="str">
        <x:v>NONE</x:v>
      </x:c>
      <x:c r="X532" s="87" t="str">
        <x:v>CAMP/SUMMER</x:v>
      </x:c>
      <x:c r="Y532" s="87" t="str">
        <x:v>2026-09-28 master / roster context 2026-09-03+</x:v>
      </x:c>
      <x:c r="Z532" s="72" t="str">
        <x:v>https://github.com/A-V29/NBA.Rosters/blob/main/2026.Summer.League.json</x:v>
      </x:c>
      <x:c r="AA532" s="72" t="str">
        <x:v>https://github.com/ballacademy/NBA-head-to-head-/blob/5b1decfc31ffb645469c7ffbd01aaca4b18181bd/data/nba-stats/nba-player-stats-202526-regular-season-per-game.csv</x:v>
      </x:c>
    </x:row>
    <x:row r="533" ht="21" customHeight="1">
      <x:c r="A533" s="64" t="n">
        <x:v>528</x:v>
      </x:c>
      <x:c r="B533" s="59" t="str">
        <x:v>Isaiah Wong</x:v>
      </x:c>
      <x:c r="C533" s="65" t="str">
        <x:v>ATL</x:v>
      </x:c>
      <x:c r="D533" s="65" t="str">
        <x:v>PG</x:v>
      </x:c>
      <x:c r="E533" s="65" t="str">
        <x:v>G</x:v>
      </x:c>
      <x:c r="F533" s="66"/>
      <x:c r="G533" s="67"/>
      <x:c r="H533" s="67" t="n">
        <x:v>0</x:v>
      </x:c>
      <x:c r="I533" s="67" t="n">
        <x:v>3.5</x:v>
      </x:c>
      <x:c r="J533" s="67" t="n">
        <x:v>0</x:v>
      </x:c>
      <x:c r="K533" s="67" t="str">
        <x:v>WATCH</x:v>
      </x:c>
      <x:c r="L533" s="67" t="n">
        <x:v>0</x:v>
      </x:c>
      <x:c r="M533" s="68" t="n">
        <x:v>0</x:v>
      </x:c>
      <x:c r="N533" s="69" t="str">
        <x:v>Available</x:v>
      </x:c>
      <x:c r="O533" s="62" t="str">
        <x:v>Camp/summer-depth watch entry; no reliable 2026-27 fantasy projection. Verify final NBA contract, roster status and role before draft use.</x:v>
      </x:c>
      <x:c r="P533" s="60"/>
      <x:c r="Q533" s="60"/>
      <x:c r="R533" s="60"/>
      <x:c r="S533" s="60" t="n">
        <x:v>0</x:v>
      </x:c>
      <x:c r="T533" s="72" t="str">
        <x:v>https://github.com/A-V29/NBA.Rosters/blob/main/2026.Summer.League.json</x:v>
      </x:c>
      <x:c r="U533" s="87" t="str">
        <x:v>WATCH</x:v>
      </x:c>
      <x:c r="V533" s="87" t="str">
        <x:v>LOW</x:v>
      </x:c>
      <x:c r="W533" s="87" t="str">
        <x:v>NONE</x:v>
      </x:c>
      <x:c r="X533" s="87" t="str">
        <x:v>CAMP/SUMMER</x:v>
      </x:c>
      <x:c r="Y533" s="87" t="str">
        <x:v>2026-09-28 master / roster context 2026-09-03+</x:v>
      </x:c>
      <x:c r="Z533" s="72" t="str">
        <x:v>https://github.com/A-V29/NBA.Rosters/blob/main/2026.Summer.League.json</x:v>
      </x:c>
      <x:c r="AA533" s="72" t="str">
        <x:v>https://github.com/ballacademy/NBA-head-to-head-/blob/5b1decfc31ffb645469c7ffbd01aaca4b18181bd/data/nba-stats/nba-player-stats-202526-regular-season-per-game.csv</x:v>
      </x:c>
    </x:row>
    <x:row r="534" ht="21" customHeight="1">
      <x:c r="A534" s="64" t="n">
        <x:v>529</x:v>
      </x:c>
      <x:c r="B534" s="59" t="str">
        <x:v>Izaiyah Nelson</x:v>
      </x:c>
      <x:c r="C534" s="65" t="str">
        <x:v>ORL</x:v>
      </x:c>
      <x:c r="D534" s="65" t="str">
        <x:v>C</x:v>
      </x:c>
      <x:c r="E534" s="65" t="str">
        <x:v>FC</x:v>
      </x:c>
      <x:c r="F534" s="66"/>
      <x:c r="G534" s="67"/>
      <x:c r="H534" s="67" t="n">
        <x:v>0</x:v>
      </x:c>
      <x:c r="I534" s="67" t="n">
        <x:v>3.5</x:v>
      </x:c>
      <x:c r="J534" s="67" t="n">
        <x:v>0</x:v>
      </x:c>
      <x:c r="K534" s="67" t="str">
        <x:v>WATCH</x:v>
      </x:c>
      <x:c r="L534" s="67" t="n">
        <x:v>0</x:v>
      </x:c>
      <x:c r="M534" s="68" t="n">
        <x:v>0</x:v>
      </x:c>
      <x:c r="N534" s="69" t="str">
        <x:v>Available</x:v>
      </x:c>
      <x:c r="O534" s="62" t="str">
        <x:v>Camp/summer-depth watch entry; no reliable 2026-27 fantasy projection. Verify final NBA contract, roster status and role before draft use.</x:v>
      </x:c>
      <x:c r="P534" s="60"/>
      <x:c r="Q534" s="60"/>
      <x:c r="R534" s="60"/>
      <x:c r="S534" s="60" t="n">
        <x:v>0</x:v>
      </x:c>
      <x:c r="T534" s="72" t="str">
        <x:v>https://github.com/A-V29/NBA.Rosters/blob/main/2026.Summer.League.json</x:v>
      </x:c>
      <x:c r="U534" s="87" t="str">
        <x:v>WATCH</x:v>
      </x:c>
      <x:c r="V534" s="87" t="str">
        <x:v>LOW</x:v>
      </x:c>
      <x:c r="W534" s="87" t="str">
        <x:v>NONE</x:v>
      </x:c>
      <x:c r="X534" s="87" t="str">
        <x:v>CAMP/SUMMER</x:v>
      </x:c>
      <x:c r="Y534" s="87" t="str">
        <x:v>2026-09-28 master / roster context 2026-09-03+</x:v>
      </x:c>
      <x:c r="Z534" s="72" t="str">
        <x:v>https://github.com/A-V29/NBA.Rosters/blob/main/2026.Summer.League.json</x:v>
      </x:c>
      <x:c r="AA534" s="72" t="str">
        <x:v>https://github.com/ballacademy/NBA-head-to-head-/blob/5b1decfc31ffb645469c7ffbd01aaca4b18181bd/data/nba-stats/nba-player-stats-202526-regular-season-per-game.csv</x:v>
      </x:c>
    </x:row>
    <x:row r="535" ht="21" customHeight="1">
      <x:c r="A535" s="64" t="n">
        <x:v>530</x:v>
      </x:c>
      <x:c r="B535" s="59" t="str">
        <x:v>J'Vonne Hadley</x:v>
      </x:c>
      <x:c r="C535" s="65" t="str">
        <x:v>MIA</x:v>
      </x:c>
      <x:c r="D535" s="65" t="str">
        <x:v>SF</x:v>
      </x:c>
      <x:c r="E535" s="65" t="str">
        <x:v>GF</x:v>
      </x:c>
      <x:c r="F535" s="66"/>
      <x:c r="G535" s="67"/>
      <x:c r="H535" s="67" t="n">
        <x:v>0</x:v>
      </x:c>
      <x:c r="I535" s="67" t="n">
        <x:v>3.5</x:v>
      </x:c>
      <x:c r="J535" s="67" t="n">
        <x:v>0</x:v>
      </x:c>
      <x:c r="K535" s="67" t="str">
        <x:v>WATCH</x:v>
      </x:c>
      <x:c r="L535" s="67" t="n">
        <x:v>0</x:v>
      </x:c>
      <x:c r="M535" s="68" t="n">
        <x:v>0</x:v>
      </x:c>
      <x:c r="N535" s="69" t="str">
        <x:v>Available</x:v>
      </x:c>
      <x:c r="O535" s="62" t="str">
        <x:v>Camp/summer-depth watch entry; no reliable 2026-27 fantasy projection. Verify final NBA contract, roster status and role before draft use.</x:v>
      </x:c>
      <x:c r="P535" s="60"/>
      <x:c r="Q535" s="60"/>
      <x:c r="R535" s="60"/>
      <x:c r="S535" s="60" t="n">
        <x:v>0</x:v>
      </x:c>
      <x:c r="T535" s="72" t="str">
        <x:v>https://github.com/A-V29/NBA.Rosters/blob/main/2026.Summer.League.json</x:v>
      </x:c>
      <x:c r="U535" s="87" t="str">
        <x:v>WATCH</x:v>
      </x:c>
      <x:c r="V535" s="87" t="str">
        <x:v>LOW</x:v>
      </x:c>
      <x:c r="W535" s="87" t="str">
        <x:v>NONE</x:v>
      </x:c>
      <x:c r="X535" s="87" t="str">
        <x:v>CAMP/SUMMER</x:v>
      </x:c>
      <x:c r="Y535" s="87" t="str">
        <x:v>2026-09-28 master / roster context 2026-09-03+</x:v>
      </x:c>
      <x:c r="Z535" s="72" t="str">
        <x:v>https://github.com/A-V29/NBA.Rosters/blob/main/2026.Summer.League.json</x:v>
      </x:c>
      <x:c r="AA535" s="72" t="str">
        <x:v>https://github.com/ballacademy/NBA-head-to-head-/blob/5b1decfc31ffb645469c7ffbd01aaca4b18181bd/data/nba-stats/nba-player-stats-202526-regular-season-per-game.csv</x:v>
      </x:c>
    </x:row>
    <x:row r="536" ht="21" customHeight="1">
      <x:c r="A536" s="64" t="n">
        <x:v>531</x:v>
      </x:c>
      <x:c r="B536" s="59" t="str">
        <x:v>JJ Harper</x:v>
      </x:c>
      <x:c r="C536" s="65" t="str">
        <x:v>PHI</x:v>
      </x:c>
      <x:c r="D536" s="65" t="str">
        <x:v>SF</x:v>
      </x:c>
      <x:c r="E536" s="65" t="str">
        <x:v>GF</x:v>
      </x:c>
      <x:c r="F536" s="66"/>
      <x:c r="G536" s="67"/>
      <x:c r="H536" s="67" t="n">
        <x:v>0</x:v>
      </x:c>
      <x:c r="I536" s="67" t="n">
        <x:v>3.5</x:v>
      </x:c>
      <x:c r="J536" s="67" t="n">
        <x:v>0</x:v>
      </x:c>
      <x:c r="K536" s="67" t="str">
        <x:v>WATCH</x:v>
      </x:c>
      <x:c r="L536" s="67" t="n">
        <x:v>0</x:v>
      </x:c>
      <x:c r="M536" s="68" t="n">
        <x:v>0</x:v>
      </x:c>
      <x:c r="N536" s="69" t="str">
        <x:v>Available</x:v>
      </x:c>
      <x:c r="O536" s="62" t="str">
        <x:v>Camp/summer-depth watch entry; no reliable 2026-27 fantasy projection. Verify final NBA contract, roster status and role before draft use.</x:v>
      </x:c>
      <x:c r="P536" s="60"/>
      <x:c r="Q536" s="60"/>
      <x:c r="R536" s="60"/>
      <x:c r="S536" s="60" t="n">
        <x:v>0</x:v>
      </x:c>
      <x:c r="T536" s="72" t="str">
        <x:v>https://github.com/A-V29/NBA.Rosters/blob/main/2026.Summer.League.json</x:v>
      </x:c>
      <x:c r="U536" s="87" t="str">
        <x:v>WATCH</x:v>
      </x:c>
      <x:c r="V536" s="87" t="str">
        <x:v>LOW</x:v>
      </x:c>
      <x:c r="W536" s="87" t="str">
        <x:v>NONE</x:v>
      </x:c>
      <x:c r="X536" s="87" t="str">
        <x:v>CAMP/SUMMER</x:v>
      </x:c>
      <x:c r="Y536" s="87" t="str">
        <x:v>2026-09-28 master / roster context 2026-09-03+</x:v>
      </x:c>
      <x:c r="Z536" s="72" t="str">
        <x:v>https://github.com/A-V29/NBA.Rosters/blob/main/2026.Summer.League.json</x:v>
      </x:c>
      <x:c r="AA536" s="72" t="str">
        <x:v>https://github.com/ballacademy/NBA-head-to-head-/blob/5b1decfc31ffb645469c7ffbd01aaca4b18181bd/data/nba-stats/nba-player-stats-202526-regular-season-per-game.csv</x:v>
      </x:c>
    </x:row>
    <x:row r="537" ht="21" customHeight="1">
      <x:c r="A537" s="64" t="n">
        <x:v>532</x:v>
      </x:c>
      <x:c r="B537" s="59" t="str">
        <x:v>Ja'Kobi Gillespie</x:v>
      </x:c>
      <x:c r="C537" s="65" t="str">
        <x:v>SAS</x:v>
      </x:c>
      <x:c r="D537" s="65" t="str">
        <x:v>PG</x:v>
      </x:c>
      <x:c r="E537" s="65" t="str">
        <x:v>PG</x:v>
      </x:c>
      <x:c r="F537" s="66"/>
      <x:c r="G537" s="67"/>
      <x:c r="H537" s="67" t="n">
        <x:v>0</x:v>
      </x:c>
      <x:c r="I537" s="67" t="n">
        <x:v>3.5</x:v>
      </x:c>
      <x:c r="J537" s="67" t="n">
        <x:v>0</x:v>
      </x:c>
      <x:c r="K537" s="67" t="str">
        <x:v>WATCH</x:v>
      </x:c>
      <x:c r="L537" s="67" t="n">
        <x:v>0</x:v>
      </x:c>
      <x:c r="M537" s="68" t="n">
        <x:v>0</x:v>
      </x:c>
      <x:c r="N537" s="69" t="str">
        <x:v>Available</x:v>
      </x:c>
      <x:c r="O537" s="62" t="str">
        <x:v>Camp/summer-depth watch entry; no reliable 2026-27 fantasy projection. Verify final NBA contract, roster status and role before draft use.</x:v>
      </x:c>
      <x:c r="P537" s="60"/>
      <x:c r="Q537" s="60"/>
      <x:c r="R537" s="60"/>
      <x:c r="S537" s="60" t="n">
        <x:v>0</x:v>
      </x:c>
      <x:c r="T537" s="72" t="str">
        <x:v>https://github.com/A-V29/NBA.Rosters/blob/main/2026.Summer.League.json</x:v>
      </x:c>
      <x:c r="U537" s="87" t="str">
        <x:v>WATCH</x:v>
      </x:c>
      <x:c r="V537" s="87" t="str">
        <x:v>LOW</x:v>
      </x:c>
      <x:c r="W537" s="87" t="str">
        <x:v>NONE</x:v>
      </x:c>
      <x:c r="X537" s="87" t="str">
        <x:v>CAMP/SUMMER</x:v>
      </x:c>
      <x:c r="Y537" s="87" t="str">
        <x:v>2026-09-28 master / roster context 2026-09-03+</x:v>
      </x:c>
      <x:c r="Z537" s="72" t="str">
        <x:v>https://github.com/A-V29/NBA.Rosters/blob/main/2026.Summer.League.json</x:v>
      </x:c>
      <x:c r="AA537" s="72" t="str">
        <x:v>https://github.com/ballacademy/NBA-head-to-head-/blob/5b1decfc31ffb645469c7ffbd01aaca4b18181bd/data/nba-stats/nba-player-stats-202526-regular-season-per-game.csv</x:v>
      </x:c>
    </x:row>
    <x:row r="538" ht="21" customHeight="1">
      <x:c r="A538" s="64" t="n">
        <x:v>533</x:v>
      </x:c>
      <x:c r="B538" s="59" t="str">
        <x:v>Ja'Vier Francis</x:v>
      </x:c>
      <x:c r="C538" s="65" t="str">
        <x:v>DAL</x:v>
      </x:c>
      <x:c r="D538" s="65" t="str">
        <x:v>C</x:v>
      </x:c>
      <x:c r="E538" s="65" t="str">
        <x:v>FC</x:v>
      </x:c>
      <x:c r="F538" s="66"/>
      <x:c r="G538" s="67"/>
      <x:c r="H538" s="67" t="n">
        <x:v>0</x:v>
      </x:c>
      <x:c r="I538" s="67" t="n">
        <x:v>3.5</x:v>
      </x:c>
      <x:c r="J538" s="67" t="n">
        <x:v>0</x:v>
      </x:c>
      <x:c r="K538" s="67" t="str">
        <x:v>WATCH</x:v>
      </x:c>
      <x:c r="L538" s="67" t="n">
        <x:v>0</x:v>
      </x:c>
      <x:c r="M538" s="68" t="n">
        <x:v>0</x:v>
      </x:c>
      <x:c r="N538" s="69" t="str">
        <x:v>Available</x:v>
      </x:c>
      <x:c r="O538" s="62" t="str">
        <x:v>Camp/summer-depth watch entry; no reliable 2026-27 fantasy projection. Verify final NBA contract, roster status and role before draft use.</x:v>
      </x:c>
      <x:c r="P538" s="60"/>
      <x:c r="Q538" s="60"/>
      <x:c r="R538" s="60"/>
      <x:c r="S538" s="60" t="n">
        <x:v>0</x:v>
      </x:c>
      <x:c r="T538" s="72" t="str">
        <x:v>https://github.com/A-V29/NBA.Rosters/blob/main/2026.Summer.League.json</x:v>
      </x:c>
      <x:c r="U538" s="87" t="str">
        <x:v>WATCH</x:v>
      </x:c>
      <x:c r="V538" s="87" t="str">
        <x:v>LOW</x:v>
      </x:c>
      <x:c r="W538" s="87" t="str">
        <x:v>NONE</x:v>
      </x:c>
      <x:c r="X538" s="87" t="str">
        <x:v>CAMP/SUMMER</x:v>
      </x:c>
      <x:c r="Y538" s="87" t="str">
        <x:v>2026-09-28 master / roster context 2026-09-03+</x:v>
      </x:c>
      <x:c r="Z538" s="72" t="str">
        <x:v>https://github.com/A-V29/NBA.Rosters/blob/main/2026.Summer.League.json</x:v>
      </x:c>
      <x:c r="AA538" s="72" t="str">
        <x:v>https://github.com/ballacademy/NBA-head-to-head-/blob/5b1decfc31ffb645469c7ffbd01aaca4b18181bd/data/nba-stats/nba-player-stats-202526-regular-season-per-game.csv</x:v>
      </x:c>
    </x:row>
    <x:row r="539" ht="21" customHeight="1">
      <x:c r="A539" s="64" t="n">
        <x:v>534</x:v>
      </x:c>
      <x:c r="B539" s="59" t="str">
        <x:v>Jabri Abdur-Rahim</x:v>
      </x:c>
      <x:c r="C539" s="65" t="str">
        <x:v>OKC</x:v>
      </x:c>
      <x:c r="D539" s="65" t="str">
        <x:v>SF</x:v>
      </x:c>
      <x:c r="E539" s="65" t="str">
        <x:v>GF</x:v>
      </x:c>
      <x:c r="F539" s="66"/>
      <x:c r="G539" s="67"/>
      <x:c r="H539" s="67" t="n">
        <x:v>0</x:v>
      </x:c>
      <x:c r="I539" s="67" t="n">
        <x:v>3.5</x:v>
      </x:c>
      <x:c r="J539" s="67" t="n">
        <x:v>0</x:v>
      </x:c>
      <x:c r="K539" s="67" t="str">
        <x:v>WATCH</x:v>
      </x:c>
      <x:c r="L539" s="67" t="n">
        <x:v>0</x:v>
      </x:c>
      <x:c r="M539" s="68" t="n">
        <x:v>0</x:v>
      </x:c>
      <x:c r="N539" s="69" t="str">
        <x:v>Available</x:v>
      </x:c>
      <x:c r="O539" s="62" t="str">
        <x:v>Camp/summer-depth watch entry; no reliable 2026-27 fantasy projection. Verify final NBA contract, roster status and role before draft use.</x:v>
      </x:c>
      <x:c r="P539" s="60"/>
      <x:c r="Q539" s="60"/>
      <x:c r="R539" s="60"/>
      <x:c r="S539" s="60" t="n">
        <x:v>0</x:v>
      </x:c>
      <x:c r="T539" s="72" t="str">
        <x:v>https://github.com/A-V29/NBA.Rosters/blob/main/2026.Summer.League.json</x:v>
      </x:c>
      <x:c r="U539" s="87" t="str">
        <x:v>WATCH</x:v>
      </x:c>
      <x:c r="V539" s="87" t="str">
        <x:v>LOW</x:v>
      </x:c>
      <x:c r="W539" s="87" t="str">
        <x:v>NONE</x:v>
      </x:c>
      <x:c r="X539" s="87" t="str">
        <x:v>CAMP/SUMMER</x:v>
      </x:c>
      <x:c r="Y539" s="87" t="str">
        <x:v>2026-09-28 master / roster context 2026-09-03+</x:v>
      </x:c>
      <x:c r="Z539" s="72" t="str">
        <x:v>https://github.com/A-V29/NBA.Rosters/blob/main/2026.Summer.League.json</x:v>
      </x:c>
      <x:c r="AA539" s="72" t="str">
        <x:v>https://github.com/ballacademy/NBA-head-to-head-/blob/5b1decfc31ffb645469c7ffbd01aaca4b18181bd/data/nba-stats/nba-player-stats-202526-regular-season-per-game.csv</x:v>
      </x:c>
    </x:row>
    <x:row r="540" ht="21" customHeight="1">
      <x:c r="A540" s="64" t="n">
        <x:v>535</x:v>
      </x:c>
      <x:c r="B540" s="59" t="str">
        <x:v>Jacari White</x:v>
      </x:c>
      <x:c r="C540" s="65" t="str">
        <x:v>LAL</x:v>
      </x:c>
      <x:c r="D540" s="65" t="str">
        <x:v>PG</x:v>
      </x:c>
      <x:c r="E540" s="65" t="str">
        <x:v>G</x:v>
      </x:c>
      <x:c r="F540" s="66"/>
      <x:c r="G540" s="67"/>
      <x:c r="H540" s="67" t="n">
        <x:v>0</x:v>
      </x:c>
      <x:c r="I540" s="67" t="n">
        <x:v>3.5</x:v>
      </x:c>
      <x:c r="J540" s="67" t="n">
        <x:v>0</x:v>
      </x:c>
      <x:c r="K540" s="67" t="str">
        <x:v>WATCH</x:v>
      </x:c>
      <x:c r="L540" s="67" t="n">
        <x:v>0</x:v>
      </x:c>
      <x:c r="M540" s="68" t="n">
        <x:v>0</x:v>
      </x:c>
      <x:c r="N540" s="69" t="str">
        <x:v>Available</x:v>
      </x:c>
      <x:c r="O540" s="62" t="str">
        <x:v>Camp/summer-depth watch entry; no reliable 2026-27 fantasy projection. Verify final NBA contract, roster status and role before draft use.</x:v>
      </x:c>
      <x:c r="P540" s="60"/>
      <x:c r="Q540" s="60"/>
      <x:c r="R540" s="60"/>
      <x:c r="S540" s="60" t="n">
        <x:v>0</x:v>
      </x:c>
      <x:c r="T540" s="72" t="str">
        <x:v>https://github.com/A-V29/NBA.Rosters/blob/main/2026.Summer.League.json</x:v>
      </x:c>
      <x:c r="U540" s="87" t="str">
        <x:v>WATCH</x:v>
      </x:c>
      <x:c r="V540" s="87" t="str">
        <x:v>LOW</x:v>
      </x:c>
      <x:c r="W540" s="87" t="str">
        <x:v>NONE</x:v>
      </x:c>
      <x:c r="X540" s="87" t="str">
        <x:v>CAMP/SUMMER</x:v>
      </x:c>
      <x:c r="Y540" s="87" t="str">
        <x:v>2026-09-28 master / roster context 2026-09-03+</x:v>
      </x:c>
      <x:c r="Z540" s="72" t="str">
        <x:v>https://github.com/A-V29/NBA.Rosters/blob/main/2026.Summer.League.json</x:v>
      </x:c>
      <x:c r="AA540" s="72" t="str">
        <x:v>https://github.com/ballacademy/NBA-head-to-head-/blob/5b1decfc31ffb645469c7ffbd01aaca4b18181bd/data/nba-stats/nba-player-stats-202526-regular-season-per-game.csv</x:v>
      </x:c>
    </x:row>
    <x:row r="541" ht="21" customHeight="1">
      <x:c r="A541" s="64" t="n">
        <x:v>536</x:v>
      </x:c>
      <x:c r="B541" s="59" t="str">
        <x:v>Jack Clark</x:v>
      </x:c>
      <x:c r="C541" s="65" t="str">
        <x:v>GSW</x:v>
      </x:c>
      <x:c r="D541" s="65" t="str">
        <x:v>PF</x:v>
      </x:c>
      <x:c r="E541" s="65" t="str">
        <x:v>F</x:v>
      </x:c>
      <x:c r="F541" s="66"/>
      <x:c r="G541" s="67"/>
      <x:c r="H541" s="67" t="n">
        <x:v>0</x:v>
      </x:c>
      <x:c r="I541" s="67" t="n">
        <x:v>3.5</x:v>
      </x:c>
      <x:c r="J541" s="67" t="n">
        <x:v>0</x:v>
      </x:c>
      <x:c r="K541" s="67" t="str">
        <x:v>WATCH</x:v>
      </x:c>
      <x:c r="L541" s="67" t="n">
        <x:v>0</x:v>
      </x:c>
      <x:c r="M541" s="68" t="n">
        <x:v>0</x:v>
      </x:c>
      <x:c r="N541" s="69" t="str">
        <x:v>Available</x:v>
      </x:c>
      <x:c r="O541" s="62" t="str">
        <x:v>Camp/summer-depth watch entry; no reliable 2026-27 fantasy projection. Verify final NBA contract, roster status and role before draft use.</x:v>
      </x:c>
      <x:c r="P541" s="60"/>
      <x:c r="Q541" s="60"/>
      <x:c r="R541" s="60"/>
      <x:c r="S541" s="60" t="n">
        <x:v>0</x:v>
      </x:c>
      <x:c r="T541" s="72" t="str">
        <x:v>https://github.com/A-V29/NBA.Rosters/blob/main/2026.Summer.League.json</x:v>
      </x:c>
      <x:c r="U541" s="87" t="str">
        <x:v>WATCH</x:v>
      </x:c>
      <x:c r="V541" s="87" t="str">
        <x:v>LOW</x:v>
      </x:c>
      <x:c r="W541" s="87" t="str">
        <x:v>NONE</x:v>
      </x:c>
      <x:c r="X541" s="87" t="str">
        <x:v>CAMP/SUMMER</x:v>
      </x:c>
      <x:c r="Y541" s="87" t="str">
        <x:v>2026-09-28 master / roster context 2026-09-03+</x:v>
      </x:c>
      <x:c r="Z541" s="72" t="str">
        <x:v>https://github.com/A-V29/NBA.Rosters/blob/main/2026.Summer.League.json</x:v>
      </x:c>
      <x:c r="AA541" s="72" t="str">
        <x:v>https://github.com/ballacademy/NBA-head-to-head-/blob/5b1decfc31ffb645469c7ffbd01aaca4b18181bd/data/nba-stats/nba-player-stats-202526-regular-season-per-game.csv</x:v>
      </x:c>
    </x:row>
    <x:row r="542" ht="21" customHeight="1">
      <x:c r="A542" s="64" t="n">
        <x:v>537</x:v>
      </x:c>
      <x:c r="B542" s="59" t="str">
        <x:v>Jack Kayil</x:v>
      </x:c>
      <x:c r="C542" s="65" t="str">
        <x:v>NYK</x:v>
      </x:c>
      <x:c r="D542" s="65" t="str">
        <x:v>PG</x:v>
      </x:c>
      <x:c r="E542" s="65" t="str">
        <x:v>G</x:v>
      </x:c>
      <x:c r="F542" s="66"/>
      <x:c r="G542" s="67"/>
      <x:c r="H542" s="67" t="n">
        <x:v>0</x:v>
      </x:c>
      <x:c r="I542" s="67" t="n">
        <x:v>3.5</x:v>
      </x:c>
      <x:c r="J542" s="67" t="n">
        <x:v>0</x:v>
      </x:c>
      <x:c r="K542" s="67" t="str">
        <x:v>WATCH</x:v>
      </x:c>
      <x:c r="L542" s="67" t="n">
        <x:v>0</x:v>
      </x:c>
      <x:c r="M542" s="68" t="n">
        <x:v>0</x:v>
      </x:c>
      <x:c r="N542" s="69" t="str">
        <x:v>Available</x:v>
      </x:c>
      <x:c r="O542" s="62" t="str">
        <x:v>Camp/summer-depth watch entry; no reliable 2026-27 fantasy projection. Verify final NBA contract, roster status and role before draft use.</x:v>
      </x:c>
      <x:c r="P542" s="60"/>
      <x:c r="Q542" s="60"/>
      <x:c r="R542" s="60"/>
      <x:c r="S542" s="60" t="n">
        <x:v>0</x:v>
      </x:c>
      <x:c r="T542" s="72" t="str">
        <x:v>https://github.com/A-V29/NBA.Rosters/blob/main/2026.Summer.League.json</x:v>
      </x:c>
      <x:c r="U542" s="87" t="str">
        <x:v>WATCH</x:v>
      </x:c>
      <x:c r="V542" s="87" t="str">
        <x:v>LOW</x:v>
      </x:c>
      <x:c r="W542" s="87" t="str">
        <x:v>NONE</x:v>
      </x:c>
      <x:c r="X542" s="87" t="str">
        <x:v>CAMP/SUMMER</x:v>
      </x:c>
      <x:c r="Y542" s="87" t="str">
        <x:v>2026-09-28 master / roster context 2026-09-03+</x:v>
      </x:c>
      <x:c r="Z542" s="72" t="str">
        <x:v>https://github.com/A-V29/NBA.Rosters/blob/main/2026.Summer.League.json</x:v>
      </x:c>
      <x:c r="AA542" s="72" t="str">
        <x:v>https://github.com/ballacademy/NBA-head-to-head-/blob/5b1decfc31ffb645469c7ffbd01aaca4b18181bd/data/nba-stats/nba-player-stats-202526-regular-season-per-game.csv</x:v>
      </x:c>
    </x:row>
    <x:row r="543" ht="21" customHeight="1">
      <x:c r="A543" s="64" t="n">
        <x:v>538</x:v>
      </x:c>
      <x:c r="B543" s="59" t="str">
        <x:v>Jacksen Moni</x:v>
      </x:c>
      <x:c r="C543" s="65" t="str">
        <x:v>GSW</x:v>
      </x:c>
      <x:c r="D543" s="65" t="str">
        <x:v>C</x:v>
      </x:c>
      <x:c r="E543" s="65" t="str">
        <x:v>FC</x:v>
      </x:c>
      <x:c r="F543" s="66"/>
      <x:c r="G543" s="67"/>
      <x:c r="H543" s="67" t="n">
        <x:v>0</x:v>
      </x:c>
      <x:c r="I543" s="67" t="n">
        <x:v>3.5</x:v>
      </x:c>
      <x:c r="J543" s="67" t="n">
        <x:v>0</x:v>
      </x:c>
      <x:c r="K543" s="67" t="str">
        <x:v>WATCH</x:v>
      </x:c>
      <x:c r="L543" s="67" t="n">
        <x:v>0</x:v>
      </x:c>
      <x:c r="M543" s="68" t="n">
        <x:v>0</x:v>
      </x:c>
      <x:c r="N543" s="69" t="str">
        <x:v>Available</x:v>
      </x:c>
      <x:c r="O543" s="62" t="str">
        <x:v>Camp/summer-depth watch entry; no reliable 2026-27 fantasy projection. Verify final NBA contract, roster status and role before draft use.</x:v>
      </x:c>
      <x:c r="P543" s="60"/>
      <x:c r="Q543" s="60"/>
      <x:c r="R543" s="60"/>
      <x:c r="S543" s="60" t="n">
        <x:v>0</x:v>
      </x:c>
      <x:c r="T543" s="72" t="str">
        <x:v>https://github.com/A-V29/NBA.Rosters/blob/main/2026.Summer.League.json</x:v>
      </x:c>
      <x:c r="U543" s="87" t="str">
        <x:v>WATCH</x:v>
      </x:c>
      <x:c r="V543" s="87" t="str">
        <x:v>LOW</x:v>
      </x:c>
      <x:c r="W543" s="87" t="str">
        <x:v>NONE</x:v>
      </x:c>
      <x:c r="X543" s="87" t="str">
        <x:v>CAMP/SUMMER</x:v>
      </x:c>
      <x:c r="Y543" s="87" t="str">
        <x:v>2026-09-28 master / roster context 2026-09-03+</x:v>
      </x:c>
      <x:c r="Z543" s="72" t="str">
        <x:v>https://github.com/A-V29/NBA.Rosters/blob/main/2026.Summer.League.json</x:v>
      </x:c>
      <x:c r="AA543" s="72" t="str">
        <x:v>https://github.com/ballacademy/NBA-head-to-head-/blob/5b1decfc31ffb645469c7ffbd01aaca4b18181bd/data/nba-stats/nba-player-stats-202526-regular-season-per-game.csv</x:v>
      </x:c>
    </x:row>
    <x:row r="544" ht="21" customHeight="1">
      <x:c r="A544" s="64" t="n">
        <x:v>539</x:v>
      </x:c>
      <x:c r="B544" s="59" t="str">
        <x:v>Jaden Akins</x:v>
      </x:c>
      <x:c r="C544" s="65" t="str">
        <x:v>NYK</x:v>
      </x:c>
      <x:c r="D544" s="65" t="str">
        <x:v>PG</x:v>
      </x:c>
      <x:c r="E544" s="65" t="str">
        <x:v>G</x:v>
      </x:c>
      <x:c r="F544" s="66"/>
      <x:c r="G544" s="67"/>
      <x:c r="H544" s="67" t="n">
        <x:v>0</x:v>
      </x:c>
      <x:c r="I544" s="67" t="n">
        <x:v>3.5</x:v>
      </x:c>
      <x:c r="J544" s="67" t="n">
        <x:v>0</x:v>
      </x:c>
      <x:c r="K544" s="67" t="str">
        <x:v>WATCH</x:v>
      </x:c>
      <x:c r="L544" s="67" t="n">
        <x:v>0</x:v>
      </x:c>
      <x:c r="M544" s="68" t="n">
        <x:v>0</x:v>
      </x:c>
      <x:c r="N544" s="69" t="str">
        <x:v>Available</x:v>
      </x:c>
      <x:c r="O544" s="62" t="str">
        <x:v>Camp/summer-depth watch entry; no reliable 2026-27 fantasy projection. Verify final NBA contract, roster status and role before draft use.</x:v>
      </x:c>
      <x:c r="P544" s="60"/>
      <x:c r="Q544" s="60"/>
      <x:c r="R544" s="60"/>
      <x:c r="S544" s="60" t="n">
        <x:v>0</x:v>
      </x:c>
      <x:c r="T544" s="72" t="str">
        <x:v>https://github.com/A-V29/NBA.Rosters/blob/main/2026.Summer.League.json</x:v>
      </x:c>
      <x:c r="U544" s="87" t="str">
        <x:v>WATCH</x:v>
      </x:c>
      <x:c r="V544" s="87" t="str">
        <x:v>LOW</x:v>
      </x:c>
      <x:c r="W544" s="87" t="str">
        <x:v>NONE</x:v>
      </x:c>
      <x:c r="X544" s="87" t="str">
        <x:v>CAMP/SUMMER</x:v>
      </x:c>
      <x:c r="Y544" s="87" t="str">
        <x:v>2026-09-28 master / roster context 2026-09-03+</x:v>
      </x:c>
      <x:c r="Z544" s="72" t="str">
        <x:v>https://github.com/A-V29/NBA.Rosters/blob/main/2026.Summer.League.json</x:v>
      </x:c>
      <x:c r="AA544" s="72" t="str">
        <x:v>https://github.com/ballacademy/NBA-head-to-head-/blob/5b1decfc31ffb645469c7ffbd01aaca4b18181bd/data/nba-stats/nba-player-stats-202526-regular-season-per-game.csv</x:v>
      </x:c>
    </x:row>
    <x:row r="545" ht="21" customHeight="1">
      <x:c r="A545" s="64" t="n">
        <x:v>540</x:v>
      </x:c>
      <x:c r="B545" s="59" t="str">
        <x:v>Jaden Bradley</x:v>
      </x:c>
      <x:c r="C545" s="65" t="str">
        <x:v>TOR</x:v>
      </x:c>
      <x:c r="D545" s="65" t="str">
        <x:v>PG</x:v>
      </x:c>
      <x:c r="E545" s="65" t="str">
        <x:v>PG</x:v>
      </x:c>
      <x:c r="F545" s="66"/>
      <x:c r="G545" s="67"/>
      <x:c r="H545" s="67" t="n">
        <x:v>0</x:v>
      </x:c>
      <x:c r="I545" s="67" t="n">
        <x:v>3.5</x:v>
      </x:c>
      <x:c r="J545" s="67" t="n">
        <x:v>0</x:v>
      </x:c>
      <x:c r="K545" s="67" t="str">
        <x:v>WATCH</x:v>
      </x:c>
      <x:c r="L545" s="67" t="n">
        <x:v>0</x:v>
      </x:c>
      <x:c r="M545" s="68" t="n">
        <x:v>0</x:v>
      </x:c>
      <x:c r="N545" s="69" t="str">
        <x:v>Available</x:v>
      </x:c>
      <x:c r="O545" s="62" t="str">
        <x:v>Camp/summer-depth watch entry; no reliable 2026-27 fantasy projection. Verify final NBA contract, roster status and role before draft use.</x:v>
      </x:c>
      <x:c r="P545" s="60"/>
      <x:c r="Q545" s="60"/>
      <x:c r="R545" s="60"/>
      <x:c r="S545" s="60" t="n">
        <x:v>0</x:v>
      </x:c>
      <x:c r="T545" s="72" t="str">
        <x:v>https://github.com/A-V29/NBA.Rosters/blob/main/2026.Summer.League.json</x:v>
      </x:c>
      <x:c r="U545" s="87" t="str">
        <x:v>WATCH</x:v>
      </x:c>
      <x:c r="V545" s="87" t="str">
        <x:v>LOW</x:v>
      </x:c>
      <x:c r="W545" s="87" t="str">
        <x:v>NONE</x:v>
      </x:c>
      <x:c r="X545" s="87" t="str">
        <x:v>CAMP/SUMMER</x:v>
      </x:c>
      <x:c r="Y545" s="87" t="str">
        <x:v>2026-09-28 master / roster context 2026-09-03+</x:v>
      </x:c>
      <x:c r="Z545" s="72" t="str">
        <x:v>https://github.com/A-V29/NBA.Rosters/blob/main/2026.Summer.League.json</x:v>
      </x:c>
      <x:c r="AA545" s="72" t="str">
        <x:v>https://github.com/ballacademy/NBA-head-to-head-/blob/5b1decfc31ffb645469c7ffbd01aaca4b18181bd/data/nba-stats/nba-player-stats-202526-regular-season-per-game.csv</x:v>
      </x:c>
    </x:row>
    <x:row r="546" ht="21" customHeight="1">
      <x:c r="A546" s="64" t="n">
        <x:v>541</x:v>
      </x:c>
      <x:c r="B546" s="59" t="str">
        <x:v>Jaden Henley</x:v>
      </x:c>
      <x:c r="C546" s="65" t="str">
        <x:v>DET</x:v>
      </x:c>
      <x:c r="D546" s="65" t="str">
        <x:v>SF</x:v>
      </x:c>
      <x:c r="E546" s="65" t="str">
        <x:v>GF</x:v>
      </x:c>
      <x:c r="F546" s="66"/>
      <x:c r="G546" s="67"/>
      <x:c r="H546" s="67" t="n">
        <x:v>0</x:v>
      </x:c>
      <x:c r="I546" s="67" t="n">
        <x:v>3.5</x:v>
      </x:c>
      <x:c r="J546" s="67" t="n">
        <x:v>0</x:v>
      </x:c>
      <x:c r="K546" s="67" t="str">
        <x:v>WATCH</x:v>
      </x:c>
      <x:c r="L546" s="67" t="n">
        <x:v>0</x:v>
      </x:c>
      <x:c r="M546" s="68" t="n">
        <x:v>0</x:v>
      </x:c>
      <x:c r="N546" s="69" t="str">
        <x:v>Available</x:v>
      </x:c>
      <x:c r="O546" s="62" t="str">
        <x:v>Camp/summer-depth watch entry; no reliable 2026-27 fantasy projection. Verify final NBA contract, roster status and role before draft use.</x:v>
      </x:c>
      <x:c r="P546" s="60"/>
      <x:c r="Q546" s="60"/>
      <x:c r="R546" s="60"/>
      <x:c r="S546" s="60" t="n">
        <x:v>0</x:v>
      </x:c>
      <x:c r="T546" s="72" t="str">
        <x:v>https://github.com/A-V29/NBA.Rosters/blob/main/2026.Summer.League.json</x:v>
      </x:c>
      <x:c r="U546" s="87" t="str">
        <x:v>WATCH</x:v>
      </x:c>
      <x:c r="V546" s="87" t="str">
        <x:v>LOW</x:v>
      </x:c>
      <x:c r="W546" s="87" t="str">
        <x:v>NONE</x:v>
      </x:c>
      <x:c r="X546" s="87" t="str">
        <x:v>CAMP/SUMMER</x:v>
      </x:c>
      <x:c r="Y546" s="87" t="str">
        <x:v>2026-09-28 master / roster context 2026-09-03+</x:v>
      </x:c>
      <x:c r="Z546" s="72" t="str">
        <x:v>https://github.com/A-V29/NBA.Rosters/blob/main/2026.Summer.League.json</x:v>
      </x:c>
      <x:c r="AA546" s="72" t="str">
        <x:v>https://github.com/ballacademy/NBA-head-to-head-/blob/5b1decfc31ffb645469c7ffbd01aaca4b18181bd/data/nba-stats/nba-player-stats-202526-regular-season-per-game.csv</x:v>
      </x:c>
    </x:row>
    <x:row r="547" ht="21" customHeight="1">
      <x:c r="A547" s="64" t="n">
        <x:v>542</x:v>
      </x:c>
      <x:c r="B547" s="59" t="str">
        <x:v>Jaden Springer</x:v>
      </x:c>
      <x:c r="C547" s="65" t="str">
        <x:v>DAL</x:v>
      </x:c>
      <x:c r="D547" s="65" t="str">
        <x:v>SG</x:v>
      </x:c>
      <x:c r="E547" s="65" t="str">
        <x:v>SG</x:v>
      </x:c>
      <x:c r="F547" s="66"/>
      <x:c r="G547" s="67"/>
      <x:c r="H547" s="67" t="n">
        <x:v>0</x:v>
      </x:c>
      <x:c r="I547" s="67" t="n">
        <x:v>3.5</x:v>
      </x:c>
      <x:c r="J547" s="67" t="n">
        <x:v>0</x:v>
      </x:c>
      <x:c r="K547" s="67" t="str">
        <x:v>WATCH</x:v>
      </x:c>
      <x:c r="L547" s="67" t="n">
        <x:v>0</x:v>
      </x:c>
      <x:c r="M547" s="68" t="n">
        <x:v>0</x:v>
      </x:c>
      <x:c r="N547" s="69" t="str">
        <x:v>Available</x:v>
      </x:c>
      <x:c r="O547" s="62" t="str">
        <x:v>Camp/summer-depth watch entry; no reliable 2026-27 fantasy projection. Verify final NBA contract, roster status and role before draft use.</x:v>
      </x:c>
      <x:c r="P547" s="60"/>
      <x:c r="Q547" s="60"/>
      <x:c r="R547" s="60"/>
      <x:c r="S547" s="60" t="n">
        <x:v>0</x:v>
      </x:c>
      <x:c r="T547" s="72" t="str">
        <x:v>https://github.com/A-V29/NBA.Rosters/blob/main/2026.Summer.League.json</x:v>
      </x:c>
      <x:c r="U547" s="87" t="str">
        <x:v>WATCH</x:v>
      </x:c>
      <x:c r="V547" s="87" t="str">
        <x:v>LOW</x:v>
      </x:c>
      <x:c r="W547" s="87" t="str">
        <x:v>NONE</x:v>
      </x:c>
      <x:c r="X547" s="87" t="str">
        <x:v>CAMP/SUMMER</x:v>
      </x:c>
      <x:c r="Y547" s="87" t="str">
        <x:v>2026-09-28 master / roster context 2026-09-03+</x:v>
      </x:c>
      <x:c r="Z547" s="72" t="str">
        <x:v>https://github.com/A-V29/NBA.Rosters/blob/main/2026.Summer.League.json</x:v>
      </x:c>
      <x:c r="AA547" s="72" t="str">
        <x:v>https://github.com/ballacademy/NBA-head-to-head-/blob/5b1decfc31ffb645469c7ffbd01aaca4b18181bd/data/nba-stats/nba-player-stats-202526-regular-season-per-game.csv</x:v>
      </x:c>
    </x:row>
    <x:row r="548" ht="21" customHeight="1">
      <x:c r="A548" s="64" t="n">
        <x:v>543</x:v>
      </x:c>
      <x:c r="B548" s="59" t="str">
        <x:v>Jahmi'us Ramsey</x:v>
      </x:c>
      <x:c r="C548" s="65" t="str">
        <x:v>DEN</x:v>
      </x:c>
      <x:c r="D548" s="65" t="str">
        <x:v>PG</x:v>
      </x:c>
      <x:c r="E548" s="65" t="str">
        <x:v>G</x:v>
      </x:c>
      <x:c r="F548" s="66"/>
      <x:c r="G548" s="67"/>
      <x:c r="H548" s="67" t="n">
        <x:v>0</x:v>
      </x:c>
      <x:c r="I548" s="67" t="n">
        <x:v>3.5</x:v>
      </x:c>
      <x:c r="J548" s="67" t="n">
        <x:v>0</x:v>
      </x:c>
      <x:c r="K548" s="67" t="str">
        <x:v>WATCH</x:v>
      </x:c>
      <x:c r="L548" s="67" t="n">
        <x:v>0</x:v>
      </x:c>
      <x:c r="M548" s="68" t="n">
        <x:v>0</x:v>
      </x:c>
      <x:c r="N548" s="69" t="str">
        <x:v>Available</x:v>
      </x:c>
      <x:c r="O548" s="62" t="str">
        <x:v>Camp/summer-depth watch entry; no reliable 2026-27 fantasy projection. Verify final NBA contract, roster status and role before draft use.</x:v>
      </x:c>
      <x:c r="P548" s="60"/>
      <x:c r="Q548" s="60"/>
      <x:c r="R548" s="60"/>
      <x:c r="S548" s="60" t="n">
        <x:v>0</x:v>
      </x:c>
      <x:c r="T548" s="72" t="str">
        <x:v>https://github.com/A-V29/NBA.Rosters/blob/main/2026.Summer.League.json</x:v>
      </x:c>
      <x:c r="U548" s="87" t="str">
        <x:v>WATCH</x:v>
      </x:c>
      <x:c r="V548" s="87" t="str">
        <x:v>LOW</x:v>
      </x:c>
      <x:c r="W548" s="87" t="str">
        <x:v>NONE</x:v>
      </x:c>
      <x:c r="X548" s="87" t="str">
        <x:v>CAMP/SUMMER</x:v>
      </x:c>
      <x:c r="Y548" s="87" t="str">
        <x:v>2026-09-28 master / roster context 2026-09-03+</x:v>
      </x:c>
      <x:c r="Z548" s="72" t="str">
        <x:v>https://github.com/A-V29/NBA.Rosters/blob/main/2026.Summer.League.json</x:v>
      </x:c>
      <x:c r="AA548" s="72" t="str">
        <x:v>https://github.com/ballacademy/NBA-head-to-head-/blob/5b1decfc31ffb645469c7ffbd01aaca4b18181bd/data/nba-stats/nba-player-stats-202526-regular-season-per-game.csv</x:v>
      </x:c>
    </x:row>
    <x:row r="549" ht="21" customHeight="1">
      <x:c r="A549" s="64" t="n">
        <x:v>544</x:v>
      </x:c>
      <x:c r="B549" s="59" t="str">
        <x:v>Jake Stephens</x:v>
      </x:c>
      <x:c r="C549" s="65" t="str">
        <x:v>PHX</x:v>
      </x:c>
      <x:c r="D549" s="65" t="str">
        <x:v>C</x:v>
      </x:c>
      <x:c r="E549" s="65" t="str">
        <x:v>C</x:v>
      </x:c>
      <x:c r="F549" s="66"/>
      <x:c r="G549" s="67"/>
      <x:c r="H549" s="67" t="n">
        <x:v>0</x:v>
      </x:c>
      <x:c r="I549" s="67" t="n">
        <x:v>3.5</x:v>
      </x:c>
      <x:c r="J549" s="67" t="n">
        <x:v>0</x:v>
      </x:c>
      <x:c r="K549" s="67" t="str">
        <x:v>WATCH</x:v>
      </x:c>
      <x:c r="L549" s="67" t="n">
        <x:v>0</x:v>
      </x:c>
      <x:c r="M549" s="68" t="n">
        <x:v>0</x:v>
      </x:c>
      <x:c r="N549" s="69" t="str">
        <x:v>Available</x:v>
      </x:c>
      <x:c r="O549" s="62" t="str">
        <x:v>Camp/summer-depth watch entry; no reliable 2026-27 fantasy projection. Verify final NBA contract, roster status and role before draft use.</x:v>
      </x:c>
      <x:c r="P549" s="60"/>
      <x:c r="Q549" s="60"/>
      <x:c r="R549" s="60"/>
      <x:c r="S549" s="60" t="n">
        <x:v>0</x:v>
      </x:c>
      <x:c r="T549" s="72" t="str">
        <x:v>https://github.com/A-V29/NBA.Rosters/blob/main/2026.Summer.League.json</x:v>
      </x:c>
      <x:c r="U549" s="87" t="str">
        <x:v>WATCH</x:v>
      </x:c>
      <x:c r="V549" s="87" t="str">
        <x:v>LOW</x:v>
      </x:c>
      <x:c r="W549" s="87" t="str">
        <x:v>NONE</x:v>
      </x:c>
      <x:c r="X549" s="87" t="str">
        <x:v>CAMP/SUMMER</x:v>
      </x:c>
      <x:c r="Y549" s="87" t="str">
        <x:v>2026-09-28 master / roster context 2026-09-03+</x:v>
      </x:c>
      <x:c r="Z549" s="72" t="str">
        <x:v>https://github.com/A-V29/NBA.Rosters/blob/main/2026.Summer.League.json</x:v>
      </x:c>
      <x:c r="AA549" s="72" t="str">
        <x:v>https://github.com/ballacademy/NBA-head-to-head-/blob/5b1decfc31ffb645469c7ffbd01aaca4b18181bd/data/nba-stats/nba-player-stats-202526-regular-season-per-game.csv</x:v>
      </x:c>
    </x:row>
    <x:row r="550" ht="21" customHeight="1">
      <x:c r="A550" s="64" t="n">
        <x:v>545</x:v>
      </x:c>
      <x:c r="B550" s="59" t="str">
        <x:v>Jalen Bridges</x:v>
      </x:c>
      <x:c r="C550" s="65" t="str">
        <x:v>POR</x:v>
      </x:c>
      <x:c r="D550" s="65" t="str">
        <x:v>SF</x:v>
      </x:c>
      <x:c r="E550" s="65" t="str">
        <x:v>SF</x:v>
      </x:c>
      <x:c r="F550" s="66"/>
      <x:c r="G550" s="67"/>
      <x:c r="H550" s="67" t="n">
        <x:v>0</x:v>
      </x:c>
      <x:c r="I550" s="67" t="n">
        <x:v>3.5</x:v>
      </x:c>
      <x:c r="J550" s="67" t="n">
        <x:v>0</x:v>
      </x:c>
      <x:c r="K550" s="67" t="str">
        <x:v>WATCH</x:v>
      </x:c>
      <x:c r="L550" s="67" t="n">
        <x:v>0</x:v>
      </x:c>
      <x:c r="M550" s="68" t="n">
        <x:v>0</x:v>
      </x:c>
      <x:c r="N550" s="69" t="str">
        <x:v>Available</x:v>
      </x:c>
      <x:c r="O550" s="62" t="str">
        <x:v>Camp/summer-depth watch entry; no reliable 2026-27 fantasy projection. Verify final NBA contract, roster status and role before draft use.</x:v>
      </x:c>
      <x:c r="P550" s="60"/>
      <x:c r="Q550" s="60"/>
      <x:c r="R550" s="60"/>
      <x:c r="S550" s="60" t="n">
        <x:v>0</x:v>
      </x:c>
      <x:c r="T550" s="72" t="str">
        <x:v>https://github.com/A-V29/NBA.Rosters/blob/main/2026.Summer.League.json</x:v>
      </x:c>
      <x:c r="U550" s="87" t="str">
        <x:v>WATCH</x:v>
      </x:c>
      <x:c r="V550" s="87" t="str">
        <x:v>LOW</x:v>
      </x:c>
      <x:c r="W550" s="87" t="str">
        <x:v>NONE</x:v>
      </x:c>
      <x:c r="X550" s="87" t="str">
        <x:v>CAMP/SUMMER</x:v>
      </x:c>
      <x:c r="Y550" s="87" t="str">
        <x:v>2026-09-28 master / roster context 2026-09-03+</x:v>
      </x:c>
      <x:c r="Z550" s="72" t="str">
        <x:v>https://github.com/A-V29/NBA.Rosters/blob/main/2026.Summer.League.json</x:v>
      </x:c>
      <x:c r="AA550" s="72" t="str">
        <x:v>https://github.com/ballacademy/NBA-head-to-head-/blob/5b1decfc31ffb645469c7ffbd01aaca4b18181bd/data/nba-stats/nba-player-stats-202526-regular-season-per-game.csv</x:v>
      </x:c>
    </x:row>
    <x:row r="551" ht="21" customHeight="1">
      <x:c r="A551" s="64" t="n">
        <x:v>546</x:v>
      </x:c>
      <x:c r="B551" s="59" t="str">
        <x:v>Jalen Celestine</x:v>
      </x:c>
      <x:c r="C551" s="65" t="str">
        <x:v>TOR</x:v>
      </x:c>
      <x:c r="D551" s="65" t="str">
        <x:v>SF</x:v>
      </x:c>
      <x:c r="E551" s="65" t="str">
        <x:v>GF</x:v>
      </x:c>
      <x:c r="F551" s="66"/>
      <x:c r="G551" s="67"/>
      <x:c r="H551" s="67" t="n">
        <x:v>0</x:v>
      </x:c>
      <x:c r="I551" s="67" t="n">
        <x:v>3.5</x:v>
      </x:c>
      <x:c r="J551" s="67" t="n">
        <x:v>0</x:v>
      </x:c>
      <x:c r="K551" s="67" t="str">
        <x:v>WATCH</x:v>
      </x:c>
      <x:c r="L551" s="67" t="n">
        <x:v>0</x:v>
      </x:c>
      <x:c r="M551" s="68" t="n">
        <x:v>0</x:v>
      </x:c>
      <x:c r="N551" s="69" t="str">
        <x:v>Available</x:v>
      </x:c>
      <x:c r="O551" s="62" t="str">
        <x:v>Camp/summer-depth watch entry; no reliable 2026-27 fantasy projection. Verify final NBA contract, roster status and role before draft use.</x:v>
      </x:c>
      <x:c r="P551" s="60"/>
      <x:c r="Q551" s="60"/>
      <x:c r="R551" s="60"/>
      <x:c r="S551" s="60" t="n">
        <x:v>0</x:v>
      </x:c>
      <x:c r="T551" s="72" t="str">
        <x:v>https://github.com/A-V29/NBA.Rosters/blob/main/2026.Summer.League.json</x:v>
      </x:c>
      <x:c r="U551" s="87" t="str">
        <x:v>WATCH</x:v>
      </x:c>
      <x:c r="V551" s="87" t="str">
        <x:v>LOW</x:v>
      </x:c>
      <x:c r="W551" s="87" t="str">
        <x:v>NONE</x:v>
      </x:c>
      <x:c r="X551" s="87" t="str">
        <x:v>CAMP/SUMMER</x:v>
      </x:c>
      <x:c r="Y551" s="87" t="str">
        <x:v>2026-09-28 master / roster context 2026-09-03+</x:v>
      </x:c>
      <x:c r="Z551" s="72" t="str">
        <x:v>https://github.com/A-V29/NBA.Rosters/blob/main/2026.Summer.League.json</x:v>
      </x:c>
      <x:c r="AA551" s="72" t="str">
        <x:v>https://github.com/ballacademy/NBA-head-to-head-/blob/5b1decfc31ffb645469c7ffbd01aaca4b18181bd/data/nba-stats/nba-player-stats-202526-regular-season-per-game.csv</x:v>
      </x:c>
    </x:row>
    <x:row r="552" ht="21" customHeight="1">
      <x:c r="A552" s="64" t="n">
        <x:v>547</x:v>
      </x:c>
      <x:c r="B552" s="59" t="str">
        <x:v>Jalen Warley</x:v>
      </x:c>
      <x:c r="C552" s="65" t="str">
        <x:v>IND</x:v>
      </x:c>
      <x:c r="D552" s="65" t="str">
        <x:v>PG</x:v>
      </x:c>
      <x:c r="E552" s="65" t="str">
        <x:v>G</x:v>
      </x:c>
      <x:c r="F552" s="66"/>
      <x:c r="G552" s="67"/>
      <x:c r="H552" s="67" t="n">
        <x:v>0</x:v>
      </x:c>
      <x:c r="I552" s="67" t="n">
        <x:v>3.5</x:v>
      </x:c>
      <x:c r="J552" s="67" t="n">
        <x:v>0</x:v>
      </x:c>
      <x:c r="K552" s="67" t="str">
        <x:v>WATCH</x:v>
      </x:c>
      <x:c r="L552" s="67" t="n">
        <x:v>0</x:v>
      </x:c>
      <x:c r="M552" s="68" t="n">
        <x:v>0</x:v>
      </x:c>
      <x:c r="N552" s="69" t="str">
        <x:v>Available</x:v>
      </x:c>
      <x:c r="O552" s="62" t="str">
        <x:v>Camp/summer-depth watch entry; no reliable 2026-27 fantasy projection. Verify final NBA contract, roster status and role before draft use.</x:v>
      </x:c>
      <x:c r="P552" s="60"/>
      <x:c r="Q552" s="60"/>
      <x:c r="R552" s="60"/>
      <x:c r="S552" s="60" t="n">
        <x:v>0</x:v>
      </x:c>
      <x:c r="T552" s="72" t="str">
        <x:v>https://github.com/A-V29/NBA.Rosters/blob/main/2026.Summer.League.json</x:v>
      </x:c>
      <x:c r="U552" s="87" t="str">
        <x:v>WATCH</x:v>
      </x:c>
      <x:c r="V552" s="87" t="str">
        <x:v>LOW</x:v>
      </x:c>
      <x:c r="W552" s="87" t="str">
        <x:v>NONE</x:v>
      </x:c>
      <x:c r="X552" s="87" t="str">
        <x:v>CAMP/SUMMER</x:v>
      </x:c>
      <x:c r="Y552" s="87" t="str">
        <x:v>2026-09-28 master / roster context 2026-09-03+</x:v>
      </x:c>
      <x:c r="Z552" s="72" t="str">
        <x:v>https://github.com/A-V29/NBA.Rosters/blob/main/2026.Summer.League.json</x:v>
      </x:c>
      <x:c r="AA552" s="72" t="str">
        <x:v>https://github.com/ballacademy/NBA-head-to-head-/blob/5b1decfc31ffb645469c7ffbd01aaca4b18181bd/data/nba-stats/nba-player-stats-202526-regular-season-per-game.csv</x:v>
      </x:c>
    </x:row>
    <x:row r="553" ht="21" customHeight="1">
      <x:c r="A553" s="64" t="n">
        <x:v>548</x:v>
      </x:c>
      <x:c r="B553" s="59" t="str">
        <x:v>Jalen Washington</x:v>
      </x:c>
      <x:c r="C553" s="65" t="str">
        <x:v>CHI</x:v>
      </x:c>
      <x:c r="D553" s="65" t="str">
        <x:v>C</x:v>
      </x:c>
      <x:c r="E553" s="65" t="str">
        <x:v>C</x:v>
      </x:c>
      <x:c r="F553" s="66"/>
      <x:c r="G553" s="67"/>
      <x:c r="H553" s="67" t="n">
        <x:v>0</x:v>
      </x:c>
      <x:c r="I553" s="67" t="n">
        <x:v>3.5</x:v>
      </x:c>
      <x:c r="J553" s="67" t="n">
        <x:v>0</x:v>
      </x:c>
      <x:c r="K553" s="67" t="str">
        <x:v>WATCH</x:v>
      </x:c>
      <x:c r="L553" s="67" t="n">
        <x:v>0</x:v>
      </x:c>
      <x:c r="M553" s="68" t="n">
        <x:v>0</x:v>
      </x:c>
      <x:c r="N553" s="69" t="str">
        <x:v>Available</x:v>
      </x:c>
      <x:c r="O553" s="62" t="str">
        <x:v>Camp/summer-depth watch entry; no reliable 2026-27 fantasy projection. Verify final NBA contract, roster status and role before draft use.</x:v>
      </x:c>
      <x:c r="P553" s="60"/>
      <x:c r="Q553" s="60"/>
      <x:c r="R553" s="60"/>
      <x:c r="S553" s="60" t="n">
        <x:v>0</x:v>
      </x:c>
      <x:c r="T553" s="72" t="str">
        <x:v>https://github.com/A-V29/NBA.Rosters/blob/main/2026.Summer.League.json</x:v>
      </x:c>
      <x:c r="U553" s="87" t="str">
        <x:v>WATCH</x:v>
      </x:c>
      <x:c r="V553" s="87" t="str">
        <x:v>LOW</x:v>
      </x:c>
      <x:c r="W553" s="87" t="str">
        <x:v>NONE</x:v>
      </x:c>
      <x:c r="X553" s="87" t="str">
        <x:v>CAMP/SUMMER</x:v>
      </x:c>
      <x:c r="Y553" s="87" t="str">
        <x:v>2026-09-28 master / roster context 2026-09-03+</x:v>
      </x:c>
      <x:c r="Z553" s="72" t="str">
        <x:v>https://github.com/A-V29/NBA.Rosters/blob/main/2026.Summer.League.json</x:v>
      </x:c>
      <x:c r="AA553" s="72" t="str">
        <x:v>https://github.com/ballacademy/NBA-head-to-head-/blob/5b1decfc31ffb645469c7ffbd01aaca4b18181bd/data/nba-stats/nba-player-stats-202526-regular-season-per-game.csv</x:v>
      </x:c>
    </x:row>
    <x:row r="554" ht="21" customHeight="1">
      <x:c r="A554" s="64" t="n">
        <x:v>549</x:v>
      </x:c>
      <x:c r="B554" s="59" t="str">
        <x:v>Jalon Moore</x:v>
      </x:c>
      <x:c r="C554" s="65" t="str">
        <x:v>NOP</x:v>
      </x:c>
      <x:c r="D554" s="65" t="str">
        <x:v>PF</x:v>
      </x:c>
      <x:c r="E554" s="65" t="str">
        <x:v>F</x:v>
      </x:c>
      <x:c r="F554" s="66"/>
      <x:c r="G554" s="67"/>
      <x:c r="H554" s="67" t="n">
        <x:v>0</x:v>
      </x:c>
      <x:c r="I554" s="67" t="n">
        <x:v>3.5</x:v>
      </x:c>
      <x:c r="J554" s="67" t="n">
        <x:v>0</x:v>
      </x:c>
      <x:c r="K554" s="67" t="str">
        <x:v>WATCH</x:v>
      </x:c>
      <x:c r="L554" s="67" t="n">
        <x:v>0</x:v>
      </x:c>
      <x:c r="M554" s="68" t="n">
        <x:v>0</x:v>
      </x:c>
      <x:c r="N554" s="69" t="str">
        <x:v>Available</x:v>
      </x:c>
      <x:c r="O554" s="62" t="str">
        <x:v>Camp/summer-depth watch entry; no reliable 2026-27 fantasy projection. Verify final NBA contract, roster status and role before draft use.</x:v>
      </x:c>
      <x:c r="P554" s="60"/>
      <x:c r="Q554" s="60"/>
      <x:c r="R554" s="60"/>
      <x:c r="S554" s="60" t="n">
        <x:v>0</x:v>
      </x:c>
      <x:c r="T554" s="72" t="str">
        <x:v>https://github.com/A-V29/NBA.Rosters/blob/main/2026.Summer.League.json</x:v>
      </x:c>
      <x:c r="U554" s="87" t="str">
        <x:v>WATCH</x:v>
      </x:c>
      <x:c r="V554" s="87" t="str">
        <x:v>LOW</x:v>
      </x:c>
      <x:c r="W554" s="87" t="str">
        <x:v>NONE</x:v>
      </x:c>
      <x:c r="X554" s="87" t="str">
        <x:v>CAMP/SUMMER</x:v>
      </x:c>
      <x:c r="Y554" s="87" t="str">
        <x:v>2026-09-28 master / roster context 2026-09-03+</x:v>
      </x:c>
      <x:c r="Z554" s="72" t="str">
        <x:v>https://github.com/A-V29/NBA.Rosters/blob/main/2026.Summer.League.json</x:v>
      </x:c>
      <x:c r="AA554" s="72" t="str">
        <x:v>https://github.com/ballacademy/NBA-head-to-head-/blob/5b1decfc31ffb645469c7ffbd01aaca4b18181bd/data/nba-stats/nba-player-stats-202526-regular-season-per-game.csv</x:v>
      </x:c>
    </x:row>
    <x:row r="555" ht="21" customHeight="1">
      <x:c r="A555" s="64" t="n">
        <x:v>550</x:v>
      </x:c>
      <x:c r="B555" s="59" t="str">
        <x:v>Jamarion Sharp</x:v>
      </x:c>
      <x:c r="C555" s="65" t="str">
        <x:v>TOR</x:v>
      </x:c>
      <x:c r="D555" s="65" t="str">
        <x:v>C</x:v>
      </x:c>
      <x:c r="E555" s="65" t="str">
        <x:v>C</x:v>
      </x:c>
      <x:c r="F555" s="66"/>
      <x:c r="G555" s="67"/>
      <x:c r="H555" s="67" t="n">
        <x:v>0</x:v>
      </x:c>
      <x:c r="I555" s="67" t="n">
        <x:v>3.5</x:v>
      </x:c>
      <x:c r="J555" s="67" t="n">
        <x:v>0</x:v>
      </x:c>
      <x:c r="K555" s="67" t="str">
        <x:v>WATCH</x:v>
      </x:c>
      <x:c r="L555" s="67" t="n">
        <x:v>0</x:v>
      </x:c>
      <x:c r="M555" s="68" t="n">
        <x:v>0</x:v>
      </x:c>
      <x:c r="N555" s="69" t="str">
        <x:v>Available</x:v>
      </x:c>
      <x:c r="O555" s="62" t="str">
        <x:v>Camp/summer-depth watch entry; no reliable 2026-27 fantasy projection. Verify final NBA contract, roster status and role before draft use.</x:v>
      </x:c>
      <x:c r="P555" s="60"/>
      <x:c r="Q555" s="60"/>
      <x:c r="R555" s="60"/>
      <x:c r="S555" s="60" t="n">
        <x:v>0</x:v>
      </x:c>
      <x:c r="T555" s="72" t="str">
        <x:v>https://github.com/A-V29/NBA.Rosters/blob/main/2026.Summer.League.json</x:v>
      </x:c>
      <x:c r="U555" s="87" t="str">
        <x:v>WATCH</x:v>
      </x:c>
      <x:c r="V555" s="87" t="str">
        <x:v>LOW</x:v>
      </x:c>
      <x:c r="W555" s="87" t="str">
        <x:v>NONE</x:v>
      </x:c>
      <x:c r="X555" s="87" t="str">
        <x:v>CAMP/SUMMER</x:v>
      </x:c>
      <x:c r="Y555" s="87" t="str">
        <x:v>2026-09-28 master / roster context 2026-09-03+</x:v>
      </x:c>
      <x:c r="Z555" s="72" t="str">
        <x:v>https://github.com/A-V29/NBA.Rosters/blob/main/2026.Summer.League.json</x:v>
      </x:c>
      <x:c r="AA555" s="72" t="str">
        <x:v>https://github.com/ballacademy/NBA-head-to-head-/blob/5b1decfc31ffb645469c7ffbd01aaca4b18181bd/data/nba-stats/nba-player-stats-202526-regular-season-per-game.csv</x:v>
      </x:c>
    </x:row>
    <x:row r="556" ht="21" customHeight="1">
      <x:c r="A556" s="64" t="n">
        <x:v>551</x:v>
      </x:c>
      <x:c r="B556" s="59" t="str">
        <x:v>Javontae Campbell</x:v>
      </x:c>
      <x:c r="C556" s="65" t="str">
        <x:v>PHI</x:v>
      </x:c>
      <x:c r="D556" s="65" t="str">
        <x:v>PG</x:v>
      </x:c>
      <x:c r="E556" s="65" t="str">
        <x:v>G</x:v>
      </x:c>
      <x:c r="F556" s="66"/>
      <x:c r="G556" s="67"/>
      <x:c r="H556" s="67" t="n">
        <x:v>0</x:v>
      </x:c>
      <x:c r="I556" s="67" t="n">
        <x:v>3.5</x:v>
      </x:c>
      <x:c r="J556" s="67" t="n">
        <x:v>0</x:v>
      </x:c>
      <x:c r="K556" s="67" t="str">
        <x:v>WATCH</x:v>
      </x:c>
      <x:c r="L556" s="67" t="n">
        <x:v>0</x:v>
      </x:c>
      <x:c r="M556" s="68" t="n">
        <x:v>0</x:v>
      </x:c>
      <x:c r="N556" s="69" t="str">
        <x:v>Available</x:v>
      </x:c>
      <x:c r="O556" s="62" t="str">
        <x:v>Camp/summer-depth watch entry; no reliable 2026-27 fantasy projection. Verify final NBA contract, roster status and role before draft use.</x:v>
      </x:c>
      <x:c r="P556" s="60"/>
      <x:c r="Q556" s="60"/>
      <x:c r="R556" s="60"/>
      <x:c r="S556" s="60" t="n">
        <x:v>0</x:v>
      </x:c>
      <x:c r="T556" s="72" t="str">
        <x:v>https://github.com/A-V29/NBA.Rosters/blob/main/2026.Summer.League.json</x:v>
      </x:c>
      <x:c r="U556" s="87" t="str">
        <x:v>WATCH</x:v>
      </x:c>
      <x:c r="V556" s="87" t="str">
        <x:v>LOW</x:v>
      </x:c>
      <x:c r="W556" s="87" t="str">
        <x:v>NONE</x:v>
      </x:c>
      <x:c r="X556" s="87" t="str">
        <x:v>CAMP/SUMMER</x:v>
      </x:c>
      <x:c r="Y556" s="87" t="str">
        <x:v>2026-09-28 master / roster context 2026-09-03+</x:v>
      </x:c>
      <x:c r="Z556" s="72" t="str">
        <x:v>https://github.com/A-V29/NBA.Rosters/blob/main/2026.Summer.League.json</x:v>
      </x:c>
      <x:c r="AA556" s="72" t="str">
        <x:v>https://github.com/ballacademy/NBA-head-to-head-/blob/5b1decfc31ffb645469c7ffbd01aaca4b18181bd/data/nba-stats/nba-player-stats-202526-regular-season-per-game.csv</x:v>
      </x:c>
    </x:row>
    <x:row r="557" ht="21" customHeight="1">
      <x:c r="A557" s="64" t="n">
        <x:v>552</x:v>
      </x:c>
      <x:c r="B557" s="59" t="str">
        <x:v>Jaxon Kohler</x:v>
      </x:c>
      <x:c r="C557" s="65" t="str">
        <x:v>UTA</x:v>
      </x:c>
      <x:c r="D557" s="65" t="str">
        <x:v>PF</x:v>
      </x:c>
      <x:c r="E557" s="65" t="str">
        <x:v>F</x:v>
      </x:c>
      <x:c r="F557" s="66"/>
      <x:c r="G557" s="67"/>
      <x:c r="H557" s="67" t="n">
        <x:v>0</x:v>
      </x:c>
      <x:c r="I557" s="67" t="n">
        <x:v>3.5</x:v>
      </x:c>
      <x:c r="J557" s="67" t="n">
        <x:v>0</x:v>
      </x:c>
      <x:c r="K557" s="67" t="str">
        <x:v>WATCH</x:v>
      </x:c>
      <x:c r="L557" s="67" t="n">
        <x:v>0</x:v>
      </x:c>
      <x:c r="M557" s="68" t="n">
        <x:v>0</x:v>
      </x:c>
      <x:c r="N557" s="69" t="str">
        <x:v>Available</x:v>
      </x:c>
      <x:c r="O557" s="62" t="str">
        <x:v>Camp/summer-depth watch entry; no reliable 2026-27 fantasy projection. Verify final NBA contract, roster status and role before draft use.</x:v>
      </x:c>
      <x:c r="P557" s="60"/>
      <x:c r="Q557" s="60"/>
      <x:c r="R557" s="60"/>
      <x:c r="S557" s="60" t="n">
        <x:v>0</x:v>
      </x:c>
      <x:c r="T557" s="72" t="str">
        <x:v>https://github.com/A-V29/NBA.Rosters/blob/main/2026.Summer.League.json</x:v>
      </x:c>
      <x:c r="U557" s="87" t="str">
        <x:v>WATCH</x:v>
      </x:c>
      <x:c r="V557" s="87" t="str">
        <x:v>LOW</x:v>
      </x:c>
      <x:c r="W557" s="87" t="str">
        <x:v>NONE</x:v>
      </x:c>
      <x:c r="X557" s="87" t="str">
        <x:v>CAMP/SUMMER</x:v>
      </x:c>
      <x:c r="Y557" s="87" t="str">
        <x:v>2026-09-28 master / roster context 2026-09-03+</x:v>
      </x:c>
      <x:c r="Z557" s="72" t="str">
        <x:v>https://github.com/A-V29/NBA.Rosters/blob/main/2026.Summer.League.json</x:v>
      </x:c>
      <x:c r="AA557" s="72" t="str">
        <x:v>https://github.com/ballacademy/NBA-head-to-head-/blob/5b1decfc31ffb645469c7ffbd01aaca4b18181bd/data/nba-stats/nba-player-stats-202526-regular-season-per-game.csv</x:v>
      </x:c>
    </x:row>
    <x:row r="558" ht="21" customHeight="1">
      <x:c r="A558" s="64" t="n">
        <x:v>553</x:v>
      </x:c>
      <x:c r="B558" s="59" t="str">
        <x:v>Jayden Nunn</x:v>
      </x:c>
      <x:c r="C558" s="65" t="str">
        <x:v>SAS</x:v>
      </x:c>
      <x:c r="D558" s="65" t="str">
        <x:v>PG</x:v>
      </x:c>
      <x:c r="E558" s="65" t="str">
        <x:v>G</x:v>
      </x:c>
      <x:c r="F558" s="66"/>
      <x:c r="G558" s="67"/>
      <x:c r="H558" s="67" t="n">
        <x:v>0</x:v>
      </x:c>
      <x:c r="I558" s="67" t="n">
        <x:v>3.5</x:v>
      </x:c>
      <x:c r="J558" s="67" t="n">
        <x:v>0</x:v>
      </x:c>
      <x:c r="K558" s="67" t="str">
        <x:v>WATCH</x:v>
      </x:c>
      <x:c r="L558" s="67" t="n">
        <x:v>0</x:v>
      </x:c>
      <x:c r="M558" s="68" t="n">
        <x:v>0</x:v>
      </x:c>
      <x:c r="N558" s="69" t="str">
        <x:v>Available</x:v>
      </x:c>
      <x:c r="O558" s="62" t="str">
        <x:v>Camp/summer-depth watch entry; no reliable 2026-27 fantasy projection. Verify final NBA contract, roster status and role before draft use.</x:v>
      </x:c>
      <x:c r="P558" s="60"/>
      <x:c r="Q558" s="60"/>
      <x:c r="R558" s="60"/>
      <x:c r="S558" s="60" t="n">
        <x:v>0</x:v>
      </x:c>
      <x:c r="T558" s="72" t="str">
        <x:v>https://github.com/A-V29/NBA.Rosters/blob/main/2026.Summer.League.json</x:v>
      </x:c>
      <x:c r="U558" s="87" t="str">
        <x:v>WATCH</x:v>
      </x:c>
      <x:c r="V558" s="87" t="str">
        <x:v>LOW</x:v>
      </x:c>
      <x:c r="W558" s="87" t="str">
        <x:v>NONE</x:v>
      </x:c>
      <x:c r="X558" s="87" t="str">
        <x:v>CAMP/SUMMER</x:v>
      </x:c>
      <x:c r="Y558" s="87" t="str">
        <x:v>2026-09-28 master / roster context 2026-09-03+</x:v>
      </x:c>
      <x:c r="Z558" s="72" t="str">
        <x:v>https://github.com/A-V29/NBA.Rosters/blob/main/2026.Summer.League.json</x:v>
      </x:c>
      <x:c r="AA558" s="72" t="str">
        <x:v>https://github.com/ballacademy/NBA-head-to-head-/blob/5b1decfc31ffb645469c7ffbd01aaca4b18181bd/data/nba-stats/nba-player-stats-202526-regular-season-per-game.csv</x:v>
      </x:c>
    </x:row>
    <x:row r="559" ht="21" customHeight="1">
      <x:c r="A559" s="64" t="n">
        <x:v>554</x:v>
      </x:c>
      <x:c r="B559" s="59" t="str">
        <x:v>Jaylen Martin</x:v>
      </x:c>
      <x:c r="C559" s="65" t="str">
        <x:v>POR</x:v>
      </x:c>
      <x:c r="D559" s="65" t="str">
        <x:v>SF</x:v>
      </x:c>
      <x:c r="E559" s="65" t="str">
        <x:v>GF</x:v>
      </x:c>
      <x:c r="F559" s="66"/>
      <x:c r="G559" s="67"/>
      <x:c r="H559" s="67" t="n">
        <x:v>0</x:v>
      </x:c>
      <x:c r="I559" s="67" t="n">
        <x:v>3.5</x:v>
      </x:c>
      <x:c r="J559" s="67" t="n">
        <x:v>0</x:v>
      </x:c>
      <x:c r="K559" s="67" t="str">
        <x:v>WATCH</x:v>
      </x:c>
      <x:c r="L559" s="67" t="n">
        <x:v>0</x:v>
      </x:c>
      <x:c r="M559" s="68" t="n">
        <x:v>0</x:v>
      </x:c>
      <x:c r="N559" s="69" t="str">
        <x:v>Available</x:v>
      </x:c>
      <x:c r="O559" s="62" t="str">
        <x:v>Camp/summer-depth watch entry; no reliable 2026-27 fantasy projection. Verify final NBA contract, roster status and role before draft use.</x:v>
      </x:c>
      <x:c r="P559" s="60"/>
      <x:c r="Q559" s="60"/>
      <x:c r="R559" s="60"/>
      <x:c r="S559" s="60" t="n">
        <x:v>0</x:v>
      </x:c>
      <x:c r="T559" s="72" t="str">
        <x:v>https://github.com/A-V29/NBA.Rosters/blob/main/2026.Summer.League.json</x:v>
      </x:c>
      <x:c r="U559" s="87" t="str">
        <x:v>WATCH</x:v>
      </x:c>
      <x:c r="V559" s="87" t="str">
        <x:v>LOW</x:v>
      </x:c>
      <x:c r="W559" s="87" t="str">
        <x:v>NONE</x:v>
      </x:c>
      <x:c r="X559" s="87" t="str">
        <x:v>CAMP/SUMMER</x:v>
      </x:c>
      <x:c r="Y559" s="87" t="str">
        <x:v>2026-09-28 master / roster context 2026-09-03+</x:v>
      </x:c>
      <x:c r="Z559" s="72" t="str">
        <x:v>https://github.com/A-V29/NBA.Rosters/blob/main/2026.Summer.League.json</x:v>
      </x:c>
      <x:c r="AA559" s="72" t="str">
        <x:v>https://github.com/ballacademy/NBA-head-to-head-/blob/5b1decfc31ffb645469c7ffbd01aaca4b18181bd/data/nba-stats/nba-player-stats-202526-regular-season-per-game.csv</x:v>
      </x:c>
    </x:row>
    <x:row r="560" ht="21" customHeight="1">
      <x:c r="A560" s="64" t="n">
        <x:v>555</x:v>
      </x:c>
      <x:c r="B560" s="59" t="str">
        <x:v>Jaylin Sellers</x:v>
      </x:c>
      <x:c r="C560" s="65" t="str">
        <x:v>CHI</x:v>
      </x:c>
      <x:c r="D560" s="65" t="str">
        <x:v>PG</x:v>
      </x:c>
      <x:c r="E560" s="65" t="str">
        <x:v>G</x:v>
      </x:c>
      <x:c r="F560" s="66"/>
      <x:c r="G560" s="67"/>
      <x:c r="H560" s="67" t="n">
        <x:v>0</x:v>
      </x:c>
      <x:c r="I560" s="67" t="n">
        <x:v>3.5</x:v>
      </x:c>
      <x:c r="J560" s="67" t="n">
        <x:v>0</x:v>
      </x:c>
      <x:c r="K560" s="67" t="str">
        <x:v>WATCH</x:v>
      </x:c>
      <x:c r="L560" s="67" t="n">
        <x:v>0</x:v>
      </x:c>
      <x:c r="M560" s="68" t="n">
        <x:v>0</x:v>
      </x:c>
      <x:c r="N560" s="69" t="str">
        <x:v>Available</x:v>
      </x:c>
      <x:c r="O560" s="62" t="str">
        <x:v>Camp/summer-depth watch entry; no reliable 2026-27 fantasy projection. Verify final NBA contract, roster status and role before draft use.</x:v>
      </x:c>
      <x:c r="P560" s="60"/>
      <x:c r="Q560" s="60"/>
      <x:c r="R560" s="60"/>
      <x:c r="S560" s="60" t="n">
        <x:v>0</x:v>
      </x:c>
      <x:c r="T560" s="72" t="str">
        <x:v>https://github.com/A-V29/NBA.Rosters/blob/main/2026.Summer.League.json</x:v>
      </x:c>
      <x:c r="U560" s="87" t="str">
        <x:v>WATCH</x:v>
      </x:c>
      <x:c r="V560" s="87" t="str">
        <x:v>LOW</x:v>
      </x:c>
      <x:c r="W560" s="87" t="str">
        <x:v>NONE</x:v>
      </x:c>
      <x:c r="X560" s="87" t="str">
        <x:v>CAMP/SUMMER</x:v>
      </x:c>
      <x:c r="Y560" s="87" t="str">
        <x:v>2026-09-28 master / roster context 2026-09-03+</x:v>
      </x:c>
      <x:c r="Z560" s="72" t="str">
        <x:v>https://github.com/A-V29/NBA.Rosters/blob/main/2026.Summer.League.json</x:v>
      </x:c>
      <x:c r="AA560" s="72" t="str">
        <x:v>https://github.com/ballacademy/NBA-head-to-head-/blob/5b1decfc31ffb645469c7ffbd01aaca4b18181bd/data/nba-stats/nba-player-stats-202526-regular-season-per-game.csv</x:v>
      </x:c>
    </x:row>
    <x:row r="561" ht="21" customHeight="1">
      <x:c r="A561" s="64" t="n">
        <x:v>556</x:v>
      </x:c>
      <x:c r="B561" s="59" t="str">
        <x:v>Jesse Edwards</x:v>
      </x:c>
      <x:c r="C561" s="65" t="str">
        <x:v>MIL</x:v>
      </x:c>
      <x:c r="D561" s="65" t="str">
        <x:v>C</x:v>
      </x:c>
      <x:c r="E561" s="65" t="str">
        <x:v>C</x:v>
      </x:c>
      <x:c r="F561" s="66"/>
      <x:c r="G561" s="67"/>
      <x:c r="H561" s="67" t="n">
        <x:v>0</x:v>
      </x:c>
      <x:c r="I561" s="67" t="n">
        <x:v>3.5</x:v>
      </x:c>
      <x:c r="J561" s="67" t="n">
        <x:v>0</x:v>
      </x:c>
      <x:c r="K561" s="67" t="str">
        <x:v>WATCH</x:v>
      </x:c>
      <x:c r="L561" s="67" t="n">
        <x:v>0</x:v>
      </x:c>
      <x:c r="M561" s="68" t="n">
        <x:v>0</x:v>
      </x:c>
      <x:c r="N561" s="69" t="str">
        <x:v>Available</x:v>
      </x:c>
      <x:c r="O561" s="62" t="str">
        <x:v>Camp/summer-depth watch entry; no reliable 2026-27 fantasy projection. Verify final NBA contract, roster status and role before draft use.</x:v>
      </x:c>
      <x:c r="P561" s="60"/>
      <x:c r="Q561" s="60"/>
      <x:c r="R561" s="60"/>
      <x:c r="S561" s="60" t="n">
        <x:v>0</x:v>
      </x:c>
      <x:c r="T561" s="72" t="str">
        <x:v>https://github.com/A-V29/NBA.Rosters/blob/main/2026.Summer.League.json</x:v>
      </x:c>
      <x:c r="U561" s="87" t="str">
        <x:v>WATCH</x:v>
      </x:c>
      <x:c r="V561" s="87" t="str">
        <x:v>LOW</x:v>
      </x:c>
      <x:c r="W561" s="87" t="str">
        <x:v>NONE</x:v>
      </x:c>
      <x:c r="X561" s="87" t="str">
        <x:v>CAMP/SUMMER</x:v>
      </x:c>
      <x:c r="Y561" s="87" t="str">
        <x:v>2026-09-28 master / roster context 2026-09-03+</x:v>
      </x:c>
      <x:c r="Z561" s="72" t="str">
        <x:v>https://github.com/A-V29/NBA.Rosters/blob/main/2026.Summer.League.json</x:v>
      </x:c>
      <x:c r="AA561" s="72" t="str">
        <x:v>https://github.com/ballacademy/NBA-head-to-head-/blob/5b1decfc31ffb645469c7ffbd01aaca4b18181bd/data/nba-stats/nba-player-stats-202526-regular-season-per-game.csv</x:v>
      </x:c>
    </x:row>
    <x:row r="562" ht="21" customHeight="1">
      <x:c r="A562" s="64" t="n">
        <x:v>557</x:v>
      </x:c>
      <x:c r="B562" s="59" t="str">
        <x:v>Jestin Porter</x:v>
      </x:c>
      <x:c r="C562" s="65" t="str">
        <x:v>MEM</x:v>
      </x:c>
      <x:c r="D562" s="65" t="str">
        <x:v>PG</x:v>
      </x:c>
      <x:c r="E562" s="65" t="str">
        <x:v>G</x:v>
      </x:c>
      <x:c r="F562" s="66"/>
      <x:c r="G562" s="67"/>
      <x:c r="H562" s="67" t="n">
        <x:v>0</x:v>
      </x:c>
      <x:c r="I562" s="67" t="n">
        <x:v>3.5</x:v>
      </x:c>
      <x:c r="J562" s="67" t="n">
        <x:v>0</x:v>
      </x:c>
      <x:c r="K562" s="67" t="str">
        <x:v>WATCH</x:v>
      </x:c>
      <x:c r="L562" s="67" t="n">
        <x:v>0</x:v>
      </x:c>
      <x:c r="M562" s="68" t="n">
        <x:v>0</x:v>
      </x:c>
      <x:c r="N562" s="69" t="str">
        <x:v>Available</x:v>
      </x:c>
      <x:c r="O562" s="62" t="str">
        <x:v>Camp/summer-depth watch entry; no reliable 2026-27 fantasy projection. Verify final NBA contract, roster status and role before draft use.</x:v>
      </x:c>
      <x:c r="P562" s="60"/>
      <x:c r="Q562" s="60"/>
      <x:c r="R562" s="60"/>
      <x:c r="S562" s="60" t="n">
        <x:v>0</x:v>
      </x:c>
      <x:c r="T562" s="72" t="str">
        <x:v>https://github.com/A-V29/NBA.Rosters/blob/main/2026.Summer.League.json</x:v>
      </x:c>
      <x:c r="U562" s="87" t="str">
        <x:v>WATCH</x:v>
      </x:c>
      <x:c r="V562" s="87" t="str">
        <x:v>LOW</x:v>
      </x:c>
      <x:c r="W562" s="87" t="str">
        <x:v>NONE</x:v>
      </x:c>
      <x:c r="X562" s="87" t="str">
        <x:v>CAMP/SUMMER</x:v>
      </x:c>
      <x:c r="Y562" s="87" t="str">
        <x:v>2026-09-28 master / roster context 2026-09-03+</x:v>
      </x:c>
      <x:c r="Z562" s="72" t="str">
        <x:v>https://github.com/A-V29/NBA.Rosters/blob/main/2026.Summer.League.json</x:v>
      </x:c>
      <x:c r="AA562" s="72" t="str">
        <x:v>https://github.com/ballacademy/NBA-head-to-head-/blob/5b1decfc31ffb645469c7ffbd01aaca4b18181bd/data/nba-stats/nba-player-stats-202526-regular-season-per-game.csv</x:v>
      </x:c>
    </x:row>
    <x:row r="563" ht="21" customHeight="1">
      <x:c r="A563" s="64" t="n">
        <x:v>558</x:v>
      </x:c>
      <x:c r="B563" s="59" t="str">
        <x:v>John Camden</x:v>
      </x:c>
      <x:c r="C563" s="65" t="str">
        <x:v>WAS</x:v>
      </x:c>
      <x:c r="D563" s="65" t="str">
        <x:v>SG</x:v>
      </x:c>
      <x:c r="E563" s="65" t="str">
        <x:v>SG</x:v>
      </x:c>
      <x:c r="F563" s="66"/>
      <x:c r="G563" s="67"/>
      <x:c r="H563" s="67" t="n">
        <x:v>0</x:v>
      </x:c>
      <x:c r="I563" s="67" t="n">
        <x:v>3.5</x:v>
      </x:c>
      <x:c r="J563" s="67" t="n">
        <x:v>0</x:v>
      </x:c>
      <x:c r="K563" s="67" t="str">
        <x:v>WATCH</x:v>
      </x:c>
      <x:c r="L563" s="67" t="n">
        <x:v>0</x:v>
      </x:c>
      <x:c r="M563" s="68" t="n">
        <x:v>0</x:v>
      </x:c>
      <x:c r="N563" s="69" t="str">
        <x:v>Available</x:v>
      </x:c>
      <x:c r="O563" s="62" t="str">
        <x:v>Camp/summer-depth watch entry; no reliable 2026-27 fantasy projection. Verify final NBA contract, roster status and role before draft use.</x:v>
      </x:c>
      <x:c r="P563" s="60"/>
      <x:c r="Q563" s="60"/>
      <x:c r="R563" s="60"/>
      <x:c r="S563" s="60" t="n">
        <x:v>0</x:v>
      </x:c>
      <x:c r="T563" s="72" t="str">
        <x:v>https://github.com/A-V29/NBA.Rosters/blob/main/2026.Summer.League.json</x:v>
      </x:c>
      <x:c r="U563" s="87" t="str">
        <x:v>WATCH</x:v>
      </x:c>
      <x:c r="V563" s="87" t="str">
        <x:v>LOW</x:v>
      </x:c>
      <x:c r="W563" s="87" t="str">
        <x:v>NONE</x:v>
      </x:c>
      <x:c r="X563" s="87" t="str">
        <x:v>CAMP/SUMMER</x:v>
      </x:c>
      <x:c r="Y563" s="87" t="str">
        <x:v>2026-09-28 master / roster context 2026-09-03+</x:v>
      </x:c>
      <x:c r="Z563" s="72" t="str">
        <x:v>https://github.com/A-V29/NBA.Rosters/blob/main/2026.Summer.League.json</x:v>
      </x:c>
      <x:c r="AA563" s="72" t="str">
        <x:v>https://github.com/ballacademy/NBA-head-to-head-/blob/5b1decfc31ffb645469c7ffbd01aaca4b18181bd/data/nba-stats/nba-player-stats-202526-regular-season-per-game.csv</x:v>
      </x:c>
    </x:row>
    <x:row r="564" ht="21" customHeight="1">
      <x:c r="A564" s="64" t="n">
        <x:v>559</x:v>
      </x:c>
      <x:c r="B564" s="59" t="str">
        <x:v>John Ukomadu</x:v>
      </x:c>
      <x:c r="C564" s="65" t="str">
        <x:v>BKN</x:v>
      </x:c>
      <x:c r="D564" s="65" t="str">
        <x:v>SF</x:v>
      </x:c>
      <x:c r="E564" s="65" t="str">
        <x:v>GF</x:v>
      </x:c>
      <x:c r="F564" s="66"/>
      <x:c r="G564" s="67"/>
      <x:c r="H564" s="67" t="n">
        <x:v>0</x:v>
      </x:c>
      <x:c r="I564" s="67" t="n">
        <x:v>3.5</x:v>
      </x:c>
      <x:c r="J564" s="67" t="n">
        <x:v>0</x:v>
      </x:c>
      <x:c r="K564" s="67" t="str">
        <x:v>WATCH</x:v>
      </x:c>
      <x:c r="L564" s="67" t="n">
        <x:v>0</x:v>
      </x:c>
      <x:c r="M564" s="68" t="n">
        <x:v>0</x:v>
      </x:c>
      <x:c r="N564" s="69" t="str">
        <x:v>Available</x:v>
      </x:c>
      <x:c r="O564" s="62" t="str">
        <x:v>Camp/summer-depth watch entry; no reliable 2026-27 fantasy projection. Verify final NBA contract, roster status and role before draft use.</x:v>
      </x:c>
      <x:c r="P564" s="60"/>
      <x:c r="Q564" s="60"/>
      <x:c r="R564" s="60"/>
      <x:c r="S564" s="60" t="n">
        <x:v>0</x:v>
      </x:c>
      <x:c r="T564" s="72" t="str">
        <x:v>https://github.com/A-V29/NBA.Rosters/blob/main/2026.Summer.League.json</x:v>
      </x:c>
      <x:c r="U564" s="87" t="str">
        <x:v>WATCH</x:v>
      </x:c>
      <x:c r="V564" s="87" t="str">
        <x:v>LOW</x:v>
      </x:c>
      <x:c r="W564" s="87" t="str">
        <x:v>NONE</x:v>
      </x:c>
      <x:c r="X564" s="87" t="str">
        <x:v>CAMP/SUMMER</x:v>
      </x:c>
      <x:c r="Y564" s="87" t="str">
        <x:v>2026-09-28 master / roster context 2026-09-03+</x:v>
      </x:c>
      <x:c r="Z564" s="72" t="str">
        <x:v>https://github.com/A-V29/NBA.Rosters/blob/main/2026.Summer.League.json</x:v>
      </x:c>
      <x:c r="AA564" s="72" t="str">
        <x:v>https://github.com/ballacademy/NBA-head-to-head-/blob/5b1decfc31ffb645469c7ffbd01aaca4b18181bd/data/nba-stats/nba-player-stats-202526-regular-season-per-game.csv</x:v>
      </x:c>
    </x:row>
    <x:row r="565" ht="21" customHeight="1">
      <x:c r="A565" s="64" t="n">
        <x:v>560</x:v>
      </x:c>
      <x:c r="B565" s="59" t="str">
        <x:v>Johnell Davis</x:v>
      </x:c>
      <x:c r="C565" s="65" t="str">
        <x:v>ORL</x:v>
      </x:c>
      <x:c r="D565" s="65" t="str">
        <x:v>PG</x:v>
      </x:c>
      <x:c r="E565" s="65" t="str">
        <x:v>G</x:v>
      </x:c>
      <x:c r="F565" s="66"/>
      <x:c r="G565" s="67"/>
      <x:c r="H565" s="67" t="n">
        <x:v>0</x:v>
      </x:c>
      <x:c r="I565" s="67" t="n">
        <x:v>3.5</x:v>
      </x:c>
      <x:c r="J565" s="67" t="n">
        <x:v>0</x:v>
      </x:c>
      <x:c r="K565" s="67" t="str">
        <x:v>WATCH</x:v>
      </x:c>
      <x:c r="L565" s="67" t="n">
        <x:v>0</x:v>
      </x:c>
      <x:c r="M565" s="68" t="n">
        <x:v>0</x:v>
      </x:c>
      <x:c r="N565" s="69" t="str">
        <x:v>Available</x:v>
      </x:c>
      <x:c r="O565" s="62" t="str">
        <x:v>Camp/summer-depth watch entry; no reliable 2026-27 fantasy projection. Verify final NBA contract, roster status and role before draft use.</x:v>
      </x:c>
      <x:c r="P565" s="60"/>
      <x:c r="Q565" s="60"/>
      <x:c r="R565" s="60"/>
      <x:c r="S565" s="60" t="n">
        <x:v>0</x:v>
      </x:c>
      <x:c r="T565" s="72" t="str">
        <x:v>https://github.com/A-V29/NBA.Rosters/blob/main/2026.Summer.League.json</x:v>
      </x:c>
      <x:c r="U565" s="87" t="str">
        <x:v>WATCH</x:v>
      </x:c>
      <x:c r="V565" s="87" t="str">
        <x:v>LOW</x:v>
      </x:c>
      <x:c r="W565" s="87" t="str">
        <x:v>NONE</x:v>
      </x:c>
      <x:c r="X565" s="87" t="str">
        <x:v>CAMP/SUMMER</x:v>
      </x:c>
      <x:c r="Y565" s="87" t="str">
        <x:v>2026-09-28 master / roster context 2026-09-03+</x:v>
      </x:c>
      <x:c r="Z565" s="72" t="str">
        <x:v>https://github.com/A-V29/NBA.Rosters/blob/main/2026.Summer.League.json</x:v>
      </x:c>
      <x:c r="AA565" s="72" t="str">
        <x:v>https://github.com/ballacademy/NBA-head-to-head-/blob/5b1decfc31ffb645469c7ffbd01aaca4b18181bd/data/nba-stats/nba-player-stats-202526-regular-season-per-game.csv</x:v>
      </x:c>
    </x:row>
    <x:row r="566" ht="21" customHeight="1">
      <x:c r="A566" s="64" t="n">
        <x:v>561</x:v>
      </x:c>
      <x:c r="B566" s="59" t="str">
        <x:v>Johnny O'Neil</x:v>
      </x:c>
      <x:c r="C566" s="65" t="str">
        <x:v>NOP</x:v>
      </x:c>
      <x:c r="D566" s="65" t="str">
        <x:v>PF</x:v>
      </x:c>
      <x:c r="E566" s="65" t="str">
        <x:v>F</x:v>
      </x:c>
      <x:c r="F566" s="66"/>
      <x:c r="G566" s="67"/>
      <x:c r="H566" s="67" t="n">
        <x:v>0</x:v>
      </x:c>
      <x:c r="I566" s="67" t="n">
        <x:v>3.5</x:v>
      </x:c>
      <x:c r="J566" s="67" t="n">
        <x:v>0</x:v>
      </x:c>
      <x:c r="K566" s="67" t="str">
        <x:v>WATCH</x:v>
      </x:c>
      <x:c r="L566" s="67" t="n">
        <x:v>0</x:v>
      </x:c>
      <x:c r="M566" s="68" t="n">
        <x:v>0</x:v>
      </x:c>
      <x:c r="N566" s="69" t="str">
        <x:v>Available</x:v>
      </x:c>
      <x:c r="O566" s="62" t="str">
        <x:v>Camp/summer-depth watch entry; no reliable 2026-27 fantasy projection. Verify final NBA contract, roster status and role before draft use.</x:v>
      </x:c>
      <x:c r="P566" s="60"/>
      <x:c r="Q566" s="60"/>
      <x:c r="R566" s="60"/>
      <x:c r="S566" s="60" t="n">
        <x:v>0</x:v>
      </x:c>
      <x:c r="T566" s="72" t="str">
        <x:v>https://github.com/A-V29/NBA.Rosters/blob/main/2026.Summer.League.json</x:v>
      </x:c>
      <x:c r="U566" s="87" t="str">
        <x:v>WATCH</x:v>
      </x:c>
      <x:c r="V566" s="87" t="str">
        <x:v>LOW</x:v>
      </x:c>
      <x:c r="W566" s="87" t="str">
        <x:v>NONE</x:v>
      </x:c>
      <x:c r="X566" s="87" t="str">
        <x:v>CAMP/SUMMER</x:v>
      </x:c>
      <x:c r="Y566" s="87" t="str">
        <x:v>2026-09-28 master / roster context 2026-09-03+</x:v>
      </x:c>
      <x:c r="Z566" s="72" t="str">
        <x:v>https://github.com/A-V29/NBA.Rosters/blob/main/2026.Summer.League.json</x:v>
      </x:c>
      <x:c r="AA566" s="72" t="str">
        <x:v>https://github.com/ballacademy/NBA-head-to-head-/blob/5b1decfc31ffb645469c7ffbd01aaca4b18181bd/data/nba-stats/nba-player-stats-202526-regular-season-per-game.csv</x:v>
      </x:c>
    </x:row>
    <x:row r="567" ht="21" customHeight="1">
      <x:c r="A567" s="64" t="n">
        <x:v>562</x:v>
      </x:c>
      <x:c r="B567" s="59" t="str">
        <x:v>Jon Elmore</x:v>
      </x:c>
      <x:c r="C567" s="65" t="str">
        <x:v>LAL</x:v>
      </x:c>
      <x:c r="D567" s="65" t="str">
        <x:v>PG</x:v>
      </x:c>
      <x:c r="E567" s="65" t="str">
        <x:v>G</x:v>
      </x:c>
      <x:c r="F567" s="66"/>
      <x:c r="G567" s="67"/>
      <x:c r="H567" s="67" t="n">
        <x:v>0</x:v>
      </x:c>
      <x:c r="I567" s="67" t="n">
        <x:v>3.5</x:v>
      </x:c>
      <x:c r="J567" s="67" t="n">
        <x:v>0</x:v>
      </x:c>
      <x:c r="K567" s="67" t="str">
        <x:v>WATCH</x:v>
      </x:c>
      <x:c r="L567" s="67" t="n">
        <x:v>0</x:v>
      </x:c>
      <x:c r="M567" s="68" t="n">
        <x:v>0</x:v>
      </x:c>
      <x:c r="N567" s="69" t="str">
        <x:v>Available</x:v>
      </x:c>
      <x:c r="O567" s="62" t="str">
        <x:v>Camp/summer-depth watch entry; no reliable 2026-27 fantasy projection. Verify final NBA contract, roster status and role before draft use.</x:v>
      </x:c>
      <x:c r="P567" s="60"/>
      <x:c r="Q567" s="60"/>
      <x:c r="R567" s="60"/>
      <x:c r="S567" s="60" t="n">
        <x:v>0</x:v>
      </x:c>
      <x:c r="T567" s="72" t="str">
        <x:v>https://github.com/A-V29/NBA.Rosters/blob/main/2026.Summer.League.json</x:v>
      </x:c>
      <x:c r="U567" s="87" t="str">
        <x:v>WATCH</x:v>
      </x:c>
      <x:c r="V567" s="87" t="str">
        <x:v>LOW</x:v>
      </x:c>
      <x:c r="W567" s="87" t="str">
        <x:v>NONE</x:v>
      </x:c>
      <x:c r="X567" s="87" t="str">
        <x:v>CAMP/SUMMER</x:v>
      </x:c>
      <x:c r="Y567" s="87" t="str">
        <x:v>2026-09-28 master / roster context 2026-09-03+</x:v>
      </x:c>
      <x:c r="Z567" s="72" t="str">
        <x:v>https://github.com/A-V29/NBA.Rosters/blob/main/2026.Summer.League.json</x:v>
      </x:c>
      <x:c r="AA567" s="72" t="str">
        <x:v>https://github.com/ballacademy/NBA-head-to-head-/blob/5b1decfc31ffb645469c7ffbd01aaca4b18181bd/data/nba-stats/nba-player-stats-202526-regular-season-per-game.csv</x:v>
      </x:c>
    </x:row>
    <x:row r="568" ht="21" customHeight="1">
      <x:c r="A568" s="64" t="n">
        <x:v>563</x:v>
      </x:c>
      <x:c r="B568" s="59" t="str">
        <x:v>Jonas Aidoo</x:v>
      </x:c>
      <x:c r="C568" s="65" t="str">
        <x:v>UTA</x:v>
      </x:c>
      <x:c r="D568" s="65" t="str">
        <x:v>C</x:v>
      </x:c>
      <x:c r="E568" s="65" t="str">
        <x:v>C</x:v>
      </x:c>
      <x:c r="F568" s="66"/>
      <x:c r="G568" s="67"/>
      <x:c r="H568" s="67" t="n">
        <x:v>0</x:v>
      </x:c>
      <x:c r="I568" s="67" t="n">
        <x:v>3.5</x:v>
      </x:c>
      <x:c r="J568" s="67" t="n">
        <x:v>0</x:v>
      </x:c>
      <x:c r="K568" s="67" t="str">
        <x:v>WATCH</x:v>
      </x:c>
      <x:c r="L568" s="67" t="n">
        <x:v>0</x:v>
      </x:c>
      <x:c r="M568" s="68" t="n">
        <x:v>0</x:v>
      </x:c>
      <x:c r="N568" s="69" t="str">
        <x:v>Available</x:v>
      </x:c>
      <x:c r="O568" s="62" t="str">
        <x:v>Camp/summer-depth watch entry; no reliable 2026-27 fantasy projection. Verify final NBA contract, roster status and role before draft use.</x:v>
      </x:c>
      <x:c r="P568" s="60"/>
      <x:c r="Q568" s="60"/>
      <x:c r="R568" s="60"/>
      <x:c r="S568" s="60" t="n">
        <x:v>0</x:v>
      </x:c>
      <x:c r="T568" s="72" t="str">
        <x:v>https://github.com/A-V29/NBA.Rosters/blob/main/2026.Summer.League.json</x:v>
      </x:c>
      <x:c r="U568" s="87" t="str">
        <x:v>WATCH</x:v>
      </x:c>
      <x:c r="V568" s="87" t="str">
        <x:v>LOW</x:v>
      </x:c>
      <x:c r="W568" s="87" t="str">
        <x:v>NONE</x:v>
      </x:c>
      <x:c r="X568" s="87" t="str">
        <x:v>CAMP/SUMMER</x:v>
      </x:c>
      <x:c r="Y568" s="87" t="str">
        <x:v>2026-09-28 master / roster context 2026-09-03+</x:v>
      </x:c>
      <x:c r="Z568" s="72" t="str">
        <x:v>https://github.com/A-V29/NBA.Rosters/blob/main/2026.Summer.League.json</x:v>
      </x:c>
      <x:c r="AA568" s="72" t="str">
        <x:v>https://github.com/ballacademy/NBA-head-to-head-/blob/5b1decfc31ffb645469c7ffbd01aaca4b18181bd/data/nba-stats/nba-player-stats-202526-regular-season-per-game.csv</x:v>
      </x:c>
    </x:row>
    <x:row r="569" ht="21" customHeight="1">
      <x:c r="A569" s="64" t="n">
        <x:v>564</x:v>
      </x:c>
      <x:c r="B569" s="59" t="str">
        <x:v>Jordan Riley</x:v>
      </x:c>
      <x:c r="C569" s="65" t="str">
        <x:v>NOP</x:v>
      </x:c>
      <x:c r="D569" s="65" t="str">
        <x:v>SF</x:v>
      </x:c>
      <x:c r="E569" s="65" t="str">
        <x:v>GF</x:v>
      </x:c>
      <x:c r="F569" s="66"/>
      <x:c r="G569" s="67"/>
      <x:c r="H569" s="67" t="n">
        <x:v>0</x:v>
      </x:c>
      <x:c r="I569" s="67" t="n">
        <x:v>3.5</x:v>
      </x:c>
      <x:c r="J569" s="67" t="n">
        <x:v>0</x:v>
      </x:c>
      <x:c r="K569" s="67" t="str">
        <x:v>WATCH</x:v>
      </x:c>
      <x:c r="L569" s="67" t="n">
        <x:v>0</x:v>
      </x:c>
      <x:c r="M569" s="68" t="n">
        <x:v>0</x:v>
      </x:c>
      <x:c r="N569" s="69" t="str">
        <x:v>Available</x:v>
      </x:c>
      <x:c r="O569" s="62" t="str">
        <x:v>Camp/summer-depth watch entry; no reliable 2026-27 fantasy projection. Verify final NBA contract, roster status and role before draft use.</x:v>
      </x:c>
      <x:c r="P569" s="60"/>
      <x:c r="Q569" s="60"/>
      <x:c r="R569" s="60"/>
      <x:c r="S569" s="60" t="n">
        <x:v>0</x:v>
      </x:c>
      <x:c r="T569" s="72" t="str">
        <x:v>https://github.com/A-V29/NBA.Rosters/blob/main/2026.Summer.League.json</x:v>
      </x:c>
      <x:c r="U569" s="87" t="str">
        <x:v>WATCH</x:v>
      </x:c>
      <x:c r="V569" s="87" t="str">
        <x:v>LOW</x:v>
      </x:c>
      <x:c r="W569" s="87" t="str">
        <x:v>NONE</x:v>
      </x:c>
      <x:c r="X569" s="87" t="str">
        <x:v>CAMP/SUMMER</x:v>
      </x:c>
      <x:c r="Y569" s="87" t="str">
        <x:v>2026-09-28 master / roster context 2026-09-03+</x:v>
      </x:c>
      <x:c r="Z569" s="72" t="str">
        <x:v>https://github.com/A-V29/NBA.Rosters/blob/main/2026.Summer.League.json</x:v>
      </x:c>
      <x:c r="AA569" s="72" t="str">
        <x:v>https://github.com/ballacademy/NBA-head-to-head-/blob/5b1decfc31ffb645469c7ffbd01aaca4b18181bd/data/nba-stats/nba-player-stats-202526-regular-season-per-game.csv</x:v>
      </x:c>
    </x:row>
    <x:row r="570" ht="21" customHeight="1">
      <x:c r="A570" s="64" t="n">
        <x:v>565</x:v>
      </x:c>
      <x:c r="B570" s="59" t="str">
        <x:v>Josh Dix</x:v>
      </x:c>
      <x:c r="C570" s="65" t="str">
        <x:v>OKC</x:v>
      </x:c>
      <x:c r="D570" s="65" t="str">
        <x:v>SF</x:v>
      </x:c>
      <x:c r="E570" s="65" t="str">
        <x:v>GF</x:v>
      </x:c>
      <x:c r="F570" s="66"/>
      <x:c r="G570" s="67"/>
      <x:c r="H570" s="67" t="n">
        <x:v>0</x:v>
      </x:c>
      <x:c r="I570" s="67" t="n">
        <x:v>3.5</x:v>
      </x:c>
      <x:c r="J570" s="67" t="n">
        <x:v>0</x:v>
      </x:c>
      <x:c r="K570" s="67" t="str">
        <x:v>WATCH</x:v>
      </x:c>
      <x:c r="L570" s="67" t="n">
        <x:v>0</x:v>
      </x:c>
      <x:c r="M570" s="68" t="n">
        <x:v>0</x:v>
      </x:c>
      <x:c r="N570" s="69" t="str">
        <x:v>Available</x:v>
      </x:c>
      <x:c r="O570" s="62" t="str">
        <x:v>Camp/summer-depth watch entry; no reliable 2026-27 fantasy projection. Verify final NBA contract, roster status and role before draft use.</x:v>
      </x:c>
      <x:c r="P570" s="60"/>
      <x:c r="Q570" s="60"/>
      <x:c r="R570" s="60"/>
      <x:c r="S570" s="60" t="n">
        <x:v>0</x:v>
      </x:c>
      <x:c r="T570" s="72" t="str">
        <x:v>https://github.com/A-V29/NBA.Rosters/blob/main/2026.Summer.League.json</x:v>
      </x:c>
      <x:c r="U570" s="87" t="str">
        <x:v>WATCH</x:v>
      </x:c>
      <x:c r="V570" s="87" t="str">
        <x:v>LOW</x:v>
      </x:c>
      <x:c r="W570" s="87" t="str">
        <x:v>NONE</x:v>
      </x:c>
      <x:c r="X570" s="87" t="str">
        <x:v>CAMP/SUMMER</x:v>
      </x:c>
      <x:c r="Y570" s="87" t="str">
        <x:v>2026-09-28 master / roster context 2026-09-03+</x:v>
      </x:c>
      <x:c r="Z570" s="72" t="str">
        <x:v>https://github.com/A-V29/NBA.Rosters/blob/main/2026.Summer.League.json</x:v>
      </x:c>
      <x:c r="AA570" s="72" t="str">
        <x:v>https://github.com/ballacademy/NBA-head-to-head-/blob/5b1decfc31ffb645469c7ffbd01aaca4b18181bd/data/nba-stats/nba-player-stats-202526-regular-season-per-game.csv</x:v>
      </x:c>
    </x:row>
    <x:row r="571" ht="21" customHeight="1">
      <x:c r="A571" s="64" t="n">
        <x:v>566</x:v>
      </x:c>
      <x:c r="B571" s="59" t="str">
        <x:v>Josiah Allick</x:v>
      </x:c>
      <x:c r="C571" s="65" t="str">
        <x:v>CHA</x:v>
      </x:c>
      <x:c r="D571" s="65" t="str">
        <x:v>C</x:v>
      </x:c>
      <x:c r="E571" s="65" t="str">
        <x:v>FC</x:v>
      </x:c>
      <x:c r="F571" s="66"/>
      <x:c r="G571" s="67"/>
      <x:c r="H571" s="67" t="n">
        <x:v>0</x:v>
      </x:c>
      <x:c r="I571" s="67" t="n">
        <x:v>3.5</x:v>
      </x:c>
      <x:c r="J571" s="67" t="n">
        <x:v>0</x:v>
      </x:c>
      <x:c r="K571" s="67" t="str">
        <x:v>WATCH</x:v>
      </x:c>
      <x:c r="L571" s="67" t="n">
        <x:v>0</x:v>
      </x:c>
      <x:c r="M571" s="68" t="n">
        <x:v>0</x:v>
      </x:c>
      <x:c r="N571" s="69" t="str">
        <x:v>Available</x:v>
      </x:c>
      <x:c r="O571" s="62" t="str">
        <x:v>Camp/summer-depth watch entry; no reliable 2026-27 fantasy projection. Verify final NBA contract, roster status and role before draft use.</x:v>
      </x:c>
      <x:c r="P571" s="60"/>
      <x:c r="Q571" s="60"/>
      <x:c r="R571" s="60"/>
      <x:c r="S571" s="60" t="n">
        <x:v>0</x:v>
      </x:c>
      <x:c r="T571" s="72" t="str">
        <x:v>https://github.com/A-V29/NBA.Rosters/blob/main/2026.Summer.League.json</x:v>
      </x:c>
      <x:c r="U571" s="87" t="str">
        <x:v>WATCH</x:v>
      </x:c>
      <x:c r="V571" s="87" t="str">
        <x:v>LOW</x:v>
      </x:c>
      <x:c r="W571" s="87" t="str">
        <x:v>NONE</x:v>
      </x:c>
      <x:c r="X571" s="87" t="str">
        <x:v>CAMP/SUMMER</x:v>
      </x:c>
      <x:c r="Y571" s="87" t="str">
        <x:v>2026-09-28 master / roster context 2026-09-03+</x:v>
      </x:c>
      <x:c r="Z571" s="72" t="str">
        <x:v>https://github.com/A-V29/NBA.Rosters/blob/main/2026.Summer.League.json</x:v>
      </x:c>
      <x:c r="AA571" s="72" t="str">
        <x:v>https://github.com/ballacademy/NBA-head-to-head-/blob/5b1decfc31ffb645469c7ffbd01aaca4b18181bd/data/nba-stats/nba-player-stats-202526-regular-season-per-game.csv</x:v>
      </x:c>
    </x:row>
    <x:row r="572" ht="21" customHeight="1">
      <x:c r="A572" s="64" t="n">
        <x:v>567</x:v>
      </x:c>
      <x:c r="B572" s="59" t="str">
        <x:v>Justin Harmon</x:v>
      </x:c>
      <x:c r="C572" s="65" t="str">
        <x:v>UTA</x:v>
      </x:c>
      <x:c r="D572" s="65" t="str">
        <x:v>PG</x:v>
      </x:c>
      <x:c r="E572" s="65" t="str">
        <x:v>G</x:v>
      </x:c>
      <x:c r="F572" s="66"/>
      <x:c r="G572" s="67"/>
      <x:c r="H572" s="67" t="n">
        <x:v>0</x:v>
      </x:c>
      <x:c r="I572" s="67" t="n">
        <x:v>3.5</x:v>
      </x:c>
      <x:c r="J572" s="67" t="n">
        <x:v>0</x:v>
      </x:c>
      <x:c r="K572" s="67" t="str">
        <x:v>WATCH</x:v>
      </x:c>
      <x:c r="L572" s="67" t="n">
        <x:v>0</x:v>
      </x:c>
      <x:c r="M572" s="68" t="n">
        <x:v>0</x:v>
      </x:c>
      <x:c r="N572" s="69" t="str">
        <x:v>Available</x:v>
      </x:c>
      <x:c r="O572" s="62" t="str">
        <x:v>Camp/summer-depth watch entry; no reliable 2026-27 fantasy projection. Verify final NBA contract, roster status and role before draft use.</x:v>
      </x:c>
      <x:c r="P572" s="60"/>
      <x:c r="Q572" s="60"/>
      <x:c r="R572" s="60"/>
      <x:c r="S572" s="60" t="n">
        <x:v>0</x:v>
      </x:c>
      <x:c r="T572" s="72" t="str">
        <x:v>https://github.com/A-V29/NBA.Rosters/blob/main/2026.Summer.League.json</x:v>
      </x:c>
      <x:c r="U572" s="87" t="str">
        <x:v>WATCH</x:v>
      </x:c>
      <x:c r="V572" s="87" t="str">
        <x:v>LOW</x:v>
      </x:c>
      <x:c r="W572" s="87" t="str">
        <x:v>NONE</x:v>
      </x:c>
      <x:c r="X572" s="87" t="str">
        <x:v>CAMP/SUMMER</x:v>
      </x:c>
      <x:c r="Y572" s="87" t="str">
        <x:v>2026-09-28 master / roster context 2026-09-03+</x:v>
      </x:c>
      <x:c r="Z572" s="72" t="str">
        <x:v>https://github.com/A-V29/NBA.Rosters/blob/main/2026.Summer.League.json</x:v>
      </x:c>
      <x:c r="AA572" s="72" t="str">
        <x:v>https://github.com/ballacademy/NBA-head-to-head-/blob/5b1decfc31ffb645469c7ffbd01aaca4b18181bd/data/nba-stats/nba-player-stats-202526-regular-season-per-game.csv</x:v>
      </x:c>
    </x:row>
    <x:row r="573" ht="21" customHeight="1">
      <x:c r="A573" s="64" t="n">
        <x:v>568</x:v>
      </x:c>
      <x:c r="B573" s="59" t="str">
        <x:v>Kaodirichi Akobundu-Ehiogu</x:v>
      </x:c>
      <x:c r="C573" s="65" t="str">
        <x:v>DAL</x:v>
      </x:c>
      <x:c r="D573" s="65" t="str">
        <x:v>C</x:v>
      </x:c>
      <x:c r="E573" s="65" t="str">
        <x:v>FC</x:v>
      </x:c>
      <x:c r="F573" s="66"/>
      <x:c r="G573" s="67"/>
      <x:c r="H573" s="67" t="n">
        <x:v>0</x:v>
      </x:c>
      <x:c r="I573" s="67" t="n">
        <x:v>3.5</x:v>
      </x:c>
      <x:c r="J573" s="67" t="n">
        <x:v>0</x:v>
      </x:c>
      <x:c r="K573" s="67" t="str">
        <x:v>WATCH</x:v>
      </x:c>
      <x:c r="L573" s="67" t="n">
        <x:v>0</x:v>
      </x:c>
      <x:c r="M573" s="68" t="n">
        <x:v>0</x:v>
      </x:c>
      <x:c r="N573" s="69" t="str">
        <x:v>Available</x:v>
      </x:c>
      <x:c r="O573" s="62" t="str">
        <x:v>Camp/summer-depth watch entry; no reliable 2026-27 fantasy projection. Verify final NBA contract, roster status and role before draft use.</x:v>
      </x:c>
      <x:c r="P573" s="60"/>
      <x:c r="Q573" s="60"/>
      <x:c r="R573" s="60"/>
      <x:c r="S573" s="60" t="n">
        <x:v>0</x:v>
      </x:c>
      <x:c r="T573" s="72" t="str">
        <x:v>https://github.com/A-V29/NBA.Rosters/blob/main/2026.Summer.League.json</x:v>
      </x:c>
      <x:c r="U573" s="87" t="str">
        <x:v>WATCH</x:v>
      </x:c>
      <x:c r="V573" s="87" t="str">
        <x:v>LOW</x:v>
      </x:c>
      <x:c r="W573" s="87" t="str">
        <x:v>NONE</x:v>
      </x:c>
      <x:c r="X573" s="87" t="str">
        <x:v>CAMP/SUMMER</x:v>
      </x:c>
      <x:c r="Y573" s="87" t="str">
        <x:v>2026-09-28 master / roster context 2026-09-03+</x:v>
      </x:c>
      <x:c r="Z573" s="72" t="str">
        <x:v>https://github.com/A-V29/NBA.Rosters/blob/main/2026.Summer.League.json</x:v>
      </x:c>
      <x:c r="AA573" s="72" t="str">
        <x:v>https://github.com/ballacademy/NBA-head-to-head-/blob/5b1decfc31ffb645469c7ffbd01aaca4b18181bd/data/nba-stats/nba-player-stats-202526-regular-season-per-game.csv</x:v>
      </x:c>
    </x:row>
    <x:row r="574" ht="21" customHeight="1">
      <x:c r="A574" s="64" t="n">
        <x:v>569</x:v>
      </x:c>
      <x:c r="B574" s="59" t="str">
        <x:v>Keba Keita</x:v>
      </x:c>
      <x:c r="C574" s="65" t="str">
        <x:v>IND</x:v>
      </x:c>
      <x:c r="D574" s="65" t="str">
        <x:v>C</x:v>
      </x:c>
      <x:c r="E574" s="65" t="str">
        <x:v>FC</x:v>
      </x:c>
      <x:c r="F574" s="66"/>
      <x:c r="G574" s="67"/>
      <x:c r="H574" s="67" t="n">
        <x:v>0</x:v>
      </x:c>
      <x:c r="I574" s="67" t="n">
        <x:v>3.5</x:v>
      </x:c>
      <x:c r="J574" s="67" t="n">
        <x:v>0</x:v>
      </x:c>
      <x:c r="K574" s="67" t="str">
        <x:v>WATCH</x:v>
      </x:c>
      <x:c r="L574" s="67" t="n">
        <x:v>0</x:v>
      </x:c>
      <x:c r="M574" s="68" t="n">
        <x:v>0</x:v>
      </x:c>
      <x:c r="N574" s="69" t="str">
        <x:v>Available</x:v>
      </x:c>
      <x:c r="O574" s="62" t="str">
        <x:v>Camp/summer-depth watch entry; no reliable 2026-27 fantasy projection. Verify final NBA contract, roster status and role before draft use.</x:v>
      </x:c>
      <x:c r="P574" s="60"/>
      <x:c r="Q574" s="60"/>
      <x:c r="R574" s="60"/>
      <x:c r="S574" s="60" t="n">
        <x:v>0</x:v>
      </x:c>
      <x:c r="T574" s="72" t="str">
        <x:v>https://github.com/A-V29/NBA.Rosters/blob/main/2026.Summer.League.json</x:v>
      </x:c>
      <x:c r="U574" s="87" t="str">
        <x:v>WATCH</x:v>
      </x:c>
      <x:c r="V574" s="87" t="str">
        <x:v>LOW</x:v>
      </x:c>
      <x:c r="W574" s="87" t="str">
        <x:v>NONE</x:v>
      </x:c>
      <x:c r="X574" s="87" t="str">
        <x:v>CAMP/SUMMER</x:v>
      </x:c>
      <x:c r="Y574" s="87" t="str">
        <x:v>2026-09-28 master / roster context 2026-09-03+</x:v>
      </x:c>
      <x:c r="Z574" s="72" t="str">
        <x:v>https://github.com/A-V29/NBA.Rosters/blob/main/2026.Summer.League.json</x:v>
      </x:c>
      <x:c r="AA574" s="72" t="str">
        <x:v>https://github.com/ballacademy/NBA-head-to-head-/blob/5b1decfc31ffb645469c7ffbd01aaca4b18181bd/data/nba-stats/nba-player-stats-202526-regular-season-per-game.csv</x:v>
      </x:c>
    </x:row>
    <x:row r="575" ht="21" customHeight="1">
      <x:c r="A575" s="64" t="n">
        <x:v>570</x:v>
      </x:c>
      <x:c r="B575" s="59" t="str">
        <x:v>Kendall Brown</x:v>
      </x:c>
      <x:c r="C575" s="65" t="str">
        <x:v>MIA</x:v>
      </x:c>
      <x:c r="D575" s="65" t="str">
        <x:v>SF</x:v>
      </x:c>
      <x:c r="E575" s="65" t="str">
        <x:v>SF</x:v>
      </x:c>
      <x:c r="F575" s="66"/>
      <x:c r="G575" s="67"/>
      <x:c r="H575" s="67" t="n">
        <x:v>0</x:v>
      </x:c>
      <x:c r="I575" s="67" t="n">
        <x:v>3.5</x:v>
      </x:c>
      <x:c r="J575" s="67" t="n">
        <x:v>0</x:v>
      </x:c>
      <x:c r="K575" s="67" t="str">
        <x:v>WATCH</x:v>
      </x:c>
      <x:c r="L575" s="67" t="n">
        <x:v>0</x:v>
      </x:c>
      <x:c r="M575" s="68" t="n">
        <x:v>0</x:v>
      </x:c>
      <x:c r="N575" s="69" t="str">
        <x:v>Available</x:v>
      </x:c>
      <x:c r="O575" s="62" t="str">
        <x:v>Camp/summer-depth watch entry; no reliable 2026-27 fantasy projection. Verify final NBA contract, roster status and role before draft use.</x:v>
      </x:c>
      <x:c r="P575" s="60"/>
      <x:c r="Q575" s="60"/>
      <x:c r="R575" s="60"/>
      <x:c r="S575" s="60" t="n">
        <x:v>0</x:v>
      </x:c>
      <x:c r="T575" s="72" t="str">
        <x:v>https://github.com/A-V29/NBA.Rosters/blob/main/2026.Summer.League.json</x:v>
      </x:c>
      <x:c r="U575" s="87" t="str">
        <x:v>WATCH</x:v>
      </x:c>
      <x:c r="V575" s="87" t="str">
        <x:v>LOW</x:v>
      </x:c>
      <x:c r="W575" s="87" t="str">
        <x:v>NONE</x:v>
      </x:c>
      <x:c r="X575" s="87" t="str">
        <x:v>CAMP/SUMMER</x:v>
      </x:c>
      <x:c r="Y575" s="87" t="str">
        <x:v>2026-09-28 master / roster context 2026-09-03+</x:v>
      </x:c>
      <x:c r="Z575" s="72" t="str">
        <x:v>https://github.com/A-V29/NBA.Rosters/blob/main/2026.Summer.League.json</x:v>
      </x:c>
      <x:c r="AA575" s="72" t="str">
        <x:v>https://github.com/ballacademy/NBA-head-to-head-/blob/5b1decfc31ffb645469c7ffbd01aaca4b18181bd/data/nba-stats/nba-player-stats-202526-regular-season-per-game.csv</x:v>
      </x:c>
    </x:row>
    <x:row r="576" ht="21" customHeight="1">
      <x:c r="A576" s="64" t="n">
        <x:v>571</x:v>
      </x:c>
      <x:c r="B576" s="59" t="str">
        <x:v>Keon Johnson</x:v>
      </x:c>
      <x:c r="C576" s="65" t="str">
        <x:v>ORL</x:v>
      </x:c>
      <x:c r="D576" s="65" t="str">
        <x:v>SG</x:v>
      </x:c>
      <x:c r="E576" s="65" t="str">
        <x:v>SG</x:v>
      </x:c>
      <x:c r="F576" s="66"/>
      <x:c r="G576" s="67"/>
      <x:c r="H576" s="67" t="n">
        <x:v>0</x:v>
      </x:c>
      <x:c r="I576" s="67" t="n">
        <x:v>3.5</x:v>
      </x:c>
      <x:c r="J576" s="67" t="n">
        <x:v>0</x:v>
      </x:c>
      <x:c r="K576" s="67" t="str">
        <x:v>WATCH</x:v>
      </x:c>
      <x:c r="L576" s="67" t="n">
        <x:v>0</x:v>
      </x:c>
      <x:c r="M576" s="68" t="n">
        <x:v>0</x:v>
      </x:c>
      <x:c r="N576" s="69" t="str">
        <x:v>Available</x:v>
      </x:c>
      <x:c r="O576" s="62" t="str">
        <x:v>Camp/summer-depth watch entry; no reliable 2026-27 fantasy projection. Verify final NBA contract, roster status and role before draft use.</x:v>
      </x:c>
      <x:c r="P576" s="60"/>
      <x:c r="Q576" s="60"/>
      <x:c r="R576" s="60"/>
      <x:c r="S576" s="60" t="n">
        <x:v>0</x:v>
      </x:c>
      <x:c r="T576" s="72" t="str">
        <x:v>https://github.com/A-V29/NBA.Rosters/blob/main/2026.Summer.League.json</x:v>
      </x:c>
      <x:c r="U576" s="87" t="str">
        <x:v>WATCH</x:v>
      </x:c>
      <x:c r="V576" s="87" t="str">
        <x:v>LOW</x:v>
      </x:c>
      <x:c r="W576" s="87" t="str">
        <x:v>NONE</x:v>
      </x:c>
      <x:c r="X576" s="87" t="str">
        <x:v>CAMP/SUMMER</x:v>
      </x:c>
      <x:c r="Y576" s="87" t="str">
        <x:v>2026-09-28 master / roster context 2026-09-03+</x:v>
      </x:c>
      <x:c r="Z576" s="72" t="str">
        <x:v>https://github.com/A-V29/NBA.Rosters/blob/main/2026.Summer.League.json</x:v>
      </x:c>
      <x:c r="AA576" s="72" t="str">
        <x:v>https://github.com/ballacademy/NBA-head-to-head-/blob/5b1decfc31ffb645469c7ffbd01aaca4b18181bd/data/nba-stats/nba-player-stats-202526-regular-season-per-game.csv</x:v>
      </x:c>
    </x:row>
    <x:row r="577" ht="21" customHeight="1">
      <x:c r="A577" s="64" t="n">
        <x:v>572</x:v>
      </x:c>
      <x:c r="B577" s="59" t="str">
        <x:v>Keyshawn Bryant</x:v>
      </x:c>
      <x:c r="C577" s="65" t="str">
        <x:v>CHI</x:v>
      </x:c>
      <x:c r="D577" s="65" t="str">
        <x:v>PF</x:v>
      </x:c>
      <x:c r="E577" s="65" t="str">
        <x:v>F</x:v>
      </x:c>
      <x:c r="F577" s="66"/>
      <x:c r="G577" s="67"/>
      <x:c r="H577" s="67" t="n">
        <x:v>0</x:v>
      </x:c>
      <x:c r="I577" s="67" t="n">
        <x:v>3.5</x:v>
      </x:c>
      <x:c r="J577" s="67" t="n">
        <x:v>0</x:v>
      </x:c>
      <x:c r="K577" s="67" t="str">
        <x:v>WATCH</x:v>
      </x:c>
      <x:c r="L577" s="67" t="n">
        <x:v>0</x:v>
      </x:c>
      <x:c r="M577" s="68" t="n">
        <x:v>0</x:v>
      </x:c>
      <x:c r="N577" s="69" t="str">
        <x:v>Available</x:v>
      </x:c>
      <x:c r="O577" s="62" t="str">
        <x:v>Camp/summer-depth watch entry; no reliable 2026-27 fantasy projection. Verify final NBA contract, roster status and role before draft use.</x:v>
      </x:c>
      <x:c r="P577" s="60"/>
      <x:c r="Q577" s="60"/>
      <x:c r="R577" s="60"/>
      <x:c r="S577" s="60" t="n">
        <x:v>0</x:v>
      </x:c>
      <x:c r="T577" s="72" t="str">
        <x:v>https://github.com/A-V29/NBA.Rosters/blob/main/2026.Summer.League.json</x:v>
      </x:c>
      <x:c r="U577" s="87" t="str">
        <x:v>WATCH</x:v>
      </x:c>
      <x:c r="V577" s="87" t="str">
        <x:v>LOW</x:v>
      </x:c>
      <x:c r="W577" s="87" t="str">
        <x:v>NONE</x:v>
      </x:c>
      <x:c r="X577" s="87" t="str">
        <x:v>CAMP/SUMMER</x:v>
      </x:c>
      <x:c r="Y577" s="87" t="str">
        <x:v>2026-09-28 master / roster context 2026-09-03+</x:v>
      </x:c>
      <x:c r="Z577" s="72" t="str">
        <x:v>https://github.com/A-V29/NBA.Rosters/blob/main/2026.Summer.League.json</x:v>
      </x:c>
      <x:c r="AA577" s="72" t="str">
        <x:v>https://github.com/ballacademy/NBA-head-to-head-/blob/5b1decfc31ffb645469c7ffbd01aaca4b18181bd/data/nba-stats/nba-player-stats-202526-regular-season-per-game.csv</x:v>
      </x:c>
    </x:row>
    <x:row r="578" ht="21" customHeight="1">
      <x:c r="A578" s="64" t="n">
        <x:v>573</x:v>
      </x:c>
      <x:c r="B578" s="59" t="str">
        <x:v>Keyshawn Hall</x:v>
      </x:c>
      <x:c r="C578" s="65" t="str">
        <x:v>MIA</x:v>
      </x:c>
      <x:c r="D578" s="65" t="str">
        <x:v>SF</x:v>
      </x:c>
      <x:c r="E578" s="65" t="str">
        <x:v>GF</x:v>
      </x:c>
      <x:c r="F578" s="66"/>
      <x:c r="G578" s="67"/>
      <x:c r="H578" s="67" t="n">
        <x:v>0</x:v>
      </x:c>
      <x:c r="I578" s="67" t="n">
        <x:v>3.5</x:v>
      </x:c>
      <x:c r="J578" s="67" t="n">
        <x:v>0</x:v>
      </x:c>
      <x:c r="K578" s="67" t="str">
        <x:v>WATCH</x:v>
      </x:c>
      <x:c r="L578" s="67" t="n">
        <x:v>0</x:v>
      </x:c>
      <x:c r="M578" s="68" t="n">
        <x:v>0</x:v>
      </x:c>
      <x:c r="N578" s="69" t="str">
        <x:v>Available</x:v>
      </x:c>
      <x:c r="O578" s="62" t="str">
        <x:v>Camp/summer-depth watch entry; no reliable 2026-27 fantasy projection. Verify final NBA contract, roster status and role before draft use.</x:v>
      </x:c>
      <x:c r="P578" s="60"/>
      <x:c r="Q578" s="60"/>
      <x:c r="R578" s="60"/>
      <x:c r="S578" s="60" t="n">
        <x:v>0</x:v>
      </x:c>
      <x:c r="T578" s="72" t="str">
        <x:v>https://github.com/A-V29/NBA.Rosters/blob/main/2026.Summer.League.json</x:v>
      </x:c>
      <x:c r="U578" s="87" t="str">
        <x:v>WATCH</x:v>
      </x:c>
      <x:c r="V578" s="87" t="str">
        <x:v>LOW</x:v>
      </x:c>
      <x:c r="W578" s="87" t="str">
        <x:v>NONE</x:v>
      </x:c>
      <x:c r="X578" s="87" t="str">
        <x:v>CAMP/SUMMER</x:v>
      </x:c>
      <x:c r="Y578" s="87" t="str">
        <x:v>2026-09-28 master / roster context 2026-09-03+</x:v>
      </x:c>
      <x:c r="Z578" s="72" t="str">
        <x:v>https://github.com/A-V29/NBA.Rosters/blob/main/2026.Summer.League.json</x:v>
      </x:c>
      <x:c r="AA578" s="72" t="str">
        <x:v>https://github.com/ballacademy/NBA-head-to-head-/blob/5b1decfc31ffb645469c7ffbd01aaca4b18181bd/data/nba-stats/nba-player-stats-202526-regular-season-per-game.csv</x:v>
      </x:c>
    </x:row>
    <x:row r="579" ht="21" customHeight="1">
      <x:c r="A579" s="64" t="n">
        <x:v>574</x:v>
      </x:c>
      <x:c r="B579" s="59" t="str">
        <x:v>Kobe Johnson</x:v>
      </x:c>
      <x:c r="C579" s="65" t="str">
        <x:v>ATL</x:v>
      </x:c>
      <x:c r="D579" s="65" t="str">
        <x:v>SG</x:v>
      </x:c>
      <x:c r="E579" s="65" t="str">
        <x:v>SG</x:v>
      </x:c>
      <x:c r="F579" s="66"/>
      <x:c r="G579" s="67"/>
      <x:c r="H579" s="67" t="n">
        <x:v>0</x:v>
      </x:c>
      <x:c r="I579" s="67" t="n">
        <x:v>3.5</x:v>
      </x:c>
      <x:c r="J579" s="67" t="n">
        <x:v>0</x:v>
      </x:c>
      <x:c r="K579" s="67" t="str">
        <x:v>WATCH</x:v>
      </x:c>
      <x:c r="L579" s="67" t="n">
        <x:v>0</x:v>
      </x:c>
      <x:c r="M579" s="68" t="n">
        <x:v>0</x:v>
      </x:c>
      <x:c r="N579" s="69" t="str">
        <x:v>Available</x:v>
      </x:c>
      <x:c r="O579" s="62" t="str">
        <x:v>Camp/summer-depth watch entry; no reliable 2026-27 fantasy projection. Verify final NBA contract, roster status and role before draft use.</x:v>
      </x:c>
      <x:c r="P579" s="60"/>
      <x:c r="Q579" s="60"/>
      <x:c r="R579" s="60"/>
      <x:c r="S579" s="60" t="n">
        <x:v>0</x:v>
      </x:c>
      <x:c r="T579" s="72" t="str">
        <x:v>https://github.com/A-V29/NBA.Rosters/blob/main/2026.Summer.League.json</x:v>
      </x:c>
      <x:c r="U579" s="87" t="str">
        <x:v>WATCH</x:v>
      </x:c>
      <x:c r="V579" s="87" t="str">
        <x:v>LOW</x:v>
      </x:c>
      <x:c r="W579" s="87" t="str">
        <x:v>NONE</x:v>
      </x:c>
      <x:c r="X579" s="87" t="str">
        <x:v>CAMP/SUMMER</x:v>
      </x:c>
      <x:c r="Y579" s="87" t="str">
        <x:v>2026-09-28 master / roster context 2026-09-03+</x:v>
      </x:c>
      <x:c r="Z579" s="72" t="str">
        <x:v>https://github.com/A-V29/NBA.Rosters/blob/main/2026.Summer.League.json</x:v>
      </x:c>
      <x:c r="AA579" s="72" t="str">
        <x:v>https://github.com/ballacademy/NBA-head-to-head-/blob/5b1decfc31ffb645469c7ffbd01aaca4b18181bd/data/nba-stats/nba-player-stats-202526-regular-season-per-game.csv</x:v>
      </x:c>
    </x:row>
    <x:row r="580" ht="21" customHeight="1">
      <x:c r="A580" s="64" t="n">
        <x:v>575</x:v>
      </x:c>
      <x:c r="B580" s="59" t="str">
        <x:v>Kobe Knox</x:v>
      </x:c>
      <x:c r="C580" s="65" t="str">
        <x:v>ATL</x:v>
      </x:c>
      <x:c r="D580" s="65" t="str">
        <x:v>SF</x:v>
      </x:c>
      <x:c r="E580" s="65" t="str">
        <x:v>GF</x:v>
      </x:c>
      <x:c r="F580" s="66"/>
      <x:c r="G580" s="67"/>
      <x:c r="H580" s="67" t="n">
        <x:v>0</x:v>
      </x:c>
      <x:c r="I580" s="67" t="n">
        <x:v>3.5</x:v>
      </x:c>
      <x:c r="J580" s="67" t="n">
        <x:v>0</x:v>
      </x:c>
      <x:c r="K580" s="67" t="str">
        <x:v>WATCH</x:v>
      </x:c>
      <x:c r="L580" s="67" t="n">
        <x:v>0</x:v>
      </x:c>
      <x:c r="M580" s="68" t="n">
        <x:v>0</x:v>
      </x:c>
      <x:c r="N580" s="69" t="str">
        <x:v>Available</x:v>
      </x:c>
      <x:c r="O580" s="62" t="str">
        <x:v>Camp/summer-depth watch entry; no reliable 2026-27 fantasy projection. Verify final NBA contract, roster status and role before draft use.</x:v>
      </x:c>
      <x:c r="P580" s="60"/>
      <x:c r="Q580" s="60"/>
      <x:c r="R580" s="60"/>
      <x:c r="S580" s="60" t="n">
        <x:v>0</x:v>
      </x:c>
      <x:c r="T580" s="72" t="str">
        <x:v>https://github.com/A-V29/NBA.Rosters/blob/main/2026.Summer.League.json</x:v>
      </x:c>
      <x:c r="U580" s="87" t="str">
        <x:v>WATCH</x:v>
      </x:c>
      <x:c r="V580" s="87" t="str">
        <x:v>LOW</x:v>
      </x:c>
      <x:c r="W580" s="87" t="str">
        <x:v>NONE</x:v>
      </x:c>
      <x:c r="X580" s="87" t="str">
        <x:v>CAMP/SUMMER</x:v>
      </x:c>
      <x:c r="Y580" s="87" t="str">
        <x:v>2026-09-28 master / roster context 2026-09-03+</x:v>
      </x:c>
      <x:c r="Z580" s="72" t="str">
        <x:v>https://github.com/A-V29/NBA.Rosters/blob/main/2026.Summer.League.json</x:v>
      </x:c>
      <x:c r="AA580" s="72" t="str">
        <x:v>https://github.com/ballacademy/NBA-head-to-head-/blob/5b1decfc31ffb645469c7ffbd01aaca4b18181bd/data/nba-stats/nba-player-stats-202526-regular-season-per-game.csv</x:v>
      </x:c>
    </x:row>
    <x:row r="581" ht="21" customHeight="1">
      <x:c r="A581" s="64" t="n">
        <x:v>576</x:v>
      </x:c>
      <x:c r="B581" s="59" t="str">
        <x:v>Kobe Stewart</x:v>
      </x:c>
      <x:c r="C581" s="65" t="str">
        <x:v>MIL</x:v>
      </x:c>
      <x:c r="D581" s="65" t="str">
        <x:v>SF</x:v>
      </x:c>
      <x:c r="E581" s="65" t="str">
        <x:v>GF</x:v>
      </x:c>
      <x:c r="F581" s="66"/>
      <x:c r="G581" s="67"/>
      <x:c r="H581" s="67" t="n">
        <x:v>0</x:v>
      </x:c>
      <x:c r="I581" s="67" t="n">
        <x:v>3.5</x:v>
      </x:c>
      <x:c r="J581" s="67" t="n">
        <x:v>0</x:v>
      </x:c>
      <x:c r="K581" s="67" t="str">
        <x:v>WATCH</x:v>
      </x:c>
      <x:c r="L581" s="67" t="n">
        <x:v>0</x:v>
      </x:c>
      <x:c r="M581" s="68" t="n">
        <x:v>0</x:v>
      </x:c>
      <x:c r="N581" s="69" t="str">
        <x:v>Available</x:v>
      </x:c>
      <x:c r="O581" s="62" t="str">
        <x:v>Camp/summer-depth watch entry; no reliable 2026-27 fantasy projection. Verify final NBA contract, roster status and role before draft use.</x:v>
      </x:c>
      <x:c r="P581" s="60"/>
      <x:c r="Q581" s="60"/>
      <x:c r="R581" s="60"/>
      <x:c r="S581" s="60" t="n">
        <x:v>0</x:v>
      </x:c>
      <x:c r="T581" s="72" t="str">
        <x:v>https://github.com/A-V29/NBA.Rosters/blob/main/2026.Summer.League.json</x:v>
      </x:c>
      <x:c r="U581" s="87" t="str">
        <x:v>WATCH</x:v>
      </x:c>
      <x:c r="V581" s="87" t="str">
        <x:v>LOW</x:v>
      </x:c>
      <x:c r="W581" s="87" t="str">
        <x:v>NONE</x:v>
      </x:c>
      <x:c r="X581" s="87" t="str">
        <x:v>CAMP/SUMMER</x:v>
      </x:c>
      <x:c r="Y581" s="87" t="str">
        <x:v>2026-09-28 master / roster context 2026-09-03+</x:v>
      </x:c>
      <x:c r="Z581" s="72" t="str">
        <x:v>https://github.com/A-V29/NBA.Rosters/blob/main/2026.Summer.League.json</x:v>
      </x:c>
      <x:c r="AA581" s="72" t="str">
        <x:v>https://github.com/ballacademy/NBA-head-to-head-/blob/5b1decfc31ffb645469c7ffbd01aaca4b18181bd/data/nba-stats/nba-player-stats-202526-regular-season-per-game.csv</x:v>
      </x:c>
    </x:row>
    <x:row r="582" ht="21" customHeight="1">
      <x:c r="A582" s="64" t="n">
        <x:v>577</x:v>
      </x:c>
      <x:c r="B582" s="59" t="str">
        <x:v>Kuany Kuany</x:v>
      </x:c>
      <x:c r="C582" s="65" t="str">
        <x:v>MIL</x:v>
      </x:c>
      <x:c r="D582" s="65" t="str">
        <x:v>PF</x:v>
      </x:c>
      <x:c r="E582" s="65" t="str">
        <x:v>F</x:v>
      </x:c>
      <x:c r="F582" s="66"/>
      <x:c r="G582" s="67"/>
      <x:c r="H582" s="67" t="n">
        <x:v>0</x:v>
      </x:c>
      <x:c r="I582" s="67" t="n">
        <x:v>3.5</x:v>
      </x:c>
      <x:c r="J582" s="67" t="n">
        <x:v>0</x:v>
      </x:c>
      <x:c r="K582" s="67" t="str">
        <x:v>WATCH</x:v>
      </x:c>
      <x:c r="L582" s="67" t="n">
        <x:v>0</x:v>
      </x:c>
      <x:c r="M582" s="68" t="n">
        <x:v>0</x:v>
      </x:c>
      <x:c r="N582" s="69" t="str">
        <x:v>Available</x:v>
      </x:c>
      <x:c r="O582" s="62" t="str">
        <x:v>Camp/summer-depth watch entry; no reliable 2026-27 fantasy projection. Verify final NBA contract, roster status and role before draft use.</x:v>
      </x:c>
      <x:c r="P582" s="60"/>
      <x:c r="Q582" s="60"/>
      <x:c r="R582" s="60"/>
      <x:c r="S582" s="60" t="n">
        <x:v>0</x:v>
      </x:c>
      <x:c r="T582" s="72" t="str">
        <x:v>https://github.com/A-V29/NBA.Rosters/blob/main/2026.Summer.League.json</x:v>
      </x:c>
      <x:c r="U582" s="87" t="str">
        <x:v>WATCH</x:v>
      </x:c>
      <x:c r="V582" s="87" t="str">
        <x:v>LOW</x:v>
      </x:c>
      <x:c r="W582" s="87" t="str">
        <x:v>NONE</x:v>
      </x:c>
      <x:c r="X582" s="87" t="str">
        <x:v>CAMP/SUMMER</x:v>
      </x:c>
      <x:c r="Y582" s="87" t="str">
        <x:v>2026-09-28 master / roster context 2026-09-03+</x:v>
      </x:c>
      <x:c r="Z582" s="72" t="str">
        <x:v>https://github.com/A-V29/NBA.Rosters/blob/main/2026.Summer.League.json</x:v>
      </x:c>
      <x:c r="AA582" s="72" t="str">
        <x:v>https://github.com/ballacademy/NBA-head-to-head-/blob/5b1decfc31ffb645469c7ffbd01aaca4b18181bd/data/nba-stats/nba-player-stats-202526-regular-season-per-game.csv</x:v>
      </x:c>
    </x:row>
    <x:row r="583" ht="21" customHeight="1">
      <x:c r="A583" s="64" t="n">
        <x:v>578</x:v>
      </x:c>
      <x:c r="B583" s="59" t="str">
        <x:v>Kylan Boswell</x:v>
      </x:c>
      <x:c r="C583" s="65" t="str">
        <x:v>CHA</x:v>
      </x:c>
      <x:c r="D583" s="65" t="str">
        <x:v>PG</x:v>
      </x:c>
      <x:c r="E583" s="65" t="str">
        <x:v>PG</x:v>
      </x:c>
      <x:c r="F583" s="66"/>
      <x:c r="G583" s="67"/>
      <x:c r="H583" s="67" t="n">
        <x:v>0</x:v>
      </x:c>
      <x:c r="I583" s="67" t="n">
        <x:v>3.5</x:v>
      </x:c>
      <x:c r="J583" s="67" t="n">
        <x:v>0</x:v>
      </x:c>
      <x:c r="K583" s="67" t="str">
        <x:v>WATCH</x:v>
      </x:c>
      <x:c r="L583" s="67" t="n">
        <x:v>0</x:v>
      </x:c>
      <x:c r="M583" s="68" t="n">
        <x:v>0</x:v>
      </x:c>
      <x:c r="N583" s="69" t="str">
        <x:v>Available</x:v>
      </x:c>
      <x:c r="O583" s="62" t="str">
        <x:v>Camp/summer-depth watch entry; no reliable 2026-27 fantasy projection. Verify final NBA contract, roster status and role before draft use.</x:v>
      </x:c>
      <x:c r="P583" s="60"/>
      <x:c r="Q583" s="60"/>
      <x:c r="R583" s="60"/>
      <x:c r="S583" s="60" t="n">
        <x:v>0</x:v>
      </x:c>
      <x:c r="T583" s="72" t="str">
        <x:v>https://github.com/A-V29/NBA.Rosters/blob/main/2026.Summer.League.json</x:v>
      </x:c>
      <x:c r="U583" s="87" t="str">
        <x:v>WATCH</x:v>
      </x:c>
      <x:c r="V583" s="87" t="str">
        <x:v>LOW</x:v>
      </x:c>
      <x:c r="W583" s="87" t="str">
        <x:v>NONE</x:v>
      </x:c>
      <x:c r="X583" s="87" t="str">
        <x:v>CAMP/SUMMER</x:v>
      </x:c>
      <x:c r="Y583" s="87" t="str">
        <x:v>2026-09-28 master / roster context 2026-09-03+</x:v>
      </x:c>
      <x:c r="Z583" s="72" t="str">
        <x:v>https://github.com/A-V29/NBA.Rosters/blob/main/2026.Summer.League.json</x:v>
      </x:c>
      <x:c r="AA583" s="72" t="str">
        <x:v>https://github.com/ballacademy/NBA-head-to-head-/blob/5b1decfc31ffb645469c7ffbd01aaca4b18181bd/data/nba-stats/nba-player-stats-202526-regular-season-per-game.csv</x:v>
      </x:c>
    </x:row>
    <x:row r="584" ht="21" customHeight="1">
      <x:c r="A584" s="64" t="n">
        <x:v>579</x:v>
      </x:c>
      <x:c r="B584" s="59" t="str">
        <x:v>Kyle Mangas</x:v>
      </x:c>
      <x:c r="C584" s="65" t="str">
        <x:v>BOS</x:v>
      </x:c>
      <x:c r="D584" s="65" t="str">
        <x:v>PG</x:v>
      </x:c>
      <x:c r="E584" s="65" t="str">
        <x:v>G</x:v>
      </x:c>
      <x:c r="F584" s="66"/>
      <x:c r="G584" s="67"/>
      <x:c r="H584" s="67" t="n">
        <x:v>0</x:v>
      </x:c>
      <x:c r="I584" s="67" t="n">
        <x:v>3.5</x:v>
      </x:c>
      <x:c r="J584" s="67" t="n">
        <x:v>0</x:v>
      </x:c>
      <x:c r="K584" s="67" t="str">
        <x:v>WATCH</x:v>
      </x:c>
      <x:c r="L584" s="67" t="n">
        <x:v>0</x:v>
      </x:c>
      <x:c r="M584" s="68" t="n">
        <x:v>0</x:v>
      </x:c>
      <x:c r="N584" s="69" t="str">
        <x:v>Available</x:v>
      </x:c>
      <x:c r="O584" s="62" t="str">
        <x:v>Camp/summer-depth watch entry; no reliable 2026-27 fantasy projection. Verify final NBA contract, roster status and role before draft use.</x:v>
      </x:c>
      <x:c r="P584" s="60"/>
      <x:c r="Q584" s="60"/>
      <x:c r="R584" s="60"/>
      <x:c r="S584" s="60" t="n">
        <x:v>0</x:v>
      </x:c>
      <x:c r="T584" s="72" t="str">
        <x:v>https://github.com/A-V29/NBA.Rosters/blob/main/2026.Summer.League.json</x:v>
      </x:c>
      <x:c r="U584" s="87" t="str">
        <x:v>WATCH</x:v>
      </x:c>
      <x:c r="V584" s="87" t="str">
        <x:v>LOW</x:v>
      </x:c>
      <x:c r="W584" s="87" t="str">
        <x:v>NONE</x:v>
      </x:c>
      <x:c r="X584" s="87" t="str">
        <x:v>CAMP/SUMMER</x:v>
      </x:c>
      <x:c r="Y584" s="87" t="str">
        <x:v>2026-09-28 master / roster context 2026-09-03+</x:v>
      </x:c>
      <x:c r="Z584" s="72" t="str">
        <x:v>https://github.com/A-V29/NBA.Rosters/blob/main/2026.Summer.League.json</x:v>
      </x:c>
      <x:c r="AA584" s="72" t="str">
        <x:v>https://github.com/ballacademy/NBA-head-to-head-/blob/5b1decfc31ffb645469c7ffbd01aaca4b18181bd/data/nba-stats/nba-player-stats-202526-regular-season-per-game.csv</x:v>
      </x:c>
    </x:row>
    <x:row r="585" ht="21" customHeight="1">
      <x:c r="A585" s="64" t="n">
        <x:v>580</x:v>
      </x:c>
      <x:c r="B585" s="59" t="str">
        <x:v>Kylor Kelley</x:v>
      </x:c>
      <x:c r="C585" s="65" t="str">
        <x:v>UTA</x:v>
      </x:c>
      <x:c r="D585" s="65" t="str">
        <x:v>C</x:v>
      </x:c>
      <x:c r="E585" s="65" t="str">
        <x:v>FC</x:v>
      </x:c>
      <x:c r="F585" s="66"/>
      <x:c r="G585" s="67"/>
      <x:c r="H585" s="67" t="n">
        <x:v>0</x:v>
      </x:c>
      <x:c r="I585" s="67" t="n">
        <x:v>3.5</x:v>
      </x:c>
      <x:c r="J585" s="67" t="n">
        <x:v>0</x:v>
      </x:c>
      <x:c r="K585" s="67" t="str">
        <x:v>WATCH</x:v>
      </x:c>
      <x:c r="L585" s="67" t="n">
        <x:v>0</x:v>
      </x:c>
      <x:c r="M585" s="68" t="n">
        <x:v>0</x:v>
      </x:c>
      <x:c r="N585" s="69" t="str">
        <x:v>Available</x:v>
      </x:c>
      <x:c r="O585" s="62" t="str">
        <x:v>Camp/summer-depth watch entry; no reliable 2026-27 fantasy projection. Verify final NBA contract, roster status and role before draft use.</x:v>
      </x:c>
      <x:c r="P585" s="60"/>
      <x:c r="Q585" s="60"/>
      <x:c r="R585" s="60"/>
      <x:c r="S585" s="60" t="n">
        <x:v>0</x:v>
      </x:c>
      <x:c r="T585" s="72" t="str">
        <x:v>https://github.com/A-V29/NBA.Rosters/blob/main/2026.Summer.League.json</x:v>
      </x:c>
      <x:c r="U585" s="87" t="str">
        <x:v>WATCH</x:v>
      </x:c>
      <x:c r="V585" s="87" t="str">
        <x:v>LOW</x:v>
      </x:c>
      <x:c r="W585" s="87" t="str">
        <x:v>NONE</x:v>
      </x:c>
      <x:c r="X585" s="87" t="str">
        <x:v>CAMP/SUMMER</x:v>
      </x:c>
      <x:c r="Y585" s="87" t="str">
        <x:v>2026-09-28 master / roster context 2026-09-03+</x:v>
      </x:c>
      <x:c r="Z585" s="72" t="str">
        <x:v>https://github.com/A-V29/NBA.Rosters/blob/main/2026.Summer.League.json</x:v>
      </x:c>
      <x:c r="AA585" s="72" t="str">
        <x:v>https://github.com/ballacademy/NBA-head-to-head-/blob/5b1decfc31ffb645469c7ffbd01aaca4b18181bd/data/nba-stats/nba-player-stats-202526-regular-season-per-game.csv</x:v>
      </x:c>
    </x:row>
    <x:row r="586" ht="21" customHeight="1">
      <x:c r="A586" s="64" t="n">
        <x:v>581</x:v>
      </x:c>
      <x:c r="B586" s="59" t="str">
        <x:v>Lajae Jones</x:v>
      </x:c>
      <x:c r="C586" s="65" t="str">
        <x:v>GSW</x:v>
      </x:c>
      <x:c r="D586" s="65" t="str">
        <x:v>SF</x:v>
      </x:c>
      <x:c r="E586" s="65" t="str">
        <x:v>GF</x:v>
      </x:c>
      <x:c r="F586" s="66"/>
      <x:c r="G586" s="67"/>
      <x:c r="H586" s="67" t="n">
        <x:v>0</x:v>
      </x:c>
      <x:c r="I586" s="67" t="n">
        <x:v>3.5</x:v>
      </x:c>
      <x:c r="J586" s="67" t="n">
        <x:v>0</x:v>
      </x:c>
      <x:c r="K586" s="67" t="str">
        <x:v>WATCH</x:v>
      </x:c>
      <x:c r="L586" s="67" t="n">
        <x:v>0</x:v>
      </x:c>
      <x:c r="M586" s="68" t="n">
        <x:v>0</x:v>
      </x:c>
      <x:c r="N586" s="69" t="str">
        <x:v>Available</x:v>
      </x:c>
      <x:c r="O586" s="62" t="str">
        <x:v>Camp/summer-depth watch entry; no reliable 2026-27 fantasy projection. Verify final NBA contract, roster status and role before draft use.</x:v>
      </x:c>
      <x:c r="P586" s="60"/>
      <x:c r="Q586" s="60"/>
      <x:c r="R586" s="60"/>
      <x:c r="S586" s="60" t="n">
        <x:v>0</x:v>
      </x:c>
      <x:c r="T586" s="72" t="str">
        <x:v>https://github.com/A-V29/NBA.Rosters/blob/main/2026.Summer.League.json</x:v>
      </x:c>
      <x:c r="U586" s="87" t="str">
        <x:v>WATCH</x:v>
      </x:c>
      <x:c r="V586" s="87" t="str">
        <x:v>LOW</x:v>
      </x:c>
      <x:c r="W586" s="87" t="str">
        <x:v>NONE</x:v>
      </x:c>
      <x:c r="X586" s="87" t="str">
        <x:v>CAMP/SUMMER</x:v>
      </x:c>
      <x:c r="Y586" s="87" t="str">
        <x:v>2026-09-28 master / roster context 2026-09-03+</x:v>
      </x:c>
      <x:c r="Z586" s="72" t="str">
        <x:v>https://github.com/A-V29/NBA.Rosters/blob/main/2026.Summer.League.json</x:v>
      </x:c>
      <x:c r="AA586" s="72" t="str">
        <x:v>https://github.com/ballacademy/NBA-head-to-head-/blob/5b1decfc31ffb645469c7ffbd01aaca4b18181bd/data/nba-stats/nba-player-stats-202526-regular-season-per-game.csv</x:v>
      </x:c>
    </x:row>
    <x:row r="587" ht="21" customHeight="1">
      <x:c r="A587" s="64" t="n">
        <x:v>582</x:v>
      </x:c>
      <x:c r="B587" s="59" t="str">
        <x:v>Lamar Wilkerson</x:v>
      </x:c>
      <x:c r="C587" s="65" t="str">
        <x:v>OKC</x:v>
      </x:c>
      <x:c r="D587" s="65" t="str">
        <x:v>SF</x:v>
      </x:c>
      <x:c r="E587" s="65" t="str">
        <x:v>GF</x:v>
      </x:c>
      <x:c r="F587" s="66"/>
      <x:c r="G587" s="67"/>
      <x:c r="H587" s="67" t="n">
        <x:v>0</x:v>
      </x:c>
      <x:c r="I587" s="67" t="n">
        <x:v>3.5</x:v>
      </x:c>
      <x:c r="J587" s="67" t="n">
        <x:v>0</x:v>
      </x:c>
      <x:c r="K587" s="67" t="str">
        <x:v>WATCH</x:v>
      </x:c>
      <x:c r="L587" s="67" t="n">
        <x:v>0</x:v>
      </x:c>
      <x:c r="M587" s="68" t="n">
        <x:v>0</x:v>
      </x:c>
      <x:c r="N587" s="69" t="str">
        <x:v>Available</x:v>
      </x:c>
      <x:c r="O587" s="62" t="str">
        <x:v>Camp/summer-depth watch entry; no reliable 2026-27 fantasy projection. Verify final NBA contract, roster status and role before draft use.</x:v>
      </x:c>
      <x:c r="P587" s="60"/>
      <x:c r="Q587" s="60"/>
      <x:c r="R587" s="60"/>
      <x:c r="S587" s="60" t="n">
        <x:v>0</x:v>
      </x:c>
      <x:c r="T587" s="72" t="str">
        <x:v>https://github.com/A-V29/NBA.Rosters/blob/main/2026.Summer.League.json</x:v>
      </x:c>
      <x:c r="U587" s="87" t="str">
        <x:v>WATCH</x:v>
      </x:c>
      <x:c r="V587" s="87" t="str">
        <x:v>LOW</x:v>
      </x:c>
      <x:c r="W587" s="87" t="str">
        <x:v>NONE</x:v>
      </x:c>
      <x:c r="X587" s="87" t="str">
        <x:v>CAMP/SUMMER</x:v>
      </x:c>
      <x:c r="Y587" s="87" t="str">
        <x:v>2026-09-28 master / roster context 2026-09-03+</x:v>
      </x:c>
      <x:c r="Z587" s="72" t="str">
        <x:v>https://github.com/A-V29/NBA.Rosters/blob/main/2026.Summer.League.json</x:v>
      </x:c>
      <x:c r="AA587" s="72" t="str">
        <x:v>https://github.com/ballacademy/NBA-head-to-head-/blob/5b1decfc31ffb645469c7ffbd01aaca4b18181bd/data/nba-stats/nba-player-stats-202526-regular-season-per-game.csv</x:v>
      </x:c>
    </x:row>
    <x:row r="588" ht="21" customHeight="1">
      <x:c r="A588" s="64" t="n">
        <x:v>583</x:v>
      </x:c>
      <x:c r="B588" s="59" t="str">
        <x:v>Lance Ware</x:v>
      </x:c>
      <x:c r="C588" s="65" t="str">
        <x:v>NYK</x:v>
      </x:c>
      <x:c r="D588" s="65" t="str">
        <x:v>PF</x:v>
      </x:c>
      <x:c r="E588" s="65" t="str">
        <x:v>F</x:v>
      </x:c>
      <x:c r="F588" s="66"/>
      <x:c r="G588" s="67"/>
      <x:c r="H588" s="67" t="n">
        <x:v>0</x:v>
      </x:c>
      <x:c r="I588" s="67" t="n">
        <x:v>3.5</x:v>
      </x:c>
      <x:c r="J588" s="67" t="n">
        <x:v>0</x:v>
      </x:c>
      <x:c r="K588" s="67" t="str">
        <x:v>WATCH</x:v>
      </x:c>
      <x:c r="L588" s="67" t="n">
        <x:v>0</x:v>
      </x:c>
      <x:c r="M588" s="68" t="n">
        <x:v>0</x:v>
      </x:c>
      <x:c r="N588" s="69" t="str">
        <x:v>Available</x:v>
      </x:c>
      <x:c r="O588" s="62" t="str">
        <x:v>Camp/summer-depth watch entry; no reliable 2026-27 fantasy projection. Verify final NBA contract, roster status and role before draft use.</x:v>
      </x:c>
      <x:c r="P588" s="60"/>
      <x:c r="Q588" s="60"/>
      <x:c r="R588" s="60"/>
      <x:c r="S588" s="60" t="n">
        <x:v>0</x:v>
      </x:c>
      <x:c r="T588" s="72" t="str">
        <x:v>https://github.com/A-V29/NBA.Rosters/blob/main/2026.Summer.League.json</x:v>
      </x:c>
      <x:c r="U588" s="87" t="str">
        <x:v>WATCH</x:v>
      </x:c>
      <x:c r="V588" s="87" t="str">
        <x:v>LOW</x:v>
      </x:c>
      <x:c r="W588" s="87" t="str">
        <x:v>NONE</x:v>
      </x:c>
      <x:c r="X588" s="87" t="str">
        <x:v>CAMP/SUMMER</x:v>
      </x:c>
      <x:c r="Y588" s="87" t="str">
        <x:v>2026-09-28 master / roster context 2026-09-03+</x:v>
      </x:c>
      <x:c r="Z588" s="72" t="str">
        <x:v>https://github.com/A-V29/NBA.Rosters/blob/main/2026.Summer.League.json</x:v>
      </x:c>
      <x:c r="AA588" s="72" t="str">
        <x:v>https://github.com/ballacademy/NBA-head-to-head-/blob/5b1decfc31ffb645469c7ffbd01aaca4b18181bd/data/nba-stats/nba-player-stats-202526-regular-season-per-game.csv</x:v>
      </x:c>
    </x:row>
    <x:row r="589" ht="21" customHeight="1">
      <x:c r="A589" s="64" t="n">
        <x:v>584</x:v>
      </x:c>
      <x:c r="B589" s="59" t="str">
        <x:v>Langston Wilson</x:v>
      </x:c>
      <x:c r="C589" s="65" t="str">
        <x:v>NYK</x:v>
      </x:c>
      <x:c r="D589" s="65" t="str">
        <x:v>PF</x:v>
      </x:c>
      <x:c r="E589" s="65" t="str">
        <x:v>F</x:v>
      </x:c>
      <x:c r="F589" s="66"/>
      <x:c r="G589" s="67"/>
      <x:c r="H589" s="67" t="n">
        <x:v>0</x:v>
      </x:c>
      <x:c r="I589" s="67" t="n">
        <x:v>3.5</x:v>
      </x:c>
      <x:c r="J589" s="67" t="n">
        <x:v>0</x:v>
      </x:c>
      <x:c r="K589" s="67" t="str">
        <x:v>WATCH</x:v>
      </x:c>
      <x:c r="L589" s="67" t="n">
        <x:v>0</x:v>
      </x:c>
      <x:c r="M589" s="68" t="n">
        <x:v>0</x:v>
      </x:c>
      <x:c r="N589" s="69" t="str">
        <x:v>Available</x:v>
      </x:c>
      <x:c r="O589" s="62" t="str">
        <x:v>Camp/summer-depth watch entry; no reliable 2026-27 fantasy projection. Verify final NBA contract, roster status and role before draft use.</x:v>
      </x:c>
      <x:c r="P589" s="60"/>
      <x:c r="Q589" s="60"/>
      <x:c r="R589" s="60"/>
      <x:c r="S589" s="60" t="n">
        <x:v>0</x:v>
      </x:c>
      <x:c r="T589" s="72" t="str">
        <x:v>https://github.com/A-V29/NBA.Rosters/blob/main/2026.Summer.League.json</x:v>
      </x:c>
      <x:c r="U589" s="87" t="str">
        <x:v>WATCH</x:v>
      </x:c>
      <x:c r="V589" s="87" t="str">
        <x:v>LOW</x:v>
      </x:c>
      <x:c r="W589" s="87" t="str">
        <x:v>NONE</x:v>
      </x:c>
      <x:c r="X589" s="87" t="str">
        <x:v>CAMP/SUMMER</x:v>
      </x:c>
      <x:c r="Y589" s="87" t="str">
        <x:v>2026-09-28 master / roster context 2026-09-03+</x:v>
      </x:c>
      <x:c r="Z589" s="72" t="str">
        <x:v>https://github.com/A-V29/NBA.Rosters/blob/main/2026.Summer.League.json</x:v>
      </x:c>
      <x:c r="AA589" s="72" t="str">
        <x:v>https://github.com/ballacademy/NBA-head-to-head-/blob/5b1decfc31ffb645469c7ffbd01aaca4b18181bd/data/nba-stats/nba-player-stats-202526-regular-season-per-game.csv</x:v>
      </x:c>
    </x:row>
    <x:row r="590" ht="21" customHeight="1">
      <x:c r="A590" s="64" t="n">
        <x:v>585</x:v>
      </x:c>
      <x:c r="B590" s="59" t="str">
        <x:v>Latavious Mitchell</x:v>
      </x:c>
      <x:c r="C590" s="65" t="str">
        <x:v>DET</x:v>
      </x:c>
      <x:c r="D590" s="65" t="str">
        <x:v>PF</x:v>
      </x:c>
      <x:c r="E590" s="65" t="str">
        <x:v>F</x:v>
      </x:c>
      <x:c r="F590" s="66"/>
      <x:c r="G590" s="67"/>
      <x:c r="H590" s="67" t="n">
        <x:v>0</x:v>
      </x:c>
      <x:c r="I590" s="67" t="n">
        <x:v>3.5</x:v>
      </x:c>
      <x:c r="J590" s="67" t="n">
        <x:v>0</x:v>
      </x:c>
      <x:c r="K590" s="67" t="str">
        <x:v>WATCH</x:v>
      </x:c>
      <x:c r="L590" s="67" t="n">
        <x:v>0</x:v>
      </x:c>
      <x:c r="M590" s="68" t="n">
        <x:v>0</x:v>
      </x:c>
      <x:c r="N590" s="69" t="str">
        <x:v>Available</x:v>
      </x:c>
      <x:c r="O590" s="62" t="str">
        <x:v>Camp/summer-depth watch entry; no reliable 2026-27 fantasy projection. Verify final NBA contract, roster status and role before draft use.</x:v>
      </x:c>
      <x:c r="P590" s="60"/>
      <x:c r="Q590" s="60"/>
      <x:c r="R590" s="60"/>
      <x:c r="S590" s="60" t="n">
        <x:v>0</x:v>
      </x:c>
      <x:c r="T590" s="72" t="str">
        <x:v>https://github.com/A-V29/NBA.Rosters/blob/main/2026.Summer.League.json</x:v>
      </x:c>
      <x:c r="U590" s="87" t="str">
        <x:v>WATCH</x:v>
      </x:c>
      <x:c r="V590" s="87" t="str">
        <x:v>LOW</x:v>
      </x:c>
      <x:c r="W590" s="87" t="str">
        <x:v>NONE</x:v>
      </x:c>
      <x:c r="X590" s="87" t="str">
        <x:v>CAMP/SUMMER</x:v>
      </x:c>
      <x:c r="Y590" s="87" t="str">
        <x:v>2026-09-28 master / roster context 2026-09-03+</x:v>
      </x:c>
      <x:c r="Z590" s="72" t="str">
        <x:v>https://github.com/A-V29/NBA.Rosters/blob/main/2026.Summer.League.json</x:v>
      </x:c>
      <x:c r="AA590" s="72" t="str">
        <x:v>https://github.com/ballacademy/NBA-head-to-head-/blob/5b1decfc31ffb645469c7ffbd01aaca4b18181bd/data/nba-stats/nba-player-stats-202526-regular-season-per-game.csv</x:v>
      </x:c>
    </x:row>
    <x:row r="591" ht="21" customHeight="1">
      <x:c r="A591" s="64" t="n">
        <x:v>586</x:v>
      </x:c>
      <x:c r="B591" s="59" t="str">
        <x:v>Lester Quinones</x:v>
      </x:c>
      <x:c r="C591" s="65" t="str">
        <x:v>ORL</x:v>
      </x:c>
      <x:c r="D591" s="65" t="str">
        <x:v>SG</x:v>
      </x:c>
      <x:c r="E591" s="65" t="str">
        <x:v>SG</x:v>
      </x:c>
      <x:c r="F591" s="66"/>
      <x:c r="G591" s="67"/>
      <x:c r="H591" s="67" t="n">
        <x:v>0</x:v>
      </x:c>
      <x:c r="I591" s="67" t="n">
        <x:v>3.5</x:v>
      </x:c>
      <x:c r="J591" s="67" t="n">
        <x:v>0</x:v>
      </x:c>
      <x:c r="K591" s="67" t="str">
        <x:v>WATCH</x:v>
      </x:c>
      <x:c r="L591" s="67" t="n">
        <x:v>0</x:v>
      </x:c>
      <x:c r="M591" s="68" t="n">
        <x:v>0</x:v>
      </x:c>
      <x:c r="N591" s="69" t="str">
        <x:v>Available</x:v>
      </x:c>
      <x:c r="O591" s="62" t="str">
        <x:v>Camp/summer-depth watch entry; no reliable 2026-27 fantasy projection. Verify final NBA contract, roster status and role before draft use.</x:v>
      </x:c>
      <x:c r="P591" s="60"/>
      <x:c r="Q591" s="60"/>
      <x:c r="R591" s="60"/>
      <x:c r="S591" s="60" t="n">
        <x:v>0</x:v>
      </x:c>
      <x:c r="T591" s="72" t="str">
        <x:v>https://github.com/A-V29/NBA.Rosters/blob/main/2026.Summer.League.json</x:v>
      </x:c>
      <x:c r="U591" s="87" t="str">
        <x:v>WATCH</x:v>
      </x:c>
      <x:c r="V591" s="87" t="str">
        <x:v>LOW</x:v>
      </x:c>
      <x:c r="W591" s="87" t="str">
        <x:v>NONE</x:v>
      </x:c>
      <x:c r="X591" s="87" t="str">
        <x:v>CAMP/SUMMER</x:v>
      </x:c>
      <x:c r="Y591" s="87" t="str">
        <x:v>2026-09-28 master / roster context 2026-09-03+</x:v>
      </x:c>
      <x:c r="Z591" s="72" t="str">
        <x:v>https://github.com/A-V29/NBA.Rosters/blob/main/2026.Summer.League.json</x:v>
      </x:c>
      <x:c r="AA591" s="72" t="str">
        <x:v>https://github.com/ballacademy/NBA-head-to-head-/blob/5b1decfc31ffb645469c7ffbd01aaca4b18181bd/data/nba-stats/nba-player-stats-202526-regular-season-per-game.csv</x:v>
      </x:c>
    </x:row>
    <x:row r="592" ht="21" customHeight="1">
      <x:c r="A592" s="64" t="n">
        <x:v>587</x:v>
      </x:c>
      <x:c r="B592" s="59" t="str">
        <x:v>Liam Robbins</x:v>
      </x:c>
      <x:c r="C592" s="65" t="str">
        <x:v>NYK</x:v>
      </x:c>
      <x:c r="D592" s="65" t="str">
        <x:v>C</x:v>
      </x:c>
      <x:c r="E592" s="65" t="str">
        <x:v>C</x:v>
      </x:c>
      <x:c r="F592" s="66"/>
      <x:c r="G592" s="67"/>
      <x:c r="H592" s="67" t="n">
        <x:v>0</x:v>
      </x:c>
      <x:c r="I592" s="67" t="n">
        <x:v>3.5</x:v>
      </x:c>
      <x:c r="J592" s="67" t="n">
        <x:v>0</x:v>
      </x:c>
      <x:c r="K592" s="67" t="str">
        <x:v>WATCH</x:v>
      </x:c>
      <x:c r="L592" s="67" t="n">
        <x:v>0</x:v>
      </x:c>
      <x:c r="M592" s="68" t="n">
        <x:v>0</x:v>
      </x:c>
      <x:c r="N592" s="69" t="str">
        <x:v>Available</x:v>
      </x:c>
      <x:c r="O592" s="62" t="str">
        <x:v>Camp/summer-depth watch entry; no reliable 2026-27 fantasy projection. Verify final NBA contract, roster status and role before draft use.</x:v>
      </x:c>
      <x:c r="P592" s="60"/>
      <x:c r="Q592" s="60"/>
      <x:c r="R592" s="60"/>
      <x:c r="S592" s="60" t="n">
        <x:v>0</x:v>
      </x:c>
      <x:c r="T592" s="72" t="str">
        <x:v>https://github.com/A-V29/NBA.Rosters/blob/main/2026.Summer.League.json</x:v>
      </x:c>
      <x:c r="U592" s="87" t="str">
        <x:v>WATCH</x:v>
      </x:c>
      <x:c r="V592" s="87" t="str">
        <x:v>LOW</x:v>
      </x:c>
      <x:c r="W592" s="87" t="str">
        <x:v>NONE</x:v>
      </x:c>
      <x:c r="X592" s="87" t="str">
        <x:v>CAMP/SUMMER</x:v>
      </x:c>
      <x:c r="Y592" s="87" t="str">
        <x:v>2026-09-28 master / roster context 2026-09-03+</x:v>
      </x:c>
      <x:c r="Z592" s="72" t="str">
        <x:v>https://github.com/A-V29/NBA.Rosters/blob/main/2026.Summer.League.json</x:v>
      </x:c>
      <x:c r="AA592" s="72" t="str">
        <x:v>https://github.com/ballacademy/NBA-head-to-head-/blob/5b1decfc31ffb645469c7ffbd01aaca4b18181bd/data/nba-stats/nba-player-stats-202526-regular-season-per-game.csv</x:v>
      </x:c>
    </x:row>
    <x:row r="593" ht="21" customHeight="1">
      <x:c r="A593" s="64" t="n">
        <x:v>588</x:v>
      </x:c>
      <x:c r="B593" s="59" t="str">
        <x:v>Luke Goode</x:v>
      </x:c>
      <x:c r="C593" s="65" t="str">
        <x:v>LAL</x:v>
      </x:c>
      <x:c r="D593" s="65" t="str">
        <x:v>PF</x:v>
      </x:c>
      <x:c r="E593" s="65" t="str">
        <x:v>F</x:v>
      </x:c>
      <x:c r="F593" s="66"/>
      <x:c r="G593" s="67"/>
      <x:c r="H593" s="67" t="n">
        <x:v>0</x:v>
      </x:c>
      <x:c r="I593" s="67" t="n">
        <x:v>3.5</x:v>
      </x:c>
      <x:c r="J593" s="67" t="n">
        <x:v>0</x:v>
      </x:c>
      <x:c r="K593" s="67" t="str">
        <x:v>WATCH</x:v>
      </x:c>
      <x:c r="L593" s="67" t="n">
        <x:v>0</x:v>
      </x:c>
      <x:c r="M593" s="68" t="n">
        <x:v>0</x:v>
      </x:c>
      <x:c r="N593" s="69" t="str">
        <x:v>Available</x:v>
      </x:c>
      <x:c r="O593" s="62" t="str">
        <x:v>Camp/summer-depth watch entry; no reliable 2026-27 fantasy projection. Verify final NBA contract, roster status and role before draft use.</x:v>
      </x:c>
      <x:c r="P593" s="60"/>
      <x:c r="Q593" s="60"/>
      <x:c r="R593" s="60"/>
      <x:c r="S593" s="60" t="n">
        <x:v>0</x:v>
      </x:c>
      <x:c r="T593" s="72" t="str">
        <x:v>https://github.com/A-V29/NBA.Rosters/blob/main/2026.Summer.League.json</x:v>
      </x:c>
      <x:c r="U593" s="87" t="str">
        <x:v>WATCH</x:v>
      </x:c>
      <x:c r="V593" s="87" t="str">
        <x:v>LOW</x:v>
      </x:c>
      <x:c r="W593" s="87" t="str">
        <x:v>NONE</x:v>
      </x:c>
      <x:c r="X593" s="87" t="str">
        <x:v>CAMP/SUMMER</x:v>
      </x:c>
      <x:c r="Y593" s="87" t="str">
        <x:v>2026-09-28 master / roster context 2026-09-03+</x:v>
      </x:c>
      <x:c r="Z593" s="72" t="str">
        <x:v>https://github.com/A-V29/NBA.Rosters/blob/main/2026.Summer.League.json</x:v>
      </x:c>
      <x:c r="AA593" s="72" t="str">
        <x:v>https://github.com/ballacademy/NBA-head-to-head-/blob/5b1decfc31ffb645469c7ffbd01aaca4b18181bd/data/nba-stats/nba-player-stats-202526-regular-season-per-game.csv</x:v>
      </x:c>
    </x:row>
    <x:row r="594" ht="21" customHeight="1">
      <x:c r="A594" s="64" t="n">
        <x:v>589</x:v>
      </x:c>
      <x:c r="B594" s="59" t="str">
        <x:v>Malik Dia</x:v>
      </x:c>
      <x:c r="C594" s="65" t="str">
        <x:v>NOP</x:v>
      </x:c>
      <x:c r="D594" s="65" t="str">
        <x:v>C</x:v>
      </x:c>
      <x:c r="E594" s="65" t="str">
        <x:v>FC</x:v>
      </x:c>
      <x:c r="F594" s="66"/>
      <x:c r="G594" s="67"/>
      <x:c r="H594" s="67" t="n">
        <x:v>0</x:v>
      </x:c>
      <x:c r="I594" s="67" t="n">
        <x:v>3.5</x:v>
      </x:c>
      <x:c r="J594" s="67" t="n">
        <x:v>0</x:v>
      </x:c>
      <x:c r="K594" s="67" t="str">
        <x:v>WATCH</x:v>
      </x:c>
      <x:c r="L594" s="67" t="n">
        <x:v>0</x:v>
      </x:c>
      <x:c r="M594" s="68" t="n">
        <x:v>0</x:v>
      </x:c>
      <x:c r="N594" s="69" t="str">
        <x:v>Available</x:v>
      </x:c>
      <x:c r="O594" s="62" t="str">
        <x:v>Camp/summer-depth watch entry; no reliable 2026-27 fantasy projection. Verify final NBA contract, roster status and role before draft use.</x:v>
      </x:c>
      <x:c r="P594" s="60"/>
      <x:c r="Q594" s="60"/>
      <x:c r="R594" s="60"/>
      <x:c r="S594" s="60" t="n">
        <x:v>0</x:v>
      </x:c>
      <x:c r="T594" s="72" t="str">
        <x:v>https://github.com/A-V29/NBA.Rosters/blob/main/2026.Summer.League.json</x:v>
      </x:c>
      <x:c r="U594" s="87" t="str">
        <x:v>WATCH</x:v>
      </x:c>
      <x:c r="V594" s="87" t="str">
        <x:v>LOW</x:v>
      </x:c>
      <x:c r="W594" s="87" t="str">
        <x:v>NONE</x:v>
      </x:c>
      <x:c r="X594" s="87" t="str">
        <x:v>CAMP/SUMMER</x:v>
      </x:c>
      <x:c r="Y594" s="87" t="str">
        <x:v>2026-09-28 master / roster context 2026-09-03+</x:v>
      </x:c>
      <x:c r="Z594" s="72" t="str">
        <x:v>https://github.com/A-V29/NBA.Rosters/blob/main/2026.Summer.League.json</x:v>
      </x:c>
      <x:c r="AA594" s="72" t="str">
        <x:v>https://github.com/ballacademy/NBA-head-to-head-/blob/5b1decfc31ffb645469c7ffbd01aaca4b18181bd/data/nba-stats/nba-player-stats-202526-regular-season-per-game.csv</x:v>
      </x:c>
    </x:row>
    <x:row r="595" ht="21" customHeight="1">
      <x:c r="A595" s="64" t="n">
        <x:v>590</x:v>
      </x:c>
      <x:c r="B595" s="59" t="str">
        <x:v>Malik Reneau</x:v>
      </x:c>
      <x:c r="C595" s="65" t="str">
        <x:v>ORL</x:v>
      </x:c>
      <x:c r="D595" s="65" t="str">
        <x:v>PF</x:v>
      </x:c>
      <x:c r="E595" s="65" t="str">
        <x:v>F</x:v>
      </x:c>
      <x:c r="F595" s="66"/>
      <x:c r="G595" s="67"/>
      <x:c r="H595" s="67" t="n">
        <x:v>0</x:v>
      </x:c>
      <x:c r="I595" s="67" t="n">
        <x:v>3.5</x:v>
      </x:c>
      <x:c r="J595" s="67" t="n">
        <x:v>0</x:v>
      </x:c>
      <x:c r="K595" s="67" t="str">
        <x:v>WATCH</x:v>
      </x:c>
      <x:c r="L595" s="67" t="n">
        <x:v>0</x:v>
      </x:c>
      <x:c r="M595" s="68" t="n">
        <x:v>0</x:v>
      </x:c>
      <x:c r="N595" s="69" t="str">
        <x:v>Available</x:v>
      </x:c>
      <x:c r="O595" s="62" t="str">
        <x:v>Camp/summer-depth watch entry; no reliable 2026-27 fantasy projection. Verify final NBA contract, roster status and role before draft use.</x:v>
      </x:c>
      <x:c r="P595" s="60"/>
      <x:c r="Q595" s="60"/>
      <x:c r="R595" s="60"/>
      <x:c r="S595" s="60" t="n">
        <x:v>0</x:v>
      </x:c>
      <x:c r="T595" s="72" t="str">
        <x:v>https://github.com/A-V29/NBA.Rosters/blob/main/2026.Summer.League.json</x:v>
      </x:c>
      <x:c r="U595" s="87" t="str">
        <x:v>WATCH</x:v>
      </x:c>
      <x:c r="V595" s="87" t="str">
        <x:v>LOW</x:v>
      </x:c>
      <x:c r="W595" s="87" t="str">
        <x:v>NONE</x:v>
      </x:c>
      <x:c r="X595" s="87" t="str">
        <x:v>CAMP/SUMMER</x:v>
      </x:c>
      <x:c r="Y595" s="87" t="str">
        <x:v>2026-09-28 master / roster context 2026-09-03+</x:v>
      </x:c>
      <x:c r="Z595" s="72" t="str">
        <x:v>https://github.com/A-V29/NBA.Rosters/blob/main/2026.Summer.League.json</x:v>
      </x:c>
      <x:c r="AA595" s="72" t="str">
        <x:v>https://github.com/ballacademy/NBA-head-to-head-/blob/5b1decfc31ffb645469c7ffbd01aaca4b18181bd/data/nba-stats/nba-player-stats-202526-regular-season-per-game.csv</x:v>
      </x:c>
    </x:row>
    <x:row r="596" ht="21" customHeight="1">
      <x:c r="A596" s="64" t="n">
        <x:v>591</x:v>
      </x:c>
      <x:c r="B596" s="59" t="str">
        <x:v>Malik Thomas</x:v>
      </x:c>
      <x:c r="C596" s="65" t="str">
        <x:v>TOR</x:v>
      </x:c>
      <x:c r="D596" s="65" t="str">
        <x:v>PG</x:v>
      </x:c>
      <x:c r="E596" s="65" t="str">
        <x:v>G</x:v>
      </x:c>
      <x:c r="F596" s="66"/>
      <x:c r="G596" s="67"/>
      <x:c r="H596" s="67" t="n">
        <x:v>0</x:v>
      </x:c>
      <x:c r="I596" s="67" t="n">
        <x:v>3.5</x:v>
      </x:c>
      <x:c r="J596" s="67" t="n">
        <x:v>0</x:v>
      </x:c>
      <x:c r="K596" s="67" t="str">
        <x:v>WATCH</x:v>
      </x:c>
      <x:c r="L596" s="67" t="n">
        <x:v>0</x:v>
      </x:c>
      <x:c r="M596" s="68" t="n">
        <x:v>0</x:v>
      </x:c>
      <x:c r="N596" s="69" t="str">
        <x:v>Available</x:v>
      </x:c>
      <x:c r="O596" s="62" t="str">
        <x:v>Camp/summer-depth watch entry; no reliable 2026-27 fantasy projection. Verify final NBA contract, roster status and role before draft use.</x:v>
      </x:c>
      <x:c r="P596" s="60"/>
      <x:c r="Q596" s="60"/>
      <x:c r="R596" s="60"/>
      <x:c r="S596" s="60" t="n">
        <x:v>0</x:v>
      </x:c>
      <x:c r="T596" s="72" t="str">
        <x:v>https://github.com/A-V29/NBA.Rosters/blob/main/2026.Summer.League.json</x:v>
      </x:c>
      <x:c r="U596" s="87" t="str">
        <x:v>WATCH</x:v>
      </x:c>
      <x:c r="V596" s="87" t="str">
        <x:v>LOW</x:v>
      </x:c>
      <x:c r="W596" s="87" t="str">
        <x:v>NONE</x:v>
      </x:c>
      <x:c r="X596" s="87" t="str">
        <x:v>CAMP/SUMMER</x:v>
      </x:c>
      <x:c r="Y596" s="87" t="str">
        <x:v>2026-09-28 master / roster context 2026-09-03+</x:v>
      </x:c>
      <x:c r="Z596" s="72" t="str">
        <x:v>https://github.com/A-V29/NBA.Rosters/blob/main/2026.Summer.League.json</x:v>
      </x:c>
      <x:c r="AA596" s="72" t="str">
        <x:v>https://github.com/ballacademy/NBA-head-to-head-/blob/5b1decfc31ffb645469c7ffbd01aaca4b18181bd/data/nba-stats/nba-player-stats-202526-regular-season-per-game.csv</x:v>
      </x:c>
    </x:row>
    <x:row r="597" ht="21" customHeight="1">
      <x:c r="A597" s="64" t="n">
        <x:v>592</x:v>
      </x:c>
      <x:c r="B597" s="59" t="str">
        <x:v>Malik Williams</x:v>
      </x:c>
      <x:c r="C597" s="65" t="str">
        <x:v>CHI</x:v>
      </x:c>
      <x:c r="D597" s="65" t="str">
        <x:v>C</x:v>
      </x:c>
      <x:c r="E597" s="65" t="str">
        <x:v>C</x:v>
      </x:c>
      <x:c r="F597" s="66"/>
      <x:c r="G597" s="67"/>
      <x:c r="H597" s="67" t="n">
        <x:v>0</x:v>
      </x:c>
      <x:c r="I597" s="67" t="n">
        <x:v>3.5</x:v>
      </x:c>
      <x:c r="J597" s="67" t="n">
        <x:v>0</x:v>
      </x:c>
      <x:c r="K597" s="67" t="str">
        <x:v>WATCH</x:v>
      </x:c>
      <x:c r="L597" s="67" t="n">
        <x:v>0</x:v>
      </x:c>
      <x:c r="M597" s="68" t="n">
        <x:v>0</x:v>
      </x:c>
      <x:c r="N597" s="69" t="str">
        <x:v>Available</x:v>
      </x:c>
      <x:c r="O597" s="62" t="str">
        <x:v>Camp/summer-depth watch entry; no reliable 2026-27 fantasy projection. Verify final NBA contract, roster status and role before draft use.</x:v>
      </x:c>
      <x:c r="P597" s="60"/>
      <x:c r="Q597" s="60"/>
      <x:c r="R597" s="60"/>
      <x:c r="S597" s="60" t="n">
        <x:v>0</x:v>
      </x:c>
      <x:c r="T597" s="72" t="str">
        <x:v>https://github.com/A-V29/NBA.Rosters/blob/main/2026.Summer.League.json</x:v>
      </x:c>
      <x:c r="U597" s="87" t="str">
        <x:v>WATCH</x:v>
      </x:c>
      <x:c r="V597" s="87" t="str">
        <x:v>LOW</x:v>
      </x:c>
      <x:c r="W597" s="87" t="str">
        <x:v>NONE</x:v>
      </x:c>
      <x:c r="X597" s="87" t="str">
        <x:v>CAMP/SUMMER</x:v>
      </x:c>
      <x:c r="Y597" s="87" t="str">
        <x:v>2026-09-28 master / roster context 2026-09-03+</x:v>
      </x:c>
      <x:c r="Z597" s="72" t="str">
        <x:v>https://github.com/A-V29/NBA.Rosters/blob/main/2026.Summer.League.json</x:v>
      </x:c>
      <x:c r="AA597" s="72" t="str">
        <x:v>https://github.com/ballacademy/NBA-head-to-head-/blob/5b1decfc31ffb645469c7ffbd01aaca4b18181bd/data/nba-stats/nba-player-stats-202526-regular-season-per-game.csv</x:v>
      </x:c>
    </x:row>
    <x:row r="598" ht="21" customHeight="1">
      <x:c r="A598" s="64" t="n">
        <x:v>593</x:v>
      </x:c>
      <x:c r="B598" s="59" t="str">
        <x:v>Maliq Brown</x:v>
      </x:c>
      <x:c r="C598" s="65" t="str">
        <x:v>SAS</x:v>
      </x:c>
      <x:c r="D598" s="65" t="str">
        <x:v>PF</x:v>
      </x:c>
      <x:c r="E598" s="65" t="str">
        <x:v>PF</x:v>
      </x:c>
      <x:c r="F598" s="66"/>
      <x:c r="G598" s="67"/>
      <x:c r="H598" s="67" t="n">
        <x:v>0</x:v>
      </x:c>
      <x:c r="I598" s="67" t="n">
        <x:v>3.5</x:v>
      </x:c>
      <x:c r="J598" s="67" t="n">
        <x:v>0</x:v>
      </x:c>
      <x:c r="K598" s="67" t="str">
        <x:v>WATCH</x:v>
      </x:c>
      <x:c r="L598" s="67" t="n">
        <x:v>0</x:v>
      </x:c>
      <x:c r="M598" s="68" t="n">
        <x:v>0</x:v>
      </x:c>
      <x:c r="N598" s="69" t="str">
        <x:v>Available</x:v>
      </x:c>
      <x:c r="O598" s="62" t="str">
        <x:v>Camp/summer-depth watch entry; no reliable 2026-27 fantasy projection. Verify final NBA contract, roster status and role before draft use.</x:v>
      </x:c>
      <x:c r="P598" s="60"/>
      <x:c r="Q598" s="60"/>
      <x:c r="R598" s="60"/>
      <x:c r="S598" s="60" t="n">
        <x:v>0</x:v>
      </x:c>
      <x:c r="T598" s="72" t="str">
        <x:v>https://github.com/A-V29/NBA.Rosters/blob/main/2026.Summer.League.json</x:v>
      </x:c>
      <x:c r="U598" s="87" t="str">
        <x:v>WATCH</x:v>
      </x:c>
      <x:c r="V598" s="87" t="str">
        <x:v>LOW</x:v>
      </x:c>
      <x:c r="W598" s="87" t="str">
        <x:v>NONE</x:v>
      </x:c>
      <x:c r="X598" s="87" t="str">
        <x:v>CAMP/SUMMER</x:v>
      </x:c>
      <x:c r="Y598" s="87" t="str">
        <x:v>2026-09-28 master / roster context 2026-09-03+</x:v>
      </x:c>
      <x:c r="Z598" s="72" t="str">
        <x:v>https://github.com/A-V29/NBA.Rosters/blob/main/2026.Summer.League.json</x:v>
      </x:c>
      <x:c r="AA598" s="72" t="str">
        <x:v>https://github.com/ballacademy/NBA-head-to-head-/blob/5b1decfc31ffb645469c7ffbd01aaca4b18181bd/data/nba-stats/nba-player-stats-202526-regular-season-per-game.csv</x:v>
      </x:c>
    </x:row>
    <x:row r="599" ht="21" customHeight="1">
      <x:c r="A599" s="64" t="n">
        <x:v>594</x:v>
      </x:c>
      <x:c r="B599" s="59" t="str">
        <x:v>Malique Lewis</x:v>
      </x:c>
      <x:c r="C599" s="65" t="str">
        <x:v>MIL</x:v>
      </x:c>
      <x:c r="D599" s="65" t="str">
        <x:v>PF</x:v>
      </x:c>
      <x:c r="E599" s="65" t="str">
        <x:v>F</x:v>
      </x:c>
      <x:c r="F599" s="66"/>
      <x:c r="G599" s="67"/>
      <x:c r="H599" s="67" t="n">
        <x:v>0</x:v>
      </x:c>
      <x:c r="I599" s="67" t="n">
        <x:v>3.5</x:v>
      </x:c>
      <x:c r="J599" s="67" t="n">
        <x:v>0</x:v>
      </x:c>
      <x:c r="K599" s="67" t="str">
        <x:v>WATCH</x:v>
      </x:c>
      <x:c r="L599" s="67" t="n">
        <x:v>0</x:v>
      </x:c>
      <x:c r="M599" s="68" t="n">
        <x:v>0</x:v>
      </x:c>
      <x:c r="N599" s="69" t="str">
        <x:v>Available</x:v>
      </x:c>
      <x:c r="O599" s="62" t="str">
        <x:v>Camp/summer-depth watch entry; no reliable 2026-27 fantasy projection. Verify final NBA contract, roster status and role before draft use.</x:v>
      </x:c>
      <x:c r="P599" s="60"/>
      <x:c r="Q599" s="60"/>
      <x:c r="R599" s="60"/>
      <x:c r="S599" s="60" t="n">
        <x:v>0</x:v>
      </x:c>
      <x:c r="T599" s="72" t="str">
        <x:v>https://github.com/A-V29/NBA.Rosters/blob/main/2026.Summer.League.json</x:v>
      </x:c>
      <x:c r="U599" s="87" t="str">
        <x:v>WATCH</x:v>
      </x:c>
      <x:c r="V599" s="87" t="str">
        <x:v>LOW</x:v>
      </x:c>
      <x:c r="W599" s="87" t="str">
        <x:v>NONE</x:v>
      </x:c>
      <x:c r="X599" s="87" t="str">
        <x:v>CAMP/SUMMER</x:v>
      </x:c>
      <x:c r="Y599" s="87" t="str">
        <x:v>2026-09-28 master / roster context 2026-09-03+</x:v>
      </x:c>
      <x:c r="Z599" s="72" t="str">
        <x:v>https://github.com/A-V29/NBA.Rosters/blob/main/2026.Summer.League.json</x:v>
      </x:c>
      <x:c r="AA599" s="72" t="str">
        <x:v>https://github.com/ballacademy/NBA-head-to-head-/blob/5b1decfc31ffb645469c7ffbd01aaca4b18181bd/data/nba-stats/nba-player-stats-202526-regular-season-per-game.csv</x:v>
      </x:c>
    </x:row>
    <x:row r="600" ht="21" customHeight="1">
      <x:c r="A600" s="64" t="n">
        <x:v>595</x:v>
      </x:c>
      <x:c r="B600" s="59" t="str">
        <x:v>Mark Mitchell</x:v>
      </x:c>
      <x:c r="C600" s="65" t="str">
        <x:v>DEN</x:v>
      </x:c>
      <x:c r="D600" s="65" t="str">
        <x:v>PF</x:v>
      </x:c>
      <x:c r="E600" s="65" t="str">
        <x:v>F</x:v>
      </x:c>
      <x:c r="F600" s="66"/>
      <x:c r="G600" s="67"/>
      <x:c r="H600" s="67" t="n">
        <x:v>0</x:v>
      </x:c>
      <x:c r="I600" s="67" t="n">
        <x:v>3.5</x:v>
      </x:c>
      <x:c r="J600" s="67" t="n">
        <x:v>0</x:v>
      </x:c>
      <x:c r="K600" s="67" t="str">
        <x:v>WATCH</x:v>
      </x:c>
      <x:c r="L600" s="67" t="n">
        <x:v>0</x:v>
      </x:c>
      <x:c r="M600" s="68" t="n">
        <x:v>0</x:v>
      </x:c>
      <x:c r="N600" s="69" t="str">
        <x:v>Available</x:v>
      </x:c>
      <x:c r="O600" s="62" t="str">
        <x:v>Camp/summer-depth watch entry; no reliable 2026-27 fantasy projection. Verify final NBA contract, roster status and role before draft use.</x:v>
      </x:c>
      <x:c r="P600" s="60"/>
      <x:c r="Q600" s="60"/>
      <x:c r="R600" s="60"/>
      <x:c r="S600" s="60" t="n">
        <x:v>0</x:v>
      </x:c>
      <x:c r="T600" s="72" t="str">
        <x:v>https://github.com/A-V29/NBA.Rosters/blob/main/2026.Summer.League.json</x:v>
      </x:c>
      <x:c r="U600" s="87" t="str">
        <x:v>WATCH</x:v>
      </x:c>
      <x:c r="V600" s="87" t="str">
        <x:v>LOW</x:v>
      </x:c>
      <x:c r="W600" s="87" t="str">
        <x:v>NONE</x:v>
      </x:c>
      <x:c r="X600" s="87" t="str">
        <x:v>CAMP/SUMMER</x:v>
      </x:c>
      <x:c r="Y600" s="87" t="str">
        <x:v>2026-09-28 master / roster context 2026-09-03+</x:v>
      </x:c>
      <x:c r="Z600" s="72" t="str">
        <x:v>https://github.com/A-V29/NBA.Rosters/blob/main/2026.Summer.League.json</x:v>
      </x:c>
      <x:c r="AA600" s="72" t="str">
        <x:v>https://github.com/ballacademy/NBA-head-to-head-/blob/5b1decfc31ffb645469c7ffbd01aaca4b18181bd/data/nba-stats/nba-player-stats-202526-regular-season-per-game.csv</x:v>
      </x:c>
    </x:row>
    <x:row r="601" ht="21" customHeight="1">
      <x:c r="A601" s="64" t="n">
        <x:v>596</x:v>
      </x:c>
      <x:c r="B601" s="59" t="str">
        <x:v>Markquis Nowell</x:v>
      </x:c>
      <x:c r="C601" s="65" t="str">
        <x:v>NOP</x:v>
      </x:c>
      <x:c r="D601" s="65" t="str">
        <x:v>PG</x:v>
      </x:c>
      <x:c r="E601" s="65" t="str">
        <x:v>PG</x:v>
      </x:c>
      <x:c r="F601" s="66"/>
      <x:c r="G601" s="67"/>
      <x:c r="H601" s="67" t="n">
        <x:v>0</x:v>
      </x:c>
      <x:c r="I601" s="67" t="n">
        <x:v>3.5</x:v>
      </x:c>
      <x:c r="J601" s="67" t="n">
        <x:v>0</x:v>
      </x:c>
      <x:c r="K601" s="67" t="str">
        <x:v>WATCH</x:v>
      </x:c>
      <x:c r="L601" s="67" t="n">
        <x:v>0</x:v>
      </x:c>
      <x:c r="M601" s="68" t="n">
        <x:v>0</x:v>
      </x:c>
      <x:c r="N601" s="69" t="str">
        <x:v>Available</x:v>
      </x:c>
      <x:c r="O601" s="62" t="str">
        <x:v>Camp/summer-depth watch entry; no reliable 2026-27 fantasy projection. Verify final NBA contract, roster status and role before draft use.</x:v>
      </x:c>
      <x:c r="P601" s="60"/>
      <x:c r="Q601" s="60"/>
      <x:c r="R601" s="60"/>
      <x:c r="S601" s="60" t="n">
        <x:v>0</x:v>
      </x:c>
      <x:c r="T601" s="72" t="str">
        <x:v>https://github.com/A-V29/NBA.Rosters/blob/main/2026.Summer.League.json</x:v>
      </x:c>
      <x:c r="U601" s="87" t="str">
        <x:v>WATCH</x:v>
      </x:c>
      <x:c r="V601" s="87" t="str">
        <x:v>LOW</x:v>
      </x:c>
      <x:c r="W601" s="87" t="str">
        <x:v>NONE</x:v>
      </x:c>
      <x:c r="X601" s="87" t="str">
        <x:v>CAMP/SUMMER</x:v>
      </x:c>
      <x:c r="Y601" s="87" t="str">
        <x:v>2026-09-28 master / roster context 2026-09-03+</x:v>
      </x:c>
      <x:c r="Z601" s="72" t="str">
        <x:v>https://github.com/A-V29/NBA.Rosters/blob/main/2026.Summer.League.json</x:v>
      </x:c>
      <x:c r="AA601" s="72" t="str">
        <x:v>https://github.com/ballacademy/NBA-head-to-head-/blob/5b1decfc31ffb645469c7ffbd01aaca4b18181bd/data/nba-stats/nba-player-stats-202526-regular-season-per-game.csv</x:v>
      </x:c>
    </x:row>
    <x:row r="602" ht="21" customHeight="1">
      <x:c r="A602" s="64" t="n">
        <x:v>597</x:v>
      </x:c>
      <x:c r="B602" s="59" t="str">
        <x:v>Marquel Sutton</x:v>
      </x:c>
      <x:c r="C602" s="65" t="str">
        <x:v>SAC</x:v>
      </x:c>
      <x:c r="D602" s="65" t="str">
        <x:v>PF</x:v>
      </x:c>
      <x:c r="E602" s="65" t="str">
        <x:v>F</x:v>
      </x:c>
      <x:c r="F602" s="66"/>
      <x:c r="G602" s="67"/>
      <x:c r="H602" s="67" t="n">
        <x:v>0</x:v>
      </x:c>
      <x:c r="I602" s="67" t="n">
        <x:v>3.5</x:v>
      </x:c>
      <x:c r="J602" s="67" t="n">
        <x:v>0</x:v>
      </x:c>
      <x:c r="K602" s="67" t="str">
        <x:v>WATCH</x:v>
      </x:c>
      <x:c r="L602" s="67" t="n">
        <x:v>0</x:v>
      </x:c>
      <x:c r="M602" s="68" t="n">
        <x:v>0</x:v>
      </x:c>
      <x:c r="N602" s="69" t="str">
        <x:v>Available</x:v>
      </x:c>
      <x:c r="O602" s="62" t="str">
        <x:v>Camp/summer-depth watch entry; no reliable 2026-27 fantasy projection. Verify final NBA contract, roster status and role before draft use.</x:v>
      </x:c>
      <x:c r="P602" s="60"/>
      <x:c r="Q602" s="60"/>
      <x:c r="R602" s="60"/>
      <x:c r="S602" s="60" t="n">
        <x:v>0</x:v>
      </x:c>
      <x:c r="T602" s="72" t="str">
        <x:v>https://github.com/A-V29/NBA.Rosters/blob/main/2026.Summer.League.json</x:v>
      </x:c>
      <x:c r="U602" s="87" t="str">
        <x:v>WATCH</x:v>
      </x:c>
      <x:c r="V602" s="87" t="str">
        <x:v>LOW</x:v>
      </x:c>
      <x:c r="W602" s="87" t="str">
        <x:v>NONE</x:v>
      </x:c>
      <x:c r="X602" s="87" t="str">
        <x:v>CAMP/SUMMER</x:v>
      </x:c>
      <x:c r="Y602" s="87" t="str">
        <x:v>2026-09-28 master / roster context 2026-09-03+</x:v>
      </x:c>
      <x:c r="Z602" s="72" t="str">
        <x:v>https://github.com/A-V29/NBA.Rosters/blob/main/2026.Summer.League.json</x:v>
      </x:c>
      <x:c r="AA602" s="72" t="str">
        <x:v>https://github.com/ballacademy/NBA-head-to-head-/blob/5b1decfc31ffb645469c7ffbd01aaca4b18181bd/data/nba-stats/nba-player-stats-202526-regular-season-per-game.csv</x:v>
      </x:c>
    </x:row>
    <x:row r="603" ht="21" customHeight="1">
      <x:c r="A603" s="64" t="n">
        <x:v>598</x:v>
      </x:c>
      <x:c r="B603" s="59" t="str">
        <x:v>Matt Rogers</x:v>
      </x:c>
      <x:c r="C603" s="65" t="str">
        <x:v>PHI</x:v>
      </x:c>
      <x:c r="D603" s="65" t="str">
        <x:v>PF</x:v>
      </x:c>
      <x:c r="E603" s="65" t="str">
        <x:v>F</x:v>
      </x:c>
      <x:c r="F603" s="66"/>
      <x:c r="G603" s="67"/>
      <x:c r="H603" s="67" t="n">
        <x:v>0</x:v>
      </x:c>
      <x:c r="I603" s="67" t="n">
        <x:v>3.5</x:v>
      </x:c>
      <x:c r="J603" s="67" t="n">
        <x:v>0</x:v>
      </x:c>
      <x:c r="K603" s="67" t="str">
        <x:v>WATCH</x:v>
      </x:c>
      <x:c r="L603" s="67" t="n">
        <x:v>0</x:v>
      </x:c>
      <x:c r="M603" s="68" t="n">
        <x:v>0</x:v>
      </x:c>
      <x:c r="N603" s="69" t="str">
        <x:v>Available</x:v>
      </x:c>
      <x:c r="O603" s="62" t="str">
        <x:v>Camp/summer-depth watch entry; no reliable 2026-27 fantasy projection. Verify final NBA contract, roster status and role before draft use.</x:v>
      </x:c>
      <x:c r="P603" s="60"/>
      <x:c r="Q603" s="60"/>
      <x:c r="R603" s="60"/>
      <x:c r="S603" s="60" t="n">
        <x:v>0</x:v>
      </x:c>
      <x:c r="T603" s="72" t="str">
        <x:v>https://github.com/A-V29/NBA.Rosters/blob/main/2026.Summer.League.json</x:v>
      </x:c>
      <x:c r="U603" s="87" t="str">
        <x:v>WATCH</x:v>
      </x:c>
      <x:c r="V603" s="87" t="str">
        <x:v>LOW</x:v>
      </x:c>
      <x:c r="W603" s="87" t="str">
        <x:v>NONE</x:v>
      </x:c>
      <x:c r="X603" s="87" t="str">
        <x:v>CAMP/SUMMER</x:v>
      </x:c>
      <x:c r="Y603" s="87" t="str">
        <x:v>2026-09-28 master / roster context 2026-09-03+</x:v>
      </x:c>
      <x:c r="Z603" s="72" t="str">
        <x:v>https://github.com/A-V29/NBA.Rosters/blob/main/2026.Summer.League.json</x:v>
      </x:c>
      <x:c r="AA603" s="72" t="str">
        <x:v>https://github.com/ballacademy/NBA-head-to-head-/blob/5b1decfc31ffb645469c7ffbd01aaca4b18181bd/data/nba-stats/nba-player-stats-202526-regular-season-per-game.csv</x:v>
      </x:c>
    </x:row>
    <x:row r="604" ht="21" customHeight="1">
      <x:c r="A604" s="64" t="n">
        <x:v>599</x:v>
      </x:c>
      <x:c r="B604" s="59" t="str">
        <x:v>Matthew Cleveland</x:v>
      </x:c>
      <x:c r="C604" s="65" t="str">
        <x:v>UTA</x:v>
      </x:c>
      <x:c r="D604" s="65" t="str">
        <x:v>SF</x:v>
      </x:c>
      <x:c r="E604" s="65" t="str">
        <x:v>GF</x:v>
      </x:c>
      <x:c r="F604" s="66"/>
      <x:c r="G604" s="67"/>
      <x:c r="H604" s="67" t="n">
        <x:v>0</x:v>
      </x:c>
      <x:c r="I604" s="67" t="n">
        <x:v>3.5</x:v>
      </x:c>
      <x:c r="J604" s="67" t="n">
        <x:v>0</x:v>
      </x:c>
      <x:c r="K604" s="67" t="str">
        <x:v>WATCH</x:v>
      </x:c>
      <x:c r="L604" s="67" t="n">
        <x:v>0</x:v>
      </x:c>
      <x:c r="M604" s="68" t="n">
        <x:v>0</x:v>
      </x:c>
      <x:c r="N604" s="69" t="str">
        <x:v>Available</x:v>
      </x:c>
      <x:c r="O604" s="62" t="str">
        <x:v>Camp/summer-depth watch entry; no reliable 2026-27 fantasy projection. Verify final NBA contract, roster status and role before draft use.</x:v>
      </x:c>
      <x:c r="P604" s="60"/>
      <x:c r="Q604" s="60"/>
      <x:c r="R604" s="60"/>
      <x:c r="S604" s="60" t="n">
        <x:v>0</x:v>
      </x:c>
      <x:c r="T604" s="72" t="str">
        <x:v>https://github.com/A-V29/NBA.Rosters/blob/main/2026.Summer.League.json</x:v>
      </x:c>
      <x:c r="U604" s="87" t="str">
        <x:v>WATCH</x:v>
      </x:c>
      <x:c r="V604" s="87" t="str">
        <x:v>LOW</x:v>
      </x:c>
      <x:c r="W604" s="87" t="str">
        <x:v>NONE</x:v>
      </x:c>
      <x:c r="X604" s="87" t="str">
        <x:v>CAMP/SUMMER</x:v>
      </x:c>
      <x:c r="Y604" s="87" t="str">
        <x:v>2026-09-28 master / roster context 2026-09-03+</x:v>
      </x:c>
      <x:c r="Z604" s="72" t="str">
        <x:v>https://github.com/A-V29/NBA.Rosters/blob/main/2026.Summer.League.json</x:v>
      </x:c>
      <x:c r="AA604" s="72" t="str">
        <x:v>https://github.com/ballacademy/NBA-head-to-head-/blob/5b1decfc31ffb645469c7ffbd01aaca4b18181bd/data/nba-stats/nba-player-stats-202526-regular-season-per-game.csv</x:v>
      </x:c>
    </x:row>
    <x:row r="605" ht="21" customHeight="1">
      <x:c r="A605" s="64" t="n">
        <x:v>600</x:v>
      </x:c>
      <x:c r="B605" s="59" t="str">
        <x:v>Matthew Murrell</x:v>
      </x:c>
      <x:c r="C605" s="65" t="str">
        <x:v>DEN</x:v>
      </x:c>
      <x:c r="D605" s="65" t="str">
        <x:v>SG</x:v>
      </x:c>
      <x:c r="E605" s="65" t="str">
        <x:v>SG</x:v>
      </x:c>
      <x:c r="F605" s="66"/>
      <x:c r="G605" s="67"/>
      <x:c r="H605" s="67" t="n">
        <x:v>0</x:v>
      </x:c>
      <x:c r="I605" s="67" t="n">
        <x:v>3.5</x:v>
      </x:c>
      <x:c r="J605" s="67" t="n">
        <x:v>0</x:v>
      </x:c>
      <x:c r="K605" s="67" t="str">
        <x:v>WATCH</x:v>
      </x:c>
      <x:c r="L605" s="67" t="n">
        <x:v>0</x:v>
      </x:c>
      <x:c r="M605" s="68" t="n">
        <x:v>0</x:v>
      </x:c>
      <x:c r="N605" s="69" t="str">
        <x:v>Available</x:v>
      </x:c>
      <x:c r="O605" s="62" t="str">
        <x:v>Camp/summer-depth watch entry; no reliable 2026-27 fantasy projection. Verify final NBA contract, roster status and role before draft use.</x:v>
      </x:c>
      <x:c r="P605" s="60"/>
      <x:c r="Q605" s="60"/>
      <x:c r="R605" s="60"/>
      <x:c r="S605" s="60" t="n">
        <x:v>0</x:v>
      </x:c>
      <x:c r="T605" s="72" t="str">
        <x:v>https://github.com/A-V29/NBA.Rosters/blob/main/2026.Summer.League.json</x:v>
      </x:c>
      <x:c r="U605" s="87" t="str">
        <x:v>WATCH</x:v>
      </x:c>
      <x:c r="V605" s="87" t="str">
        <x:v>LOW</x:v>
      </x:c>
      <x:c r="W605" s="87" t="str">
        <x:v>NONE</x:v>
      </x:c>
      <x:c r="X605" s="87" t="str">
        <x:v>CAMP/SUMMER</x:v>
      </x:c>
      <x:c r="Y605" s="87" t="str">
        <x:v>2026-09-28 master / roster context 2026-09-03+</x:v>
      </x:c>
      <x:c r="Z605" s="72" t="str">
        <x:v>https://github.com/A-V29/NBA.Rosters/blob/main/2026.Summer.League.json</x:v>
      </x:c>
      <x:c r="AA605" s="72" t="str">
        <x:v>https://github.com/ballacademy/NBA-head-to-head-/blob/5b1decfc31ffb645469c7ffbd01aaca4b18181bd/data/nba-stats/nba-player-stats-202526-regular-season-per-game.csv</x:v>
      </x:c>
    </x:row>
  </x:sheetData>
  <x:mergeCells>
    <x:mergeCell ref="A1:AA1"/>
    <x:mergeCell ref="A2:AA3"/>
  </x:mergeCells>
  <x:conditionalFormatting sqref="K6:K125">
    <x:cfRule type="expression" dxfId="0" priority="1">
      <x:formula>OR(K6="HIGH",K6="IR / RETURN")</x:formula>
    </x:cfRule>
    <x:cfRule type="expression" dxfId="1" priority="2">
      <x:formula>OR(K6="MEDIUM",K6="CONTRACT")</x:formula>
    </x:cfRule>
  </x:conditionalFormatting>
  <x:conditionalFormatting sqref="L6:L125">
    <x:cfRule type="dataBar" priority="3">
      <x:dataBar>
        <x:cfvo type="min"/>
        <x:cfvo type="max"/>
        <x:color rgb="FF147D83"/>
      </x:dataBar>
      <x:extLst>
        <x:ext xmlns:x14="http://schemas.microsoft.com/office/spreadsheetml/2009/9/main" uri="{B025F937-C7B1-47D3-B67F-A62EFF666E3E}">
          <x14:id>{A967270E-5342-BA77-BCD4-E07C2E76776D}</x14:id>
        </x:ext>
      </x:extLst>
    </x:cfRule>
  </x:conditionalFormatting>
  <x:conditionalFormatting sqref="L206:L435">
    <x:cfRule type="dataBar" priority="6">
      <x:dataBar>
        <x:cfvo type="min"/>
        <x:cfvo type="max"/>
        <x:color rgb="FF2B8CBE"/>
      </x:dataBar>
      <x:extLst>
        <x:ext xmlns:x14="http://schemas.microsoft.com/office/spreadsheetml/2009/9/main" uri="{B025F937-C7B1-47D3-B67F-A62EFF666E3E}">
          <x14:id>{E6E6E282-8306-75E0-4AB2-279465D619FE}</x14:id>
        </x:ext>
      </x:extLst>
    </x:cfRule>
  </x:conditionalFormatting>
  <x:conditionalFormatting sqref="A206:AA605">
    <x:cfRule type="expression" dxfId="37" priority="9">
      <x:formula>MOD(ROW(),2)=0</x:formula>
    </x:cfRule>
  </x:conditionalFormatting>
  <x:conditionalFormatting sqref="K206:K605">
    <x:cfRule type="expression" dxfId="38" priority="10">
      <x:formula>$K206="VERY_DEEP"</x:formula>
    </x:cfRule>
    <x:cfRule type="expression" dxfId="39" priority="11">
      <x:formula>$K206="WATCH"</x:formula>
    </x:cfRule>
  </x:conditionalFormatting>
  <x:conditionalFormatting sqref="L206:L434">
    <x:cfRule type="dataBar" priority="12">
      <x:dataBar>
        <x:cfvo type="min"/>
        <x:cfvo type="max"/>
        <x:color rgb="FF2B8CBE"/>
      </x:dataBar>
      <x:extLst>
        <x:ext xmlns:x14="http://schemas.microsoft.com/office/spreadsheetml/2009/9/main" uri="{B025F937-C7B1-47D3-B67F-A62EFF666E3E}">
          <x14:id>{C5540BC4-8418-AF2A-CC7A-9841421B3F11}</x14:id>
        </x:ext>
      </x:extLst>
    </x:cfRule>
  </x:conditionalFormatting>
  <x:dataValidations count="2">
    <x:dataValidation type="list" sqref="N6:N125">
      <x:formula1>"Available,Drafted,My Team,Pass"</x:formula1>
    </x:dataValidation>
    <x:dataValidation type="list" sqref="N6:N605">
      <x:formula1>"Available,Drafted,My Team,Pass"</x:formula1>
    </x:dataValidation>
  </x:dataValidations>
  <x:pageMargins left="0.7" right="0.7" top="0.75" bottom="0.75" header="0.3" footer="0.3"/>
  <x:tableParts count="1">
    <x:tablePart xmlns:r="http://schemas.openxmlformats.org/officeDocument/2006/relationships" r:id="Rb740e557c2894ccb"/>
  </x:tableParts>
  <x:extLst>
    <x:ext xmlns:x14="http://schemas.microsoft.com/office/spreadsheetml/2009/9/main" xmlns:xm="http://schemas.microsoft.com/office/excel/2006/main" uri="{78C0D931-6437-407d-A8EE-F0AAD7539E65}">
      <x14:conditionalFormattings>
        <x14:conditionalFormatting>
          <x14:cfRule type="dataBar" priority="3" id="{A967270E-5342-BA77-BCD4-E07C2E76776D}">
            <x14:dataBar gradient="1">
              <x14:cfvo type="min"/>
              <x14:cfvo type="max"/>
              <x14:fillColor rgb="FF147D83"/>
            </x14:dataBar>
          </x14:cfRule>
          <xm:sqref>L6:L125</xm:sqref>
        </x14:conditionalFormatting>
        <x14:conditionalFormatting>
          <x14:cfRule type="dataBar" priority="6" id="{E6E6E282-8306-75E0-4AB2-279465D619FE}">
            <x14:dataBar gradient="1">
              <x14:cfvo type="min"/>
              <x14:cfvo type="max"/>
              <x14:fillColor rgb="FF2B8CBE"/>
            </x14:dataBar>
          </x14:cfRule>
          <xm:sqref>L206:L435</xm:sqref>
        </x14:conditionalFormatting>
        <x14:conditionalFormatting>
          <x14:cfRule type="dataBar" priority="12" id="{C5540BC4-8418-AF2A-CC7A-9841421B3F11}">
            <x14:dataBar gradient="1">
              <x14:cfvo type="min"/>
              <x14:cfvo type="max"/>
              <x14:fillColor rgb="FF2B8CBE"/>
            </x14:dataBar>
          </x14:cfRule>
          <xm:sqref>L206:L434</xm:sqref>
        </x14:conditionalFormatting>
      </x14:conditionalFormattings>
    </x:ext>
  </x:extLst>
</x:worksheet>
</file>

<file path=xl/worksheets/sheet3.xml><?xml version="1.0" encoding="utf-8"?>
<x:worksheet xmlns:x="http://schemas.openxmlformats.org/spreadsheetml/2006/main">
  <x:sheetFormatPr defaultRowHeight="15"/>
  <x:cols>
    <x:col min="1" max="1" width="10" hidden="0" customWidth="1"/>
    <x:col min="2" max="2" width="9" hidden="0" customWidth="1"/>
    <x:col min="3" max="3" width="24" hidden="0" customWidth="1"/>
    <x:col min="4" max="4" width="8" hidden="0" customWidth="1"/>
    <x:col min="5" max="5" width="11" hidden="0" customWidth="1"/>
    <x:col min="6" max="6" width="13" hidden="0" customWidth="1"/>
    <x:col min="7" max="7" width="11" hidden="0" customWidth="1"/>
    <x:col min="8" max="8" width="11" hidden="0" customWidth="1"/>
    <x:col min="9" max="9" width="11" hidden="0" customWidth="1"/>
    <x:col min="10" max="10" width="13" hidden="0" customWidth="1"/>
    <x:col min="11" max="11" width="16" hidden="0" customWidth="1"/>
    <x:col min="12" max="12" width="52" hidden="0" customWidth="1"/>
  </x:cols>
  <x:sheetData>
    <x:row r="1" ht="30" customHeight="1">
      <x:c r="A1" s="88" t="str">
        <x:v>PG | POSITIONAL DRAFT PRIORITY — 600 PLAYER MASTER</x:v>
      </x:c>
      <x:c r="B1" s="88"/>
      <x:c r="C1" s="88"/>
      <x:c r="D1" s="88"/>
      <x:c r="E1" s="88"/>
      <x:c r="F1" s="88"/>
      <x:c r="G1" s="88"/>
      <x:c r="H1" s="88"/>
      <x:c r="I1" s="88"/>
      <x:c r="J1" s="88"/>
      <x:c r="K1" s="88"/>
      <x:c r="L1" s="89"/>
    </x:row>
    <x:row r="2" ht="23" customHeight="1">
      <x:c r="A2" s="90" t="str">
        <x:v>Draft-day refresh Oct. 10, 2026 • full 600-player master • top 150 refreshed with current projections and live availability context</x:v>
      </x:c>
      <x:c r="B2" s="90"/>
      <x:c r="C2" s="90"/>
      <x:c r="D2" s="90"/>
      <x:c r="E2" s="90"/>
      <x:c r="F2" s="90"/>
      <x:c r="G2" s="90"/>
      <x:c r="H2" s="90"/>
      <x:c r="I2" s="90"/>
      <x:c r="J2" s="90"/>
      <x:c r="K2" s="90"/>
      <x:c r="L2" s="91"/>
    </x:row>
    <x:row r="3" ht="23" customHeight="1">
      <x:c r="A3" s="42"/>
      <x:c r="B3" s="42"/>
      <x:c r="C3" s="42"/>
      <x:c r="D3" s="42"/>
      <x:c r="E3" s="42"/>
      <x:c r="F3" s="42"/>
      <x:c r="G3" s="42"/>
      <x:c r="H3" s="42"/>
      <x:c r="I3" s="42"/>
      <x:c r="J3" s="42"/>
      <x:c r="K3" s="42"/>
      <x:c r="L3" s="7"/>
    </x:row>
    <x:row r="5" ht="36" customHeight="1">
      <x:c r="A5" s="44" t="str">
        <x:v>Pos. rank</x:v>
      </x:c>
      <x:c r="B5" s="44" t="str">
        <x:v>Overall</x:v>
      </x:c>
      <x:c r="C5" s="44" t="str">
        <x:v>Player</x:v>
      </x:c>
      <x:c r="D5" s="44" t="str">
        <x:v>Team</x:v>
      </x:c>
      <x:c r="E5" s="44" t="str">
        <x:v>2025-26 GP</x:v>
      </x:c>
      <x:c r="F5" s="44" t="str">
        <x:v>2025-26 FP/G</x:v>
      </x:c>
      <x:c r="G5" s="44" t="str">
        <x:v>2026 low</x:v>
      </x:c>
      <x:c r="H5" s="44" t="str">
        <x:v>2026 high</x:v>
      </x:c>
      <x:c r="I5" s="44" t="str">
        <x:v>Planning GP</x:v>
      </x:c>
      <x:c r="J5" s="44" t="str">
        <x:v>Risk</x:v>
      </x:c>
      <x:c r="K5" s="44" t="str">
        <x:v>Source position tags</x:v>
      </x:c>
      <x:c r="L5" s="44" t="str">
        <x:v>Draft rationale</x:v>
      </x:c>
    </x:row>
    <x:row r="6" ht="20" customHeight="1">
      <x:c r="A6" s="59" t="n">
        <x:v>1</x:v>
      </x:c>
      <x:c r="B6" s="59" t="n">
        <x:v>2</x:v>
      </x:c>
      <x:c r="C6" s="59" t="str">
        <x:v>Shai Gilgeous-Alexander</x:v>
      </x:c>
      <x:c r="D6" s="59" t="str">
        <x:v>OKC</x:v>
      </x:c>
      <x:c r="E6" s="58" t="n">
        <x:v>68</x:v>
      </x:c>
      <x:c r="F6" s="60" t="n">
        <x:v>56.80000000000001</x:v>
      </x:c>
      <x:c r="G6" s="60" t="n">
        <x:v>53.74382007182563</x:v>
      </x:c>
      <x:c r="H6" s="60" t="n">
        <x:v>60.74382007182563</x:v>
      </x:c>
      <x:c r="I6" s="58" t="n">
        <x:v>77</x:v>
      </x:c>
      <x:c r="J6" s="59" t="str">
        <x:v>STANDARD</x:v>
      </x:c>
      <x:c r="K6" s="59" t="str">
        <x:v>PG</x:v>
      </x:c>
      <x:c r="L6" s="62" t="str">
        <x:v>Elite efficient guard; excellent first-round combination of per-game value and availability.</x:v>
      </x:c>
    </x:row>
    <x:row r="7" ht="20" customHeight="1">
      <x:c r="A7" s="59" t="n">
        <x:v>2</x:v>
      </x:c>
      <x:c r="B7" s="59" t="n">
        <x:v>3</x:v>
      </x:c>
      <x:c r="C7" s="59" t="str">
        <x:v>Luka Doncic</x:v>
      </x:c>
      <x:c r="D7" s="59" t="str">
        <x:v>LAL</x:v>
      </x:c>
      <x:c r="E7" s="58" t="n">
        <x:v>64</x:v>
      </x:c>
      <x:c r="F7" s="60" t="n">
        <x:v>59.30000000000001</x:v>
      </x:c>
      <x:c r="G7" s="60" t="n">
        <x:v>55.24899248740708</x:v>
      </x:c>
      <x:c r="H7" s="60" t="n">
        <x:v>62.24899248740708</x:v>
      </x:c>
      <x:c r="I7" s="58" t="n">
        <x:v>74</x:v>
      </x:c>
      <x:c r="J7" s="59" t="str">
        <x:v>STANDARD</x:v>
      </x:c>
      <x:c r="K7" s="59" t="str">
        <x:v>PG/SG</x:v>
      </x:c>
      <x:c r="L7" s="62" t="str">
        <x:v>Incremental upside with LeBron gone; misses and turnovers still reduce raw scoring value.</x:v>
      </x:c>
    </x:row>
    <x:row r="8" ht="20" customHeight="1">
      <x:c r="A8" s="59" t="n">
        <x:v>3</x:v>
      </x:c>
      <x:c r="B8" s="59" t="n">
        <x:v>8</x:v>
      </x:c>
      <x:c r="C8" s="59" t="str">
        <x:v>Cade Cunningham</x:v>
      </x:c>
      <x:c r="D8" s="59" t="str">
        <x:v>DET</x:v>
      </x:c>
      <x:c r="E8" s="58" t="n">
        <x:v>64</x:v>
      </x:c>
      <x:c r="F8" s="60" t="n">
        <x:v>46.85000000000001</x:v>
      </x:c>
      <x:c r="G8" s="60" t="n">
        <x:v>43.527196440059626</x:v>
      </x:c>
      <x:c r="H8" s="60" t="n">
        <x:v>50.527196440059626</x:v>
      </x:c>
      <x:c r="I8" s="58" t="n">
        <x:v>74</x:v>
      </x:c>
      <x:c r="J8" s="59" t="str">
        <x:v>STANDARD</x:v>
      </x:c>
      <x:c r="K8" s="59" t="str">
        <x:v>PG/SG</x:v>
      </x:c>
      <x:c r="L8" s="62" t="str">
        <x:v>Core guard target; assists help, but turnovers stop him matching the top three.</x:v>
      </x:c>
    </x:row>
    <x:row r="9" ht="20" customHeight="1">
      <x:c r="A9" s="59" t="n">
        <x:v>4</x:v>
      </x:c>
      <x:c r="B9" s="59" t="n">
        <x:v>16</x:v>
      </x:c>
      <x:c r="C9" s="59" t="str">
        <x:v>Tyrese Maxey</x:v>
      </x:c>
      <x:c r="D9" s="59" t="str">
        <x:v>PHI</x:v>
      </x:c>
      <x:c r="E9" s="58" t="n">
        <x:v>70</x:v>
      </x:c>
      <x:c r="F9" s="60" t="n">
        <x:v>49.2</x:v>
      </x:c>
      <x:c r="G9" s="60" t="n">
        <x:v>39.54639282818544</x:v>
      </x:c>
      <x:c r="H9" s="60" t="n">
        <x:v>46.54639282818544</x:v>
      </x:c>
      <x:c r="I9" s="58" t="n">
        <x:v>75</x:v>
      </x:c>
      <x:c r="J9" s="59" t="str">
        <x:v>STANDARD</x:v>
      </x:c>
      <x:c r="K9" s="59" t="str">
        <x:v>PG/SG</x:v>
      </x:c>
      <x:c r="L9" s="62" t="str">
        <x:v>Philadelphia's crowded star rotation warrants a substantial fall from last season.</x:v>
      </x:c>
    </x:row>
    <x:row r="10" ht="20" customHeight="1">
      <x:c r="A10" s="59" t="n">
        <x:v>5</x:v>
      </x:c>
      <x:c r="B10" s="59" t="n">
        <x:v>19</x:v>
      </x:c>
      <x:c r="C10" s="59" t="str">
        <x:v>Jalen Brunson</x:v>
      </x:c>
      <x:c r="D10" s="59" t="str">
        <x:v>NYK</x:v>
      </x:c>
      <x:c r="E10" s="58" t="n">
        <x:v>74</x:v>
      </x:c>
      <x:c r="F10" s="60" t="n">
        <x:v>42.45</x:v>
      </x:c>
      <x:c r="G10" s="60" t="n">
        <x:v>39.43539817737335</x:v>
      </x:c>
      <x:c r="H10" s="60" t="n">
        <x:v>46.43539817737335</x:v>
      </x:c>
      <x:c r="I10" s="58" t="n">
        <x:v>75</x:v>
      </x:c>
      <x:c r="J10" s="59" t="str">
        <x:v>STANDARD</x:v>
      </x:c>
      <x:c r="K10" s="59" t="str">
        <x:v>PG</x:v>
      </x:c>
      <x:c r="L10" s="62" t="str">
        <x:v>Excellent guard anchor when the elite early picks are gone.</x:v>
      </x:c>
    </x:row>
    <x:row r="11" ht="20" customHeight="1">
      <x:c r="A11" s="59" t="n">
        <x:v>6</x:v>
      </x:c>
      <x:c r="B11" s="59" t="n">
        <x:v>26</x:v>
      </x:c>
      <x:c r="C11" s="59" t="str">
        <x:v>Stephen Curry</x:v>
      </x:c>
      <x:c r="D11" s="59" t="str">
        <x:v>GSW</x:v>
      </x:c>
      <x:c r="E11" s="58" t="n">
        <x:v>43</x:v>
      </x:c>
      <x:c r="F11" s="60" t="n">
        <x:v>42.75</x:v>
      </x:c>
      <x:c r="G11" s="60" t="n">
        <x:v>36.51730319560362</x:v>
      </x:c>
      <x:c r="H11" s="60" t="n">
        <x:v>47.51730319560362</x:v>
      </x:c>
      <x:c r="I11" s="58" t="n">
        <x:v>73</x:v>
      </x:c>
      <x:c r="J11" s="59" t="str">
        <x:v>MEDIUM</x:v>
      </x:c>
      <x:c r="K11" s="59" t="str">
        <x:v>PG</x:v>
      </x:c>
      <x:c r="L11" s="62" t="str">
        <x:v>Made threes are valuable, but availability prevents a pure per-game ranking.</x:v>
      </x:c>
    </x:row>
    <x:row r="12" ht="20" customHeight="1">
      <x:c r="A12" s="59" t="n">
        <x:v>7</x:v>
      </x:c>
      <x:c r="B12" s="59" t="n">
        <x:v>31</x:v>
      </x:c>
      <x:c r="C12" s="59" t="str">
        <x:v>Josh Giddey</x:v>
      </x:c>
      <x:c r="D12" s="59" t="str">
        <x:v>CHI</x:v>
      </x:c>
      <x:c r="E12" s="58" t="n">
        <x:v>54</x:v>
      </x:c>
      <x:c r="F12" s="60" t="n">
        <x:v>39.49999999999999</x:v>
      </x:c>
      <x:c r="G12" s="60" t="n">
        <x:v>38.03717702114047</x:v>
      </x:c>
      <x:c r="H12" s="60" t="n">
        <x:v>45.03717702114047</x:v>
      </x:c>
      <x:c r="I12" s="58" t="n">
        <x:v>73</x:v>
      </x:c>
      <x:c r="J12" s="59" t="str">
        <x:v>STANDARD</x:v>
      </x:c>
      <x:c r="K12" s="59" t="str">
        <x:v>PG/SG/SF</x:v>
      </x:c>
      <x:c r="L12" s="62" t="str">
        <x:v>Rebounding guard profile plays well; losses from missed shots and turnovers still matter.</x:v>
      </x:c>
    </x:row>
    <x:row r="13" ht="20" customHeight="1">
      <x:c r="A13" s="59" t="n">
        <x:v>8</x:v>
      </x:c>
      <x:c r="B13" s="59" t="n">
        <x:v>32</x:v>
      </x:c>
      <x:c r="C13" s="59" t="str">
        <x:v>LaMelo Ball</x:v>
      </x:c>
      <x:c r="D13" s="59" t="str">
        <x:v>MIN</x:v>
      </x:c>
      <x:c r="E13" s="58" t="n">
        <x:v>72</x:v>
      </x:c>
      <x:c r="F13" s="60" t="n">
        <x:v>36.849999999999994</x:v>
      </x:c>
      <x:c r="G13" s="60" t="n">
        <x:v>36.07174495207862</x:v>
      </x:c>
      <x:c r="H13" s="60" t="n">
        <x:v>47.07174495207862</x:v>
      </x:c>
      <x:c r="I13" s="58" t="n">
        <x:v>73</x:v>
      </x:c>
      <x:c r="J13" s="59" t="str">
        <x:v>MEDIUM</x:v>
      </x:c>
      <x:c r="K13" s="59" t="str">
        <x:v>PG</x:v>
      </x:c>
      <x:c r="L13" s="62" t="str">
        <x:v>New Minnesota role; passing upside, but health and shot efficiency remain key variables.</x:v>
      </x:c>
    </x:row>
    <x:row r="14" ht="20" customHeight="1">
      <x:c r="A14" s="59" t="n">
        <x:v>9</x:v>
      </x:c>
      <x:c r="B14" s="59" t="n">
        <x:v>33</x:v>
      </x:c>
      <x:c r="C14" s="59" t="str">
        <x:v>Jamal Murray</x:v>
      </x:c>
      <x:c r="D14" s="59" t="str">
        <x:v>DEN</x:v>
      </x:c>
      <x:c r="E14" s="58" t="n">
        <x:v>75</x:v>
      </x:c>
      <x:c r="F14" s="60" t="n">
        <x:v>45.84999999999999</x:v>
      </x:c>
      <x:c r="G14" s="60" t="n">
        <x:v>35.638166420415565</x:v>
      </x:c>
      <x:c r="H14" s="60" t="n">
        <x:v>46.638166420415565</x:v>
      </x:c>
      <x:c r="I14" s="58" t="n">
        <x:v>74</x:v>
      </x:c>
      <x:c r="J14" s="59" t="str">
        <x:v>MEDIUM</x:v>
      </x:c>
      <x:c r="K14" s="59" t="str">
        <x:v>PG</x:v>
      </x:c>
      <x:c r="L14" s="62" t="str">
        <x:v>Good scoring/assists mix; projected regression from a very strong 2025-26.</x:v>
      </x:c>
    </x:row>
    <x:row r="15" ht="20" customHeight="1">
      <x:c r="A15" s="59" t="n">
        <x:v>10</x:v>
      </x:c>
      <x:c r="B15" s="59" t="n">
        <x:v>40</x:v>
      </x:c>
      <x:c r="C15" s="59" t="str">
        <x:v>James Harden</x:v>
      </x:c>
      <x:c r="D15" s="59" t="str">
        <x:v>CLE</x:v>
      </x:c>
      <x:c r="E15" s="58" t="n">
        <x:v>70</x:v>
      </x:c>
      <x:c r="F15" s="60" t="n">
        <x:v>44.20000000000001</x:v>
      </x:c>
      <x:c r="G15" s="60" t="n">
        <x:v>36.71807278211482</x:v>
      </x:c>
      <x:c r="H15" s="60" t="n">
        <x:v>43.71807278211482</x:v>
      </x:c>
      <x:c r="I15" s="58" t="n">
        <x:v>76</x:v>
      </x:c>
      <x:c r="J15" s="59" t="str">
        <x:v>STANDARD</x:v>
      </x:c>
      <x:c r="K15" s="59" t="str">
        <x:v>PG/SG</x:v>
      </x:c>
      <x:c r="L15" s="62" t="str">
        <x:v>Cleveland shared creation limits the old sole-engine ceiling.</x:v>
      </x:c>
    </x:row>
    <x:row r="16" ht="20" customHeight="1">
      <x:c r="A16" s="59" t="n">
        <x:v>11</x:v>
      </x:c>
      <x:c r="B16" s="59" t="n">
        <x:v>41</x:v>
      </x:c>
      <x:c r="C16" s="59" t="str">
        <x:v>Trae Young</x:v>
      </x:c>
      <x:c r="D16" s="59" t="str">
        <x:v>WAS</x:v>
      </x:c>
      <x:c r="E16" s="58" t="n">
        <x:v>15</x:v>
      </x:c>
      <x:c r="F16" s="60" t="n">
        <x:v>34.15</x:v>
      </x:c>
      <x:c r="G16" s="60" t="n">
        <x:v>34.65379129824785</x:v>
      </x:c>
      <x:c r="H16" s="60" t="n">
        <x:v>45.65379129824785</x:v>
      </x:c>
      <x:c r="I16" s="58" t="n">
        <x:v>75</x:v>
      </x:c>
      <x:c r="J16" s="59" t="str">
        <x:v>MEDIUM</x:v>
      </x:c>
      <x:c r="K16" s="59" t="str">
        <x:v>PG</x:v>
      </x:c>
      <x:c r="L16" s="62" t="str">
        <x:v>Washington has productive targets; turnover penalty means assists alone do not make him elite.</x:v>
      </x:c>
    </x:row>
    <x:row r="17" ht="20" customHeight="1">
      <x:c r="A17" s="59" t="n">
        <x:v>12</x:v>
      </x:c>
      <x:c r="B17" s="59" t="n">
        <x:v>47</x:v>
      </x:c>
      <x:c r="C17" s="59" t="str">
        <x:v>Tyrese Haliburton</x:v>
      </x:c>
      <x:c r="D17" s="59" t="str">
        <x:v>IND</x:v>
      </x:c>
      <x:c r="E17" s="58" t="n">
        <x:v>0</x:v>
      </x:c>
      <x:c r="F17" s="60"/>
      <x:c r="G17" s="60" t="n">
        <x:v>35.79200576847532</x:v>
      </x:c>
      <x:c r="H17" s="60" t="n">
        <x:v>46.79200576847532</x:v>
      </x:c>
      <x:c r="I17" s="58" t="n">
        <x:v>66</x:v>
      </x:c>
      <x:c r="J17" s="59" t="str">
        <x:v>MEDIUM</x:v>
      </x:c>
      <x:c r="K17" s="59" t="str">
        <x:v>PG/SG</x:v>
      </x:c>
      <x:c r="L17" s="62" t="str">
        <x:v>Returned from Achilles absence, then tweaked right ankle in preseason debut. MRI was encouraging, but return-season workload/ramp remains a real draft risk.</x:v>
      </x:c>
    </x:row>
    <x:row r="18" ht="20" customHeight="1">
      <x:c r="A18" s="59" t="n">
        <x:v>13</x:v>
      </x:c>
      <x:c r="B18" s="59" t="n">
        <x:v>52</x:v>
      </x:c>
      <x:c r="C18" s="59" t="str">
        <x:v>Kyrie Irving</x:v>
      </x:c>
      <x:c r="D18" s="59" t="str">
        <x:v>DAL</x:v>
      </x:c>
      <x:c r="E18" s="58" t="n">
        <x:v>0</x:v>
      </x:c>
      <x:c r="F18" s="60"/>
      <x:c r="G18" s="60" t="n">
        <x:v>33.644198242989305</x:v>
      </x:c>
      <x:c r="H18" s="60" t="n">
        <x:v>44.644198242989305</x:v>
      </x:c>
      <x:c r="I18" s="58" t="n">
        <x:v>62</x:v>
      </x:c>
      <x:c r="J18" s="59" t="str">
        <x:v>MEDIUM</x:v>
      </x:c>
      <x:c r="K18" s="59" t="str">
        <x:v>PG</x:v>
      </x:c>
      <x:c r="L18" s="62" t="str">
        <x:v>Returning after 19-month ACL absence. No reported physical restriction, but conditioning and game-rhythm risk warrant a modest discount.</x:v>
      </x:c>
    </x:row>
    <x:row r="19" ht="20" customHeight="1">
      <x:c r="A19" s="59" t="n">
        <x:v>14</x:v>
      </x:c>
      <x:c r="B19" s="59" t="n">
        <x:v>58</x:v>
      </x:c>
      <x:c r="C19" s="59" t="str">
        <x:v>Damian Lillard</x:v>
      </x:c>
      <x:c r="D19" s="59" t="str">
        <x:v>POR</x:v>
      </x:c>
      <x:c r="E19" s="58" t="n">
        <x:v>0</x:v>
      </x:c>
      <x:c r="F19" s="60"/>
      <x:c r="G19" s="60" t="n">
        <x:v>33.7997210135676</x:v>
      </x:c>
      <x:c r="H19" s="60" t="n">
        <x:v>44.7997210135676</x:v>
      </x:c>
      <x:c r="I19" s="58" t="n">
        <x:v>66</x:v>
      </x:c>
      <x:c r="J19" s="59" t="str">
        <x:v>MEDIUM</x:v>
      </x:c>
      <x:c r="K19" s="59" t="str">
        <x:v>PG</x:v>
      </x:c>
      <x:c r="L19" s="62" t="str">
        <x:v>Back on the court in preseason after Achilles recovery. Return is encouraging, but age and post-Achilles workload still warrant a discount.</x:v>
      </x:c>
    </x:row>
    <x:row r="20" ht="20" customHeight="1">
      <x:c r="A20" s="59" t="n">
        <x:v>15</x:v>
      </x:c>
      <x:c r="B20" s="59" t="n">
        <x:v>61</x:v>
      </x:c>
      <x:c r="C20" s="59" t="str">
        <x:v>Stephon Castle</x:v>
      </x:c>
      <x:c r="D20" s="59" t="str">
        <x:v>SAS</x:v>
      </x:c>
      <x:c r="E20" s="58" t="n">
        <x:v>68</x:v>
      </x:c>
      <x:c r="F20" s="60" t="n">
        <x:v>35.35</x:v>
      </x:c>
      <x:c r="G20" s="60" t="n">
        <x:v>31.198514643330164</x:v>
      </x:c>
      <x:c r="H20" s="60" t="n">
        <x:v>38.198514643330164</x:v>
      </x:c>
      <x:c r="I20" s="58" t="n">
        <x:v>75</x:v>
      </x:c>
      <x:c r="J20" s="59" t="str">
        <x:v>STANDARD</x:v>
      </x:c>
      <x:c r="K20" s="59" t="str">
        <x:v>PG/SG</x:v>
      </x:c>
      <x:c r="L20" s="62" t="str">
        <x:v>Development upside, but San Antonio has multiple handlers.</x:v>
      </x:c>
    </x:row>
    <x:row r="21" ht="20" customHeight="1">
      <x:c r="A21" s="59" t="n">
        <x:v>16</x:v>
      </x:c>
      <x:c r="B21" s="59" t="n">
        <x:v>63</x:v>
      </x:c>
      <x:c r="C21" s="59" t="str">
        <x:v>Keyonte George</x:v>
      </x:c>
      <x:c r="D21" s="59" t="str">
        <x:v>UTA</x:v>
      </x:c>
      <x:c r="E21" s="58" t="n">
        <x:v>54</x:v>
      </x:c>
      <x:c r="F21" s="60" t="n">
        <x:v>40.1</x:v>
      </x:c>
      <x:c r="G21" s="60" t="n">
        <x:v>31.33739009274636</x:v>
      </x:c>
      <x:c r="H21" s="60" t="n">
        <x:v>38.33739009274636</x:v>
      </x:c>
      <x:c r="I21" s="58" t="n">
        <x:v>73</x:v>
      </x:c>
      <x:c r="J21" s="59" t="str">
        <x:v>STANDARD</x:v>
      </x:c>
      <x:c r="K21" s="59" t="str">
        <x:v>PG/SG</x:v>
      </x:c>
      <x:c r="L21" s="62" t="str">
        <x:v>Utah's crowded offense makes a repeat of last year's leap less automatic.</x:v>
      </x:c>
    </x:row>
    <x:row r="22" ht="20" customHeight="1">
      <x:c r="A22" s="59" t="n">
        <x:v>17</x:v>
      </x:c>
      <x:c r="B22" s="59" t="n">
        <x:v>64</x:v>
      </x:c>
      <x:c r="C22" s="59" t="str">
        <x:v>Derrick White</x:v>
      </x:c>
      <x:c r="D22" s="59" t="str">
        <x:v>BOS</x:v>
      </x:c>
      <x:c r="E22" s="58" t="n">
        <x:v>77</x:v>
      </x:c>
      <x:c r="F22" s="60" t="n">
        <x:v>33.85000000000001</x:v>
      </x:c>
      <x:c r="G22" s="60" t="n">
        <x:v>30.258117171068065</x:v>
      </x:c>
      <x:c r="H22" s="60" t="n">
        <x:v>37.258117171068065</x:v>
      </x:c>
      <x:c r="I22" s="58" t="n">
        <x:v>78</x:v>
      </x:c>
      <x:c r="J22" s="59" t="str">
        <x:v>STANDARD</x:v>
      </x:c>
      <x:c r="K22" s="59" t="str">
        <x:v>PG/SG</x:v>
      </x:c>
      <x:c r="L22" s="62" t="str">
        <x:v>Useful balanced guard; not a massive steals/blocks premium in these settings.</x:v>
      </x:c>
    </x:row>
    <x:row r="23" ht="20" customHeight="1">
      <x:c r="A23" s="59" t="n">
        <x:v>18</x:v>
      </x:c>
      <x:c r="B23" s="59" t="n">
        <x:v>65</x:v>
      </x:c>
      <x:c r="C23" s="59" t="str">
        <x:v>Darius Garland</x:v>
      </x:c>
      <x:c r="D23" s="59" t="str">
        <x:v>LAC</x:v>
      </x:c>
      <x:c r="E23" s="58" t="n">
        <x:v>45</x:v>
      </x:c>
      <x:c r="F23" s="60" t="n">
        <x:v>32.05</x:v>
      </x:c>
      <x:c r="G23" s="60" t="n">
        <x:v>30.503849638933815</x:v>
      </x:c>
      <x:c r="H23" s="60" t="n">
        <x:v>37.503849638933815</x:v>
      </x:c>
      <x:c r="I23" s="58" t="n">
        <x:v>74</x:v>
      </x:c>
      <x:c r="J23" s="59" t="str">
        <x:v>STANDARD</x:v>
      </x:c>
      <x:c r="K23" s="59" t="str">
        <x:v>PG</x:v>
      </x:c>
      <x:c r="L23" s="62" t="str">
        <x:v>Clippers role can help; avoid assuming every change of team produces a breakout.</x:v>
      </x:c>
    </x:row>
    <x:row r="24" ht="20" customHeight="1">
      <x:c r="A24" s="59" t="n">
        <x:v>19</x:v>
      </x:c>
      <x:c r="B24" s="59" t="n">
        <x:v>66</x:v>
      </x:c>
      <x:c r="C24" s="59" t="str">
        <x:v>Ja Morant</x:v>
      </x:c>
      <x:c r="D24" s="59" t="str">
        <x:v>POR</x:v>
      </x:c>
      <x:c r="E24" s="58" t="n">
        <x:v>20</x:v>
      </x:c>
      <x:c r="F24" s="60" t="n">
        <x:v>33.8</x:v>
      </x:c>
      <x:c r="G24" s="60" t="n">
        <x:v>26.665171228621105</x:v>
      </x:c>
      <x:c r="H24" s="60" t="n">
        <x:v>42.665171228621105</x:v>
      </x:c>
      <x:c r="I24" s="58" t="n">
        <x:v>72</x:v>
      </x:c>
      <x:c r="J24" s="59" t="str">
        <x:v>HIGH</x:v>
      </x:c>
      <x:c r="K24" s="59" t="str">
        <x:v>PG</x:v>
      </x:c>
      <x:c r="L24" s="62" t="str">
        <x:v>Portland's crowded creation and availability history justify a large discount.</x:v>
      </x:c>
    </x:row>
    <x:row r="25" ht="20" customHeight="1">
      <x:c r="A25" s="59" t="n">
        <x:v>20</x:v>
      </x:c>
      <x:c r="B25" s="59" t="n">
        <x:v>67</x:v>
      </x:c>
      <x:c r="C25" s="59" t="str">
        <x:v>De'Aaron Fox</x:v>
      </x:c>
      <x:c r="D25" s="59" t="str">
        <x:v>SAS</x:v>
      </x:c>
      <x:c r="E25" s="58" t="n">
        <x:v>72</x:v>
      </x:c>
      <x:c r="F25" s="60" t="n">
        <x:v>34.45</x:v>
      </x:c>
      <x:c r="G25" s="60" t="n">
        <x:v>30.249026348511116</x:v>
      </x:c>
      <x:c r="H25" s="60" t="n">
        <x:v>37.249026348511116</x:v>
      </x:c>
      <x:c r="I25" s="58" t="n">
        <x:v>75</x:v>
      </x:c>
      <x:c r="J25" s="59" t="str">
        <x:v>STANDARD</x:v>
      </x:c>
      <x:c r="K25" s="59" t="str">
        <x:v>PG/SG</x:v>
      </x:c>
      <x:c r="L25" s="62" t="str">
        <x:v>Good player, but shared San Antonio creation and this scoring formula lower draft priority.</x:v>
      </x:c>
    </x:row>
    <x:row r="26" ht="20" customHeight="1">
      <x:c r="A26" s="59" t="n">
        <x:v>21</x:v>
      </x:c>
      <x:c r="B26" s="59" t="n">
        <x:v>74</x:v>
      </x:c>
      <x:c r="C26" s="59" t="str">
        <x:v>Darius Acuff Jr.</x:v>
      </x:c>
      <x:c r="D26" s="59" t="str">
        <x:v>SAC</x:v>
      </x:c>
      <x:c r="E26" s="58" t="n">
        <x:v>0</x:v>
      </x:c>
      <x:c r="F26" s="60"/>
      <x:c r="G26" s="60" t="n">
        <x:v>27.083912741325044</x:v>
      </x:c>
      <x:c r="H26" s="60" t="n">
        <x:v>38.083912741325044</x:v>
      </x:c>
      <x:c r="I26" s="58" t="n">
        <x:v>76</x:v>
      </x:c>
      <x:c r="J26" s="59" t="str">
        <x:v>MEDIUM</x:v>
      </x:c>
      <x:c r="K26" s="59" t="str">
        <x:v>PG</x:v>
      </x:c>
      <x:c r="L26" s="62" t="str">
        <x:v>Sacramento rookie opportunity is interesting; wider uncertainty than veteran alternatives.</x:v>
      </x:c>
    </x:row>
    <x:row r="27" ht="20" customHeight="1">
      <x:c r="A27" s="59" t="n">
        <x:v>22</x:v>
      </x:c>
      <x:c r="B27" s="59" t="n">
        <x:v>75</x:v>
      </x:c>
      <x:c r="C27" s="59" t="str">
        <x:v>Ty Jerome</x:v>
      </x:c>
      <x:c r="D27" s="59" t="str">
        <x:v>MEM</x:v>
      </x:c>
      <x:c r="E27" s="58" t="n">
        <x:v>15</x:v>
      </x:c>
      <x:c r="F27" s="60" t="n">
        <x:v>36.50000000000001</x:v>
      </x:c>
      <x:c r="G27" s="60" t="n">
        <x:v>27.655079042876004</x:v>
      </x:c>
      <x:c r="H27" s="60" t="n">
        <x:v>38.655079042876004</x:v>
      </x:c>
      <x:c r="I27" s="58" t="n">
        <x:v>71</x:v>
      </x:c>
      <x:c r="J27" s="59" t="str">
        <x:v>MEDIUM</x:v>
      </x:c>
      <x:c r="K27" s="59" t="str">
        <x:v>PG/SG</x:v>
      </x:c>
      <x:c r="L27" s="62" t="str">
        <x:v>Memphis opportunity is attractive; small 15-game prior sample should not anchor expectations.</x:v>
      </x:c>
    </x:row>
    <x:row r="28" ht="20" customHeight="1">
      <x:c r="A28" s="59" t="n">
        <x:v>23</x:v>
      </x:c>
      <x:c r="B28" s="59" t="n">
        <x:v>81</x:v>
      </x:c>
      <x:c r="C28" s="59" t="str">
        <x:v>Dejounte Murray</x:v>
      </x:c>
      <x:c r="D28" s="59" t="str">
        <x:v>NOP</x:v>
      </x:c>
      <x:c r="E28" s="58" t="n">
        <x:v>14</x:v>
      </x:c>
      <x:c r="F28" s="60" t="n">
        <x:v>32.400000000000006</x:v>
      </x:c>
      <x:c r="G28" s="60" t="n">
        <x:v>26.219580855136666</x:v>
      </x:c>
      <x:c r="H28" s="60" t="n">
        <x:v>37.21958085513667</x:v>
      </x:c>
      <x:c r="I28" s="58" t="n">
        <x:v>73</x:v>
      </x:c>
      <x:c r="J28" s="59" t="str">
        <x:v>MEDIUM</x:v>
      </x:c>
      <x:c r="K28" s="59" t="str">
        <x:v>PG/SG</x:v>
      </x:c>
      <x:c r="L28" s="62" t="str">
        <x:v>Return workload and shooting remain risks; forecast below old peak reputation.</x:v>
      </x:c>
    </x:row>
    <x:row r="29" ht="20" customHeight="1">
      <x:c r="A29" s="59" t="n">
        <x:v>24</x:v>
      </x:c>
      <x:c r="B29" s="59" t="n">
        <x:v>82</x:v>
      </x:c>
      <x:c r="C29" s="59" t="str">
        <x:v>Immanuel Quickley</x:v>
      </x:c>
      <x:c r="D29" s="59" t="str">
        <x:v>TOR</x:v>
      </x:c>
      <x:c r="E29" s="58" t="n">
        <x:v>70</x:v>
      </x:c>
      <x:c r="F29" s="60" t="n">
        <x:v>32.8</x:v>
      </x:c>
      <x:c r="G29" s="60" t="n">
        <x:v>26.58166715037069</x:v>
      </x:c>
      <x:c r="H29" s="60" t="n">
        <x:v>37.58166715037069</x:v>
      </x:c>
      <x:c r="I29" s="58" t="n">
        <x:v>72</x:v>
      </x:c>
      <x:c r="J29" s="59" t="str">
        <x:v>MEDIUM</x:v>
      </x:c>
      <x:c r="K29" s="59" t="str">
        <x:v>PG/SG</x:v>
      </x:c>
      <x:c r="L29" s="62" t="str">
        <x:v>Toronto creation is crowded; moderate upside at a discounted price.</x:v>
      </x:c>
    </x:row>
    <x:row r="30" ht="20" customHeight="1">
      <x:c r="A30" s="59" t="n">
        <x:v>25</x:v>
      </x:c>
      <x:c r="B30" s="59" t="n">
        <x:v>84</x:v>
      </x:c>
      <x:c r="C30" s="59" t="str">
        <x:v>Coby White</x:v>
      </x:c>
      <x:c r="D30" s="59" t="str">
        <x:v>CHA</x:v>
      </x:c>
      <x:c r="E30" s="58" t="n">
        <x:v>50</x:v>
      </x:c>
      <x:c r="F30" s="60" t="n">
        <x:v>27.350000000000005</x:v>
      </x:c>
      <x:c r="G30" s="60" t="n">
        <x:v>25.287360462970952</x:v>
      </x:c>
      <x:c r="H30" s="60" t="n">
        <x:v>41.28736046297095</x:v>
      </x:c>
      <x:c r="I30" s="58" t="n">
        <x:v>68</x:v>
      </x:c>
      <x:c r="J30" s="59" t="str">
        <x:v>HIGH</x:v>
      </x:c>
      <x:c r="K30" s="59" t="str">
        <x:v>PG/SG</x:v>
      </x:c>
      <x:c r="L30" s="62" t="str">
        <x:v>Left calf strain will keep him out for the entire preseason; opening-night availability is unclear.</x:v>
      </x:c>
    </x:row>
    <x:row r="31" ht="20" customHeight="1">
      <x:c r="A31" s="59" t="n">
        <x:v>26</x:v>
      </x:c>
      <x:c r="B31" s="59" t="n">
        <x:v>86</x:v>
      </x:c>
      <x:c r="C31" s="59" t="str">
        <x:v>CJ McCollum</x:v>
      </x:c>
      <x:c r="D31" s="59" t="str">
        <x:v>ATL</x:v>
      </x:c>
      <x:c r="E31" s="58" t="n">
        <x:v>76</x:v>
      </x:c>
      <x:c r="F31" s="60" t="n">
        <x:v>31.000000000000007</x:v>
      </x:c>
      <x:c r="G31" s="60" t="n">
        <x:v>27.889185528582317</x:v>
      </x:c>
      <x:c r="H31" s="60" t="n">
        <x:v>34.88918552858232</x:v>
      </x:c>
      <x:c r="I31" s="58" t="n">
        <x:v>76</x:v>
      </x:c>
      <x:c r="J31" s="59" t="str">
        <x:v>STANDARD</x:v>
      </x:c>
      <x:c r="K31" s="59" t="str">
        <x:v>PG/SG</x:v>
      </x:c>
      <x:c r="L31" s="62" t="str">
        <x:v>Veteran scoring depth; prefer younger upside at similar cost once starters are filled.</x:v>
      </x:c>
    </x:row>
    <x:row r="32" ht="20" customHeight="1">
      <x:c r="A32" s="59" t="n">
        <x:v>27</x:v>
      </x:c>
      <x:c r="B32" s="59" t="n">
        <x:v>89</x:v>
      </x:c>
      <x:c r="C32" s="59" t="str">
        <x:v>Darryn Peterson</x:v>
      </x:c>
      <x:c r="D32" s="59" t="str">
        <x:v>UTA</x:v>
      </x:c>
      <x:c r="E32" s="58" t="n">
        <x:v>0</x:v>
      </x:c>
      <x:c r="F32" s="60"/>
      <x:c r="G32" s="60" t="n">
        <x:v>25.716611849234</x:v>
      </x:c>
      <x:c r="H32" s="60" t="n">
        <x:v>36.716611849234</x:v>
      </x:c>
      <x:c r="I32" s="58" t="n">
        <x:v>76</x:v>
      </x:c>
      <x:c r="J32" s="59" t="str">
        <x:v>MEDIUM</x:v>
      </x:c>
      <x:c r="K32" s="59" t="str">
        <x:v>PG/SG</x:v>
      </x:c>
      <x:c r="L32" s="62" t="str">
        <x:v>Utah rookie upside; competition and efficiency create a wide early-season range.</x:v>
      </x:c>
    </x:row>
    <x:row r="33" ht="20" customHeight="1">
      <x:c r="A33" s="59" t="n">
        <x:v>28</x:v>
      </x:c>
      <x:c r="B33" s="59" t="n">
        <x:v>93</x:v>
      </x:c>
      <x:c r="C33" s="59" t="str">
        <x:v>Payton Pritchard</x:v>
      </x:c>
      <x:c r="D33" s="59" t="str">
        <x:v>BOS</x:v>
      </x:c>
      <x:c r="E33" s="58" t="n">
        <x:v>79</x:v>
      </x:c>
      <x:c r="F33" s="60" t="n">
        <x:v>32.25</x:v>
      </x:c>
      <x:c r="G33" s="60" t="n">
        <x:v>27.186223832300687</x:v>
      </x:c>
      <x:c r="H33" s="60" t="n">
        <x:v>34.18622383230068</x:v>
      </x:c>
      <x:c r="I33" s="58" t="n">
        <x:v>75</x:v>
      </x:c>
      <x:c r="J33" s="59" t="str">
        <x:v>STANDARD</x:v>
      </x:c>
      <x:c r="K33" s="59" t="str">
        <x:v>PG/SG</x:v>
      </x:c>
      <x:c r="L33" s="62" t="str">
        <x:v>Useful Boston guard depth; evaluate real minutes rather than preseason reputation.</x:v>
      </x:c>
    </x:row>
    <x:row r="34" ht="20" customHeight="1">
      <x:c r="A34" s="59" t="n">
        <x:v>29</x:v>
      </x:c>
      <x:c r="B34" s="59" t="n">
        <x:v>98</x:v>
      </x:c>
      <x:c r="C34" s="59" t="str">
        <x:v>Dylan Harper</x:v>
      </x:c>
      <x:c r="D34" s="59" t="str">
        <x:v>SAS</x:v>
      </x:c>
      <x:c r="E34" s="58" t="n">
        <x:v>69</x:v>
      </x:c>
      <x:c r="F34" s="60" t="n">
        <x:v>23.800000000000004</x:v>
      </x:c>
      <x:c r="G34" s="60" t="n">
        <x:v>26.420322328593677</x:v>
      </x:c>
      <x:c r="H34" s="60" t="n">
        <x:v>33.42032232859368</x:v>
      </x:c>
      <x:c r="I34" s="58" t="n">
        <x:v>75</x:v>
      </x:c>
      <x:c r="J34" s="59" t="str">
        <x:v>STANDARD</x:v>
      </x:c>
      <x:c r="K34" s="59" t="str">
        <x:v>PG/SG</x:v>
      </x:c>
      <x:c r="L34" s="62" t="str">
        <x:v>Development upside; Spurs' crowded guard rotation creates a minutes constraint.</x:v>
      </x:c>
    </x:row>
    <x:row r="35" ht="20" customHeight="1">
      <x:c r="A35" s="59" t="n">
        <x:v>30</x:v>
      </x:c>
      <x:c r="B35" s="59" t="n">
        <x:v>107</x:v>
      </x:c>
      <x:c r="C35" s="59" t="str">
        <x:v>Andrew Nembhard</x:v>
      </x:c>
      <x:c r="D35" s="59" t="str">
        <x:v>IND</x:v>
      </x:c>
      <x:c r="E35" s="58" t="n">
        <x:v>57</x:v>
      </x:c>
      <x:c r="F35" s="60" t="n">
        <x:v>32.199999999999996</x:v>
      </x:c>
      <x:c r="G35" s="60" t="n">
        <x:v>23.890074307884454</x:v>
      </x:c>
      <x:c r="H35" s="60" t="n">
        <x:v>30.890074307884454</x:v>
      </x:c>
      <x:c r="I35" s="58" t="n">
        <x:v>75</x:v>
      </x:c>
      <x:c r="J35" s="59" t="str">
        <x:v>STANDARD</x:v>
      </x:c>
      <x:c r="K35" s="59" t="str">
        <x:v>PG/SG</x:v>
      </x:c>
      <x:c r="L35" s="62" t="str">
        <x:v>Haliburton returns, reducing the appeal of extrapolating last year's creation.</x:v>
      </x:c>
    </x:row>
    <x:row r="36" ht="20" customHeight="1">
      <x:c r="A36" s="59" t="n">
        <x:v>31</x:v>
      </x:c>
      <x:c r="B36" s="59" t="n">
        <x:v>109</x:v>
      </x:c>
      <x:c r="C36" s="59" t="str">
        <x:v>Fred VanVleet</x:v>
      </x:c>
      <x:c r="D36" s="59" t="str">
        <x:v>HOU</x:v>
      </x:c>
      <x:c r="E36" s="58" t="n">
        <x:v>0</x:v>
      </x:c>
      <x:c r="F36" s="60"/>
      <x:c r="G36" s="60" t="n">
        <x:v>21.88112148275654</x:v>
      </x:c>
      <x:c r="H36" s="60" t="n">
        <x:v>32.88112148275654</x:v>
      </x:c>
      <x:c r="I36" s="58" t="n">
        <x:v>73</x:v>
      </x:c>
      <x:c r="J36" s="59" t="str">
        <x:v>MEDIUM</x:v>
      </x:c>
      <x:c r="K36" s="59" t="str">
        <x:v>PG/SG</x:v>
      </x:c>
      <x:c r="L36" s="62" t="str">
        <x:v>ACL return and crowded Houston offense; wait for camp workload clarity.</x:v>
      </x:c>
    </x:row>
    <x:row r="37" ht="20" customHeight="1">
      <x:c r="A37" s="59" t="n">
        <x:v>32</x:v>
      </x:c>
      <x:c r="B37" s="59" t="n">
        <x:v>123</x:v>
      </x:c>
      <x:c r="C37" s="59" t="str">
        <x:v>Jalen Suggs</x:v>
      </x:c>
      <x:c r="D37" s="59" t="str">
        <x:v>ORL</x:v>
      </x:c>
      <x:c r="E37" s="58"/>
      <x:c r="F37" s="60"/>
      <x:c r="G37" s="60" t="n">
        <x:v>23.117507696632064</x:v>
      </x:c>
      <x:c r="H37" s="60" t="n">
        <x:v>30.117507696632064</x:v>
      </x:c>
      <x:c r="I37" s="58" t="n">
        <x:v>70</x:v>
      </x:c>
      <x:c r="J37" s="59" t="str">
        <x:v>DEEP</x:v>
      </x:c>
      <x:c r="K37" s="59" t="str">
        <x:v>PG/SG</x:v>
      </x:c>
      <x:c r="L37" s="62" t="str">
        <x:v>Deep-board candidate for a 10-team league; custom-format estimate emphasizes role, efficiency and rebounding. Recheck camp role and app eligibility before draft day.</x:v>
      </x:c>
    </x:row>
    <x:row r="38" ht="20" customHeight="1">
      <x:c r="A38" s="59" t="n">
        <x:v>33</x:v>
      </x:c>
      <x:c r="B38" s="59" t="n">
        <x:v>127</x:v>
      </x:c>
      <x:c r="C38" s="59" t="str">
        <x:v>Jrue Holiday</x:v>
      </x:c>
      <x:c r="D38" s="59" t="str">
        <x:v>POR</x:v>
      </x:c>
      <x:c r="E38" s="58"/>
      <x:c r="F38" s="60"/>
      <x:c r="G38" s="60" t="n">
        <x:v>22.56</x:v>
      </x:c>
      <x:c r="H38" s="60" t="n">
        <x:v>29.56</x:v>
      </x:c>
      <x:c r="I38" s="58" t="n">
        <x:v>70</x:v>
      </x:c>
      <x:c r="J38" s="59" t="str">
        <x:v>DEEP</x:v>
      </x:c>
      <x:c r="K38" s="59" t="str">
        <x:v>PG/SG</x:v>
      </x:c>
      <x:c r="L38" s="62" t="str">
        <x:v>Deep-board candidate for a 10-team league; custom-format estimate emphasizes role, efficiency and rebounding. Recheck camp role and app eligibility before draft day.</x:v>
      </x:c>
    </x:row>
    <x:row r="39" ht="20" customHeight="1">
      <x:c r="A39" s="59" t="n">
        <x:v>34</x:v>
      </x:c>
      <x:c r="B39" s="59" t="n">
        <x:v>128</x:v>
      </x:c>
      <x:c r="C39" s="59" t="str">
        <x:v>T.J. McConnell</x:v>
      </x:c>
      <x:c r="D39" s="59" t="str">
        <x:v>IND</x:v>
      </x:c>
      <x:c r="E39" s="58"/>
      <x:c r="F39" s="60"/>
      <x:c r="G39" s="60" t="n">
        <x:v>22.45</x:v>
      </x:c>
      <x:c r="H39" s="60" t="n">
        <x:v>29.45</x:v>
      </x:c>
      <x:c r="I39" s="58" t="n">
        <x:v>70</x:v>
      </x:c>
      <x:c r="J39" s="59" t="str">
        <x:v>DEEP</x:v>
      </x:c>
      <x:c r="K39" s="59" t="str">
        <x:v>PG</x:v>
      </x:c>
      <x:c r="L39" s="62" t="str">
        <x:v>Deep-board candidate for a 10-team league; custom-format estimate emphasizes role, efficiency and rebounding. Recheck camp role and app eligibility before draft day.</x:v>
      </x:c>
    </x:row>
    <x:row r="40" ht="20" customHeight="1">
      <x:c r="A40" s="59" t="n">
        <x:v>35</x:v>
      </x:c>
      <x:c r="B40" s="59" t="n">
        <x:v>132</x:v>
      </x:c>
      <x:c r="C40" s="59" t="str">
        <x:v>Ryan Rollins</x:v>
      </x:c>
      <x:c r="D40" s="59" t="str">
        <x:v>MIL</x:v>
      </x:c>
      <x:c r="E40" s="58" t="n">
        <x:v>74</x:v>
      </x:c>
      <x:c r="F40" s="60" t="n">
        <x:v>33</x:v>
      </x:c>
      <x:c r="G40" s="60" t="n">
        <x:v>21.64736139272584</x:v>
      </x:c>
      <x:c r="H40" s="60" t="n">
        <x:v>28.64736139272584</x:v>
      </x:c>
      <x:c r="I40" s="58" t="n">
        <x:v>73</x:v>
      </x:c>
      <x:c r="J40" s="59" t="str">
        <x:v>STANDARD</x:v>
      </x:c>
      <x:c r="K40" s="59" t="str">
        <x:v>PG/SG</x:v>
      </x:c>
      <x:c r="L40" s="62" t="str">
        <x:v>Milwaukee has added Herro; previous production is not a guaranteed starting point.</x:v>
      </x:c>
    </x:row>
    <x:row r="41" ht="20" customHeight="1">
      <x:c r="A41" s="59" t="n">
        <x:v>36</x:v>
      </x:c>
      <x:c r="B41" s="59" t="n">
        <x:v>142</x:v>
      </x:c>
      <x:c r="C41" s="59" t="str">
        <x:v>Collin Sexton</x:v>
      </x:c>
      <x:c r="D41" s="59" t="str">
        <x:v>LAL</x:v>
      </x:c>
      <x:c r="E41" s="58"/>
      <x:c r="F41" s="60"/>
      <x:c r="G41" s="60" t="n">
        <x:v>22.38232306043991</x:v>
      </x:c>
      <x:c r="H41" s="60" t="n">
        <x:v>29.38232306043991</x:v>
      </x:c>
      <x:c r="I41" s="58" t="n">
        <x:v>75</x:v>
      </x:c>
      <x:c r="J41" s="59" t="str">
        <x:v>DEEP</x:v>
      </x:c>
      <x:c r="K41" s="59" t="str">
        <x:v>PG/SG</x:v>
      </x:c>
      <x:c r="L41" s="62" t="str">
        <x:v>Deep-board candidate for a 10-team league; custom-format estimate emphasizes role, efficiency and rebounding. Recheck camp role and app eligibility before draft day.</x:v>
      </x:c>
    </x:row>
    <x:row r="42" ht="20" customHeight="1">
      <x:c r="A42" s="59" t="n">
        <x:v>37</x:v>
      </x:c>
      <x:c r="B42" s="59" t="n">
        <x:v>144</x:v>
      </x:c>
      <x:c r="C42" s="59" t="str">
        <x:v>Reed Sheppard</x:v>
      </x:c>
      <x:c r="D42" s="59" t="str">
        <x:v>HOU</x:v>
      </x:c>
      <x:c r="E42" s="58"/>
      <x:c r="F42" s="60"/>
      <x:c r="G42" s="60" t="n">
        <x:v>21.76</x:v>
      </x:c>
      <x:c r="H42" s="60" t="n">
        <x:v>28.76</x:v>
      </x:c>
      <x:c r="I42" s="58" t="n">
        <x:v>70</x:v>
      </x:c>
      <x:c r="J42" s="59" t="str">
        <x:v>DEEP</x:v>
      </x:c>
      <x:c r="K42" s="59" t="str">
        <x:v>PG/SG</x:v>
      </x:c>
      <x:c r="L42" s="62" t="str">
        <x:v>Deep-board candidate for a 10-team league; custom-format estimate emphasizes role, efficiency and rebounding. Recheck camp role and app eligibility before draft day.</x:v>
      </x:c>
    </x:row>
    <x:row r="43" ht="20" customHeight="1">
      <x:c r="A43" s="59" t="n">
        <x:v>38</x:v>
      </x:c>
      <x:c r="B43" s="59" t="n">
        <x:v>150</x:v>
      </x:c>
      <x:c r="C43" s="59" t="str">
        <x:v>Kevin Porter Jr.</x:v>
      </x:c>
      <x:c r="D43" s="59" t="str">
        <x:v>MIL</x:v>
      </x:c>
      <x:c r="E43" s="58" t="n">
        <x:v>38</x:v>
      </x:c>
      <x:c r="F43" s="60" t="n">
        <x:v>38.25000000000001</x:v>
      </x:c>
      <x:c r="G43" s="60" t="n">
        <x:v>20.118505507073426</x:v>
      </x:c>
      <x:c r="H43" s="60" t="n">
        <x:v>27.118505507073426</x:v>
      </x:c>
      <x:c r="I43" s="58" t="n">
        <x:v>72</x:v>
      </x:c>
      <x:c r="J43" s="59" t="str">
        <x:v>STANDARD</x:v>
      </x:c>
      <x:c r="K43" s="59" t="str">
        <x:v>PG/SG</x:v>
      </x:c>
      <x:c r="L43" s="62" t="str">
        <x:v>Milwaukee role and touches look less secure; large projected decline warrants caution.</x:v>
      </x:c>
    </x:row>
    <x:row r="44" ht="20" customHeight="1">
      <x:c r="A44" s="59" t="n">
        <x:v>39</x:v>
      </x:c>
      <x:c r="B44" s="59" t="n">
        <x:v>152</x:v>
      </x:c>
      <x:c r="C44" s="59" t="str">
        <x:v>Isaiah Collier</x:v>
      </x:c>
      <x:c r="D44" s="59" t="str">
        <x:v>UTA</x:v>
      </x:c>
      <x:c r="E44" s="58"/>
      <x:c r="F44" s="60"/>
      <x:c r="G44" s="60" t="n">
        <x:v>21.19</x:v>
      </x:c>
      <x:c r="H44" s="60" t="n">
        <x:v>28.19</x:v>
      </x:c>
      <x:c r="I44" s="58" t="n">
        <x:v>70</x:v>
      </x:c>
      <x:c r="J44" s="59" t="str">
        <x:v>DEEP</x:v>
      </x:c>
      <x:c r="K44" s="59" t="str">
        <x:v>PG</x:v>
      </x:c>
      <x:c r="L44" s="62" t="str">
        <x:v>Deep-board candidate for a 10-team league; custom-format estimate emphasizes role, efficiency and rebounding. Recheck camp role and app eligibility before draft day.</x:v>
      </x:c>
    </x:row>
    <x:row r="45" ht="20" customHeight="1">
      <x:c r="A45" s="59" t="n">
        <x:v>40</x:v>
      </x:c>
      <x:c r="B45" s="59" t="n">
        <x:v>155</x:v>
      </x:c>
      <x:c r="C45" s="59" t="str">
        <x:v>Davion Mitchell</x:v>
      </x:c>
      <x:c r="D45" s="59" t="str">
        <x:v>MIA</x:v>
      </x:c>
      <x:c r="E45" s="58"/>
      <x:c r="F45" s="60"/>
      <x:c r="G45" s="60" t="n">
        <x:v>20.28</x:v>
      </x:c>
      <x:c r="H45" s="60" t="n">
        <x:v>27.28</x:v>
      </x:c>
      <x:c r="I45" s="58" t="n">
        <x:v>70</x:v>
      </x:c>
      <x:c r="J45" s="59" t="str">
        <x:v>DEEP</x:v>
      </x:c>
      <x:c r="K45" s="59" t="str">
        <x:v>PG</x:v>
      </x:c>
      <x:c r="L45" s="62" t="str">
        <x:v>Deep-board candidate for a 10-team league; custom-format estimate emphasizes role, efficiency and rebounding. Recheck camp role and app eligibility before draft day.</x:v>
      </x:c>
    </x:row>
    <x:row r="46" ht="20" customHeight="1">
      <x:c r="A46" s="59" t="n">
        <x:v>41</x:v>
      </x:c>
      <x:c r="B46" s="59" t="n">
        <x:v>156</x:v>
      </x:c>
      <x:c r="C46" s="59" t="str">
        <x:v>Egor Demin</x:v>
      </x:c>
      <x:c r="D46" s="59" t="str">
        <x:v>BKN</x:v>
      </x:c>
      <x:c r="E46" s="58"/>
      <x:c r="F46" s="60"/>
      <x:c r="G46" s="60" t="n">
        <x:v>20.12084910747226</x:v>
      </x:c>
      <x:c r="H46" s="60" t="n">
        <x:v>27.12084910747226</x:v>
      </x:c>
      <x:c r="I46" s="58" t="n">
        <x:v>75</x:v>
      </x:c>
      <x:c r="J46" s="59" t="str">
        <x:v>DEEP</x:v>
      </x:c>
      <x:c r="K46" s="59" t="str">
        <x:v>PG/SG</x:v>
      </x:c>
      <x:c r="L46" s="62" t="str">
        <x:v>Deep-board candidate for a 10-team league; custom-format estimate emphasizes role, efficiency and rebounding. Recheck camp role and app eligibility before draft day.</x:v>
      </x:c>
    </x:row>
    <x:row r="47" ht="20" customHeight="1">
      <x:c r="A47" s="59" t="n">
        <x:v>42</x:v>
      </x:c>
      <x:c r="B47" s="59" t="n">
        <x:v>157</x:v>
      </x:c>
      <x:c r="C47" s="59" t="str">
        <x:v>Ajay Mitchell</x:v>
      </x:c>
      <x:c r="D47" s="59" t="str">
        <x:v>OKC</x:v>
      </x:c>
      <x:c r="E47" s="58"/>
      <x:c r="F47" s="60"/>
      <x:c r="G47" s="60" t="n">
        <x:v>20.17</x:v>
      </x:c>
      <x:c r="H47" s="60" t="n">
        <x:v>27.17</x:v>
      </x:c>
      <x:c r="I47" s="58" t="n">
        <x:v>70</x:v>
      </x:c>
      <x:c r="J47" s="59" t="str">
        <x:v>DEEP</x:v>
      </x:c>
      <x:c r="K47" s="59" t="str">
        <x:v>PG/SG</x:v>
      </x:c>
      <x:c r="L47" s="62" t="str">
        <x:v>Deep-board candidate for a 10-team league; custom-format estimate emphasizes role, efficiency and rebounding. Recheck camp role and app eligibility before draft day.</x:v>
      </x:c>
    </x:row>
    <x:row r="48" ht="20" customHeight="1">
      <x:c r="A48" s="59" t="n">
        <x:v>43</x:v>
      </x:c>
      <x:c r="B48" s="59" t="n">
        <x:v>158</x:v>
      </x:c>
      <x:c r="C48" s="59" t="str">
        <x:v>Tre Jones</x:v>
      </x:c>
      <x:c r="D48" s="59" t="str">
        <x:v>CHI</x:v>
      </x:c>
      <x:c r="E48" s="58" t="n">
        <x:v>65</x:v>
      </x:c>
      <x:c r="F48" s="60" t="n">
        <x:v>30.2</x:v>
      </x:c>
      <x:c r="G48" s="60" t="n">
        <x:v>21.235</x:v>
      </x:c>
      <x:c r="H48" s="60" t="n">
        <x:v>30.564999999999998</x:v>
      </x:c>
      <x:c r="I48" s="58" t="n">
        <x:v>60</x:v>
      </x:c>
      <x:c r="J48" s="59" t="str">
        <x:v>DEEP</x:v>
      </x:c>
      <x:c r="K48" s="59" t="str">
        <x:v>PG</x:v>
      </x:c>
      <x:c r="L48" s="62" t="str">
        <x:v>Deep-pool model: 2025-26 custom-score production shrunk toward a conservative 2026-27 role estimate; not a published projection.</x:v>
      </x:c>
    </x:row>
    <x:row r="49" ht="20" customHeight="1">
      <x:c r="A49" s="59" t="n">
        <x:v>44</x:v>
      </x:c>
      <x:c r="B49" s="59" t="n">
        <x:v>163</x:v>
      </x:c>
      <x:c r="C49" s="59" t="str">
        <x:v>Jeremiah Fears</x:v>
      </x:c>
      <x:c r="D49" s="59" t="str">
        <x:v>NOP</x:v>
      </x:c>
      <x:c r="E49" s="58"/>
      <x:c r="F49" s="60"/>
      <x:c r="G49" s="60" t="n">
        <x:v>19.01723329501375</x:v>
      </x:c>
      <x:c r="H49" s="60" t="n">
        <x:v>26.01723329501375</x:v>
      </x:c>
      <x:c r="I49" s="58" t="n">
        <x:v>78</x:v>
      </x:c>
      <x:c r="J49" s="59" t="str">
        <x:v>DEEP</x:v>
      </x:c>
      <x:c r="K49" s="59" t="str">
        <x:v>PG/SG</x:v>
      </x:c>
      <x:c r="L49" s="62" t="str">
        <x:v>Deep-board candidate for a 10-team league; custom-format estimate emphasizes role, efficiency and rebounding. Recheck camp role and app eligibility before draft day.</x:v>
      </x:c>
    </x:row>
    <x:row r="50" ht="20" customHeight="1">
      <x:c r="A50" s="59" t="n">
        <x:v>45</x:v>
      </x:c>
      <x:c r="B50" s="59" t="n">
        <x:v>181</x:v>
      </x:c>
      <x:c r="C50" s="59" t="str">
        <x:v>Collin Gillespie</x:v>
      </x:c>
      <x:c r="D50" s="59" t="str">
        <x:v>PHX</x:v>
      </x:c>
      <x:c r="E50" s="58" t="n">
        <x:v>80</x:v>
      </x:c>
      <x:c r="F50" s="60" t="n">
        <x:v>27.5</x:v>
      </x:c>
      <x:c r="G50" s="60" t="n">
        <x:v>19.575</x:v>
      </x:c>
      <x:c r="H50" s="60" t="n">
        <x:v>28.165000000000003</x:v>
      </x:c>
      <x:c r="I50" s="58" t="n">
        <x:v>60</x:v>
      </x:c>
      <x:c r="J50" s="59" t="str">
        <x:v>DEEP</x:v>
      </x:c>
      <x:c r="K50" s="59" t="str">
        <x:v>PG</x:v>
      </x:c>
      <x:c r="L50" s="62" t="str">
        <x:v>Deep-pool model: 2025-26 custom-score production shrunk toward a conservative 2026-27 role estimate; not a published projection.</x:v>
      </x:c>
    </x:row>
    <x:row r="51" ht="20" customHeight="1">
      <x:c r="A51" s="59" t="n">
        <x:v>46</x:v>
      </x:c>
      <x:c r="B51" s="59" t="n">
        <x:v>188</x:v>
      </x:c>
      <x:c r="C51" s="59" t="str">
        <x:v>Scoot Henderson</x:v>
      </x:c>
      <x:c r="D51" s="59" t="str">
        <x:v>POR</x:v>
      </x:c>
      <x:c r="E51" s="58"/>
      <x:c r="F51" s="60"/>
      <x:c r="G51" s="60" t="n">
        <x:v>16.500929340809204</x:v>
      </x:c>
      <x:c r="H51" s="60" t="n">
        <x:v>23.500929340809204</x:v>
      </x:c>
      <x:c r="I51" s="58" t="n">
        <x:v>72</x:v>
      </x:c>
      <x:c r="J51" s="59" t="str">
        <x:v>DEEP</x:v>
      </x:c>
      <x:c r="K51" s="59" t="str">
        <x:v>PG/SG</x:v>
      </x:c>
      <x:c r="L51" s="62" t="str">
        <x:v>Deep-board candidate for a 10-team league; custom-format estimate emphasizes role, efficiency and rebounding. Recheck camp role and app eligibility before draft day.</x:v>
      </x:c>
    </x:row>
    <x:row r="52" ht="20" customHeight="1">
      <x:c r="A52" s="59" t="n">
        <x:v>47</x:v>
      </x:c>
      <x:c r="B52" s="59" t="n">
        <x:v>189</x:v>
      </x:c>
      <x:c r="C52" s="59" t="str">
        <x:v>D'Angelo Russell</x:v>
      </x:c>
      <x:c r="D52" s="59" t="str">
        <x:v>DAL</x:v>
      </x:c>
      <x:c r="E52" s="58"/>
      <x:c r="F52" s="60"/>
      <x:c r="G52" s="60" t="n">
        <x:v>17.89</x:v>
      </x:c>
      <x:c r="H52" s="60" t="n">
        <x:v>24.89</x:v>
      </x:c>
      <x:c r="I52" s="58" t="n">
        <x:v>70</x:v>
      </x:c>
      <x:c r="J52" s="59" t="str">
        <x:v>DEEP</x:v>
      </x:c>
      <x:c r="K52" s="59" t="str">
        <x:v>PG/SG</x:v>
      </x:c>
      <x:c r="L52" s="62" t="str">
        <x:v>Deep-board candidate for a 10-team league; custom-format estimate emphasizes role, efficiency and rebounding. Recheck camp role and app eligibility before draft day.</x:v>
      </x:c>
    </x:row>
    <x:row r="53" ht="20" customHeight="1">
      <x:c r="A53" s="59" t="n">
        <x:v>48</x:v>
      </x:c>
      <x:c r="B53" s="59" t="n">
        <x:v>207</x:v>
      </x:c>
      <x:c r="C53" s="59" t="str">
        <x:v>Mikel Brown Jr.</x:v>
      </x:c>
      <x:c r="D53" s="59" t="str">
        <x:v>BKN</x:v>
      </x:c>
      <x:c r="E53" s="58"/>
      <x:c r="F53" s="60"/>
      <x:c r="G53" s="60" t="n">
        <x:v>19.86731737418726</x:v>
      </x:c>
      <x:c r="H53" s="60" t="n">
        <x:v>30.86731737418726</x:v>
      </x:c>
      <x:c r="I53" s="58" t="n">
        <x:v>68</x:v>
      </x:c>
      <x:c r="J53" s="59" t="str">
        <x:v>MEDIUM</x:v>
      </x:c>
      <x:c r="K53" s="59" t="str">
        <x:v>PG</x:v>
      </x:c>
      <x:c r="L53" s="62" t="str">
        <x:v>Current public projection feed flags him OUT. Apply a cautious short-term availability discount until status clears.</x:v>
      </x:c>
    </x:row>
    <x:row r="54" ht="20" customHeight="1">
      <x:c r="A54" s="59" t="n">
        <x:v>49</x:v>
      </x:c>
      <x:c r="B54" s="59" t="n">
        <x:v>210</x:v>
      </x:c>
      <x:c r="C54" s="59" t="str">
        <x:v>Kingston Flemings</x:v>
      </x:c>
      <x:c r="D54" s="59" t="str">
        <x:v>ATL</x:v>
      </x:c>
      <x:c r="E54" s="58"/>
      <x:c r="F54" s="60"/>
      <x:c r="G54" s="60" t="n">
        <x:v>17.444116364799488</x:v>
      </x:c>
      <x:c r="H54" s="60" t="n">
        <x:v>26.90411636479949</x:v>
      </x:c>
      <x:c r="I54" s="58" t="n">
        <x:v>75</x:v>
      </x:c>
      <x:c r="J54" s="59" t="str">
        <x:v>VERY_DEEP</x:v>
      </x:c>
      <x:c r="K54" s="59" t="str">
        <x:v>PG/SG</x:v>
      </x:c>
      <x:c r="L54" s="62" t="str">
        <x:v>Rookie/depth role estimate with a wide band and limited NBA evidence. Treat as a watch-list projection, not a published forecast.</x:v>
      </x:c>
    </x:row>
    <x:row r="55" ht="20" customHeight="1">
      <x:c r="A55" s="59" t="n">
        <x:v>50</x:v>
      </x:c>
      <x:c r="B55" s="59" t="n">
        <x:v>218</x:v>
      </x:c>
      <x:c r="C55" s="59" t="str">
        <x:v>Dennis Schroder</x:v>
      </x:c>
      <x:c r="D55" s="59" t="str">
        <x:v>SAC</x:v>
      </x:c>
      <x:c r="E55" s="58"/>
      <x:c r="F55" s="60"/>
      <x:c r="G55" s="60" t="n">
        <x:v>15.95</x:v>
      </x:c>
      <x:c r="H55" s="60" t="n">
        <x:v>22.95</x:v>
      </x:c>
      <x:c r="I55" s="58" t="n">
        <x:v>70</x:v>
      </x:c>
      <x:c r="J55" s="59" t="str">
        <x:v>DEEP</x:v>
      </x:c>
      <x:c r="K55" s="59" t="str">
        <x:v>PG</x:v>
      </x:c>
      <x:c r="L55" s="62" t="str">
        <x:v>Deep-board candidate for a 10-team league; custom-format estimate emphasizes role, efficiency and rebounding. Recheck camp role and app eligibility before draft day.</x:v>
      </x:c>
    </x:row>
    <x:row r="56" ht="20" customHeight="1">
      <x:c r="A56" s="59" t="n">
        <x:v>51</x:v>
      </x:c>
      <x:c r="B56" s="59" t="n">
        <x:v>223</x:v>
      </x:c>
      <x:c r="C56" s="59" t="str">
        <x:v>Kennedy Chandler</x:v>
      </x:c>
      <x:c r="D56" s="59" t="str">
        <x:v>CHI</x:v>
      </x:c>
      <x:c r="E56" s="58" t="n">
        <x:v>11</x:v>
      </x:c>
      <x:c r="F56" s="60" t="n">
        <x:v>28.55</x:v>
      </x:c>
      <x:c r="G56" s="60" t="n">
        <x:v>14.565000000000001</x:v>
      </x:c>
      <x:c r="H56" s="60" t="n">
        <x:v>25.895</x:v>
      </x:c>
      <x:c r="I56" s="58" t="n">
        <x:v>64</x:v>
      </x:c>
      <x:c r="J56" s="59" t="str">
        <x:v>VERY_DEEP</x:v>
      </x:c>
      <x:c r="K56" s="59" t="str">
        <x:v>PG</x:v>
      </x:c>
      <x:c r="L56" s="62" t="str">
        <x:v>Very-deep model estimate with limited sample/role certainty. Use as a search/watch-list value and refresh once final rotations are known.</x:v>
      </x:c>
    </x:row>
    <x:row r="57" ht="20" customHeight="1">
      <x:c r="A57" s="59" t="n">
        <x:v>52</x:v>
      </x:c>
      <x:c r="B57" s="59" t="n">
        <x:v>225</x:v>
      </x:c>
      <x:c r="C57" s="59" t="str">
        <x:v>Walter Clayton Jr.</x:v>
      </x:c>
      <x:c r="D57" s="59" t="str">
        <x:v>UTA</x:v>
      </x:c>
      <x:c r="E57" s="58"/>
      <x:c r="F57" s="60"/>
      <x:c r="G57" s="60" t="n">
        <x:v>15.84</x:v>
      </x:c>
      <x:c r="H57" s="60" t="n">
        <x:v>22.84</x:v>
      </x:c>
      <x:c r="I57" s="58" t="n">
        <x:v>70</x:v>
      </x:c>
      <x:c r="J57" s="59" t="str">
        <x:v>DEEP</x:v>
      </x:c>
      <x:c r="K57" s="59" t="str">
        <x:v>PG/SG</x:v>
      </x:c>
      <x:c r="L57" s="62" t="str">
        <x:v>Deep-board candidate for a 10-team league; custom-format estimate emphasizes role, efficiency and rebounding. Recheck camp role and app eligibility before draft day.</x:v>
      </x:c>
    </x:row>
    <x:row r="58" ht="20" customHeight="1">
      <x:c r="A58" s="59" t="n">
        <x:v>53</x:v>
      </x:c>
      <x:c r="B58" s="59" t="n">
        <x:v>226</x:v>
      </x:c>
      <x:c r="C58" s="59" t="str">
        <x:v>Brandon Williams</x:v>
      </x:c>
      <x:c r="D58" s="59" t="str">
        <x:v>GSW</x:v>
      </x:c>
      <x:c r="E58" s="58" t="n">
        <x:v>66</x:v>
      </x:c>
      <x:c r="F58" s="60" t="n">
        <x:v>24</x:v>
      </x:c>
      <x:c r="G58" s="60" t="n">
        <x:v>16.575000000000003</x:v>
      </x:c>
      <x:c r="H58" s="60" t="n">
        <x:v>23.845</x:v>
      </x:c>
      <x:c r="I58" s="58" t="n">
        <x:v>60</x:v>
      </x:c>
      <x:c r="J58" s="59" t="str">
        <x:v>DEEP</x:v>
      </x:c>
      <x:c r="K58" s="59" t="str">
        <x:v>PG</x:v>
      </x:c>
      <x:c r="L58" s="62" t="str">
        <x:v>Deep-pool model: 2025-26 custom-score production shrunk toward a conservative 2026-27 role estimate; not a published projection.</x:v>
      </x:c>
    </x:row>
    <x:row r="59" ht="20" customHeight="1">
      <x:c r="A59" s="59" t="n">
        <x:v>54</x:v>
      </x:c>
      <x:c r="B59" s="59" t="n">
        <x:v>231</x:v>
      </x:c>
      <x:c r="C59" s="59" t="str">
        <x:v>Tre Mann</x:v>
      </x:c>
      <x:c r="D59" s="59" t="str">
        <x:v>CHA</x:v>
      </x:c>
      <x:c r="E59" s="58"/>
      <x:c r="F59" s="60"/>
      <x:c r="G59" s="60" t="n">
        <x:v>15.27</x:v>
      </x:c>
      <x:c r="H59" s="60" t="n">
        <x:v>22.27</x:v>
      </x:c>
      <x:c r="I59" s="58" t="n">
        <x:v>70</x:v>
      </x:c>
      <x:c r="J59" s="59" t="str">
        <x:v>DEEP</x:v>
      </x:c>
      <x:c r="K59" s="59" t="str">
        <x:v>PG/SG</x:v>
      </x:c>
      <x:c r="L59" s="62" t="str">
        <x:v>Deep-board candidate for a 10-team league; custom-format estimate emphasizes role, efficiency and rebounding. Recheck camp role and app eligibility before draft day.</x:v>
      </x:c>
    </x:row>
    <x:row r="60" ht="20" customHeight="1">
      <x:c r="A60" s="59" t="n">
        <x:v>55</x:v>
      </x:c>
      <x:c r="B60" s="59" t="n">
        <x:v>235</x:v>
      </x:c>
      <x:c r="C60" s="59" t="str">
        <x:v>Jordan Goodwin</x:v>
      </x:c>
      <x:c r="D60" s="59" t="str">
        <x:v>PHX</x:v>
      </x:c>
      <x:c r="E60" s="58" t="n">
        <x:v>70</x:v>
      </x:c>
      <x:c r="F60" s="60" t="n">
        <x:v>22.9</x:v>
      </x:c>
      <x:c r="G60" s="60" t="n">
        <x:v>16.244999999999997</x:v>
      </x:c>
      <x:c r="H60" s="60" t="n">
        <x:v>23.375</x:v>
      </x:c>
      <x:c r="I60" s="58" t="n">
        <x:v>60</x:v>
      </x:c>
      <x:c r="J60" s="59" t="str">
        <x:v>DEEP</x:v>
      </x:c>
      <x:c r="K60" s="59" t="str">
        <x:v>PG</x:v>
      </x:c>
      <x:c r="L60" s="62" t="str">
        <x:v>Deep-pool model: 2025-26 custom-score production shrunk toward a conservative 2026-27 role estimate; not a published projection.</x:v>
      </x:c>
    </x:row>
    <x:row r="61" ht="20" customHeight="1">
      <x:c r="A61" s="59" t="n">
        <x:v>56</x:v>
      </x:c>
      <x:c r="B61" s="59" t="n">
        <x:v>236</x:v>
      </x:c>
      <x:c r="C61" s="59" t="str">
        <x:v>Jose Alvarado</x:v>
      </x:c>
      <x:c r="D61" s="59" t="str">
        <x:v>NOP</x:v>
      </x:c>
      <x:c r="E61" s="58"/>
      <x:c r="F61" s="60"/>
      <x:c r="G61" s="60" t="n">
        <x:v>14.7</x:v>
      </x:c>
      <x:c r="H61" s="60" t="n">
        <x:v>21.7</x:v>
      </x:c>
      <x:c r="I61" s="58" t="n">
        <x:v>70</x:v>
      </x:c>
      <x:c r="J61" s="59" t="str">
        <x:v>DEEP</x:v>
      </x:c>
      <x:c r="K61" s="59" t="str">
        <x:v>PG</x:v>
      </x:c>
      <x:c r="L61" s="62" t="str">
        <x:v>Deep-board candidate for a 10-team league; custom-format estimate emphasizes role, efficiency and rebounding. Recheck camp role and app eligibility before draft day.</x:v>
      </x:c>
    </x:row>
    <x:row r="62" ht="20" customHeight="1">
      <x:c r="A62" s="59" t="n">
        <x:v>57</x:v>
      </x:c>
      <x:c r="B62" s="59" t="n">
        <x:v>241</x:v>
      </x:c>
      <x:c r="C62" s="59" t="str">
        <x:v>Alondes Williams</x:v>
      </x:c>
      <x:c r="D62" s="59" t="str">
        <x:v>BOS</x:v>
      </x:c>
      <x:c r="E62" s="58" t="n">
        <x:v>4</x:v>
      </x:c>
      <x:c r="F62" s="60" t="n">
        <x:v>29</x:v>
      </x:c>
      <x:c r="G62" s="60" t="n">
        <x:v>13.774999999999999</x:v>
      </x:c>
      <x:c r="H62" s="60" t="n">
        <x:v>24.485</x:v>
      </x:c>
      <x:c r="I62" s="58" t="n">
        <x:v>64</x:v>
      </x:c>
      <x:c r="J62" s="59" t="str">
        <x:v>VERY_DEEP</x:v>
      </x:c>
      <x:c r="K62" s="59" t="str">
        <x:v>G</x:v>
      </x:c>
      <x:c r="L62" s="62" t="str">
        <x:v>Very-deep model estimate with limited sample/role certainty. Use as a search/watch-list value and refresh once final rotations are known.</x:v>
      </x:c>
    </x:row>
    <x:row r="63" ht="20" customHeight="1">
      <x:c r="A63" s="59" t="n">
        <x:v>58</x:v>
      </x:c>
      <x:c r="B63" s="59" t="n">
        <x:v>244</x:v>
      </x:c>
      <x:c r="C63" s="59" t="str">
        <x:v>Cason Wallace</x:v>
      </x:c>
      <x:c r="D63" s="59" t="str">
        <x:v>OKC</x:v>
      </x:c>
      <x:c r="E63" s="58" t="n">
        <x:v>77</x:v>
      </x:c>
      <x:c r="F63" s="60" t="n">
        <x:v>20.6</x:v>
      </x:c>
      <x:c r="G63" s="60" t="n">
        <x:v>15.379999999999999</x:v>
      </x:c>
      <x:c r="H63" s="60" t="n">
        <x:v>22.38</x:v>
      </x:c>
      <x:c r="I63" s="58" t="n">
        <x:v>60</x:v>
      </x:c>
      <x:c r="J63" s="59" t="str">
        <x:v>DEEP</x:v>
      </x:c>
      <x:c r="K63" s="59" t="str">
        <x:v>PG</x:v>
      </x:c>
      <x:c r="L63" s="62" t="str">
        <x:v>Deep-pool model: 2025-26 custom-score production shrunk toward a conservative 2026-27 role estimate; not a published projection.</x:v>
      </x:c>
    </x:row>
    <x:row r="64" ht="20" customHeight="1">
      <x:c r="A64" s="59" t="n">
        <x:v>59</x:v>
      </x:c>
      <x:c r="B64" s="59" t="n">
        <x:v>249</x:v>
      </x:c>
      <x:c r="C64" s="59" t="str">
        <x:v>Bub Carrington</x:v>
      </x:c>
      <x:c r="D64" s="59" t="str">
        <x:v>WAS</x:v>
      </x:c>
      <x:c r="E64" s="58" t="n">
        <x:v>82</x:v>
      </x:c>
      <x:c r="F64" s="60" t="n">
        <x:v>20</x:v>
      </x:c>
      <x:c r="G64" s="60" t="n">
        <x:v>14.66</x:v>
      </x:c>
      <x:c r="H64" s="60" t="n">
        <x:v>21.66</x:v>
      </x:c>
      <x:c r="I64" s="58" t="n">
        <x:v>60</x:v>
      </x:c>
      <x:c r="J64" s="59" t="str">
        <x:v>DEEP</x:v>
      </x:c>
      <x:c r="K64" s="59" t="str">
        <x:v>PG</x:v>
      </x:c>
      <x:c r="L64" s="62" t="str">
        <x:v>Deep-pool model: 2025-26 custom-score production shrunk toward a conservative 2026-27 role estimate; not a published projection.</x:v>
      </x:c>
    </x:row>
    <x:row r="65" ht="20" customHeight="1">
      <x:c r="A65" s="59" t="n">
        <x:v>60</x:v>
      </x:c>
      <x:c r="B65" s="59" t="n">
        <x:v>253</x:v>
      </x:c>
      <x:c r="C65" s="59" t="str">
        <x:v>Miles McBride</x:v>
      </x:c>
      <x:c r="D65" s="59" t="str">
        <x:v>NYK</x:v>
      </x:c>
      <x:c r="E65" s="58" t="n">
        <x:v>41</x:v>
      </x:c>
      <x:c r="F65" s="60" t="n">
        <x:v>21.9</x:v>
      </x:c>
      <x:c r="G65" s="60" t="n">
        <x:v>14.370000000000001</x:v>
      </x:c>
      <x:c r="H65" s="60" t="n">
        <x:v>21.37</x:v>
      </x:c>
      <x:c r="I65" s="58" t="n">
        <x:v>60</x:v>
      </x:c>
      <x:c r="J65" s="59" t="str">
        <x:v>DEEP</x:v>
      </x:c>
      <x:c r="K65" s="59" t="str">
        <x:v>PG</x:v>
      </x:c>
      <x:c r="L65" s="62" t="str">
        <x:v>Deep-pool model: 2025-26 custom-score production shrunk toward a conservative 2026-27 role estimate; not a published projection.</x:v>
      </x:c>
    </x:row>
    <x:row r="66" ht="20" customHeight="1">
      <x:c r="A66" s="59" t="n">
        <x:v>61</x:v>
      </x:c>
      <x:c r="B66" s="59" t="n">
        <x:v>257</x:v>
      </x:c>
      <x:c r="C66" s="59" t="str">
        <x:v>Javon Small</x:v>
      </x:c>
      <x:c r="D66" s="59" t="str">
        <x:v>MEM</x:v>
      </x:c>
      <x:c r="E66" s="58" t="n">
        <x:v>41</x:v>
      </x:c>
      <x:c r="F66" s="60" t="n">
        <x:v>21.75</x:v>
      </x:c>
      <x:c r="G66" s="60" t="n">
        <x:v>14.02</x:v>
      </x:c>
      <x:c r="H66" s="60" t="n">
        <x:v>21.02</x:v>
      </x:c>
      <x:c r="I66" s="58" t="n">
        <x:v>64</x:v>
      </x:c>
      <x:c r="J66" s="59" t="str">
        <x:v>DEEP</x:v>
      </x:c>
      <x:c r="K66" s="59" t="str">
        <x:v>PG</x:v>
      </x:c>
      <x:c r="L66" s="62" t="str">
        <x:v>Deep-pool model: 2025-26 custom-score production shrunk toward a conservative 2026-27 role estimate; not a published projection.</x:v>
      </x:c>
    </x:row>
    <x:row r="67" ht="20" customHeight="1">
      <x:c r="A67" s="59" t="n">
        <x:v>62</x:v>
      </x:c>
      <x:c r="B67" s="59" t="n">
        <x:v>267</x:v>
      </x:c>
      <x:c r="C67" s="59" t="str">
        <x:v>Kris Dunn</x:v>
      </x:c>
      <x:c r="D67" s="59" t="str">
        <x:v>LAC</x:v>
      </x:c>
      <x:c r="E67" s="58" t="n">
        <x:v>82</x:v>
      </x:c>
      <x:c r="F67" s="60" t="n">
        <x:v>19.5</x:v>
      </x:c>
      <x:c r="G67" s="60" t="n">
        <x:v>13.54</x:v>
      </x:c>
      <x:c r="H67" s="60" t="n">
        <x:v>20.54</x:v>
      </x:c>
      <x:c r="I67" s="58" t="n">
        <x:v>60</x:v>
      </x:c>
      <x:c r="J67" s="59" t="str">
        <x:v>DEEP</x:v>
      </x:c>
      <x:c r="K67" s="59" t="str">
        <x:v>PG</x:v>
      </x:c>
      <x:c r="L67" s="62" t="str">
        <x:v>Deep-pool model: 2025-26 custom-score production shrunk toward a conservative 2026-27 role estimate; not a published projection.</x:v>
      </x:c>
    </x:row>
    <x:row r="68" ht="20" customHeight="1">
      <x:c r="A68" s="59" t="n">
        <x:v>63</x:v>
      </x:c>
      <x:c r="B68" s="59" t="n">
        <x:v>269</x:v>
      </x:c>
      <x:c r="C68" s="59" t="str">
        <x:v>Marcus Smart</x:v>
      </x:c>
      <x:c r="D68" s="59" t="str">
        <x:v>HOU</x:v>
      </x:c>
      <x:c r="E68" s="58" t="n">
        <x:v>62</x:v>
      </x:c>
      <x:c r="F68" s="60" t="n">
        <x:v>19.4</x:v>
      </x:c>
      <x:c r="G68" s="60" t="n">
        <x:v>13.489999999999998</x:v>
      </x:c>
      <x:c r="H68" s="60" t="n">
        <x:v>20.49</x:v>
      </x:c>
      <x:c r="I68" s="58" t="n">
        <x:v>60</x:v>
      </x:c>
      <x:c r="J68" s="59" t="str">
        <x:v>DEEP</x:v>
      </x:c>
      <x:c r="K68" s="59" t="str">
        <x:v>PG</x:v>
      </x:c>
      <x:c r="L68" s="62" t="str">
        <x:v>Deep-pool model: 2025-26 custom-score production shrunk toward a conservative 2026-27 role estimate; not a published projection.</x:v>
      </x:c>
    </x:row>
    <x:row r="69" ht="20" customHeight="1">
      <x:c r="A69" s="59" t="n">
        <x:v>64</x:v>
      </x:c>
      <x:c r="B69" s="59" t="n">
        <x:v>275</x:v>
      </x:c>
      <x:c r="C69" s="59" t="str">
        <x:v>Brayden Burries</x:v>
      </x:c>
      <x:c r="D69" s="59" t="str">
        <x:v>MIL</x:v>
      </x:c>
      <x:c r="E69" s="58"/>
      <x:c r="F69" s="60"/>
      <x:c r="G69" s="60" t="n">
        <x:v>12.04</x:v>
      </x:c>
      <x:c r="H69" s="60" t="n">
        <x:v>21.4</x:v>
      </x:c>
      <x:c r="I69" s="58" t="n">
        <x:v>55</x:v>
      </x:c>
      <x:c r="J69" s="59" t="str">
        <x:v>VERY_DEEP</x:v>
      </x:c>
      <x:c r="K69" s="59" t="str">
        <x:v>G</x:v>
      </x:c>
      <x:c r="L69" s="62" t="str">
        <x:v>Rookie/depth role estimate with a wide band and limited NBA evidence. Treat as a watch-list projection, not a published forecast.</x:v>
      </x:c>
    </x:row>
    <x:row r="70" ht="20" customHeight="1">
      <x:c r="A70" s="59" t="n">
        <x:v>65</x:v>
      </x:c>
      <x:c r="B70" s="59" t="n">
        <x:v>283</x:v>
      </x:c>
      <x:c r="C70" s="59" t="str">
        <x:v>Daniss Jenkins</x:v>
      </x:c>
      <x:c r="D70" s="59" t="str">
        <x:v>DET</x:v>
      </x:c>
      <x:c r="E70" s="58" t="n">
        <x:v>72</x:v>
      </x:c>
      <x:c r="F70" s="60" t="n">
        <x:v>18.85</x:v>
      </x:c>
      <x:c r="G70" s="60" t="n">
        <x:v>12.809999999999999</x:v>
      </x:c>
      <x:c r="H70" s="60" t="n">
        <x:v>19.81</x:v>
      </x:c>
      <x:c r="I70" s="58" t="n">
        <x:v>60</x:v>
      </x:c>
      <x:c r="J70" s="59" t="str">
        <x:v>DEEP</x:v>
      </x:c>
      <x:c r="K70" s="59" t="str">
        <x:v>G</x:v>
      </x:c>
      <x:c r="L70" s="62" t="str">
        <x:v>Deep-pool model: 2025-26 custom-score production shrunk toward a conservative 2026-27 role estimate; not a published projection.</x:v>
      </x:c>
    </x:row>
    <x:row r="71" ht="20" customHeight="1">
      <x:c r="A71" s="59" t="n">
        <x:v>66</x:v>
      </x:c>
      <x:c r="B71" s="59" t="n">
        <x:v>286</x:v>
      </x:c>
      <x:c r="C71" s="59" t="str">
        <x:v>Bennett Stirtz</x:v>
      </x:c>
      <x:c r="D71" s="59" t="str">
        <x:v>OKC</x:v>
      </x:c>
      <x:c r="E71" s="58"/>
      <x:c r="F71" s="60"/>
      <x:c r="G71" s="60" t="n">
        <x:v>11.75</x:v>
      </x:c>
      <x:c r="H71" s="60" t="n">
        <x:v>20.89</x:v>
      </x:c>
      <x:c r="I71" s="58" t="n">
        <x:v>55</x:v>
      </x:c>
      <x:c r="J71" s="59" t="str">
        <x:v>VERY_DEEP</x:v>
      </x:c>
      <x:c r="K71" s="59" t="str">
        <x:v>PG</x:v>
      </x:c>
      <x:c r="L71" s="62" t="str">
        <x:v>Rookie/depth role estimate with a wide band and limited NBA evidence. Treat as a watch-list projection, not a published forecast.</x:v>
      </x:c>
    </x:row>
    <x:row r="72" ht="20" customHeight="1">
      <x:c r="A72" s="59" t="n">
        <x:v>67</x:v>
      </x:c>
      <x:c r="B72" s="59" t="n">
        <x:v>287</x:v>
      </x:c>
      <x:c r="C72" s="59" t="str">
        <x:v>Ebuka Okorie</x:v>
      </x:c>
      <x:c r="D72" s="59" t="str">
        <x:v>DET</x:v>
      </x:c>
      <x:c r="E72" s="58"/>
      <x:c r="F72" s="60"/>
      <x:c r="G72" s="60" t="n">
        <x:v>11.695</x:v>
      </x:c>
      <x:c r="H72" s="60" t="n">
        <x:v>20.805</x:v>
      </x:c>
      <x:c r="I72" s="58" t="n">
        <x:v>55</x:v>
      </x:c>
      <x:c r="J72" s="59" t="str">
        <x:v>VERY_DEEP</x:v>
      </x:c>
      <x:c r="K72" s="59" t="str">
        <x:v>PG</x:v>
      </x:c>
      <x:c r="L72" s="62" t="str">
        <x:v>Rookie/depth role estimate with a wide band and limited NBA evidence. Treat as a watch-list projection, not a published forecast.</x:v>
      </x:c>
    </x:row>
    <x:row r="73" ht="20" customHeight="1">
      <x:c r="A73" s="59" t="n">
        <x:v>68</x:v>
      </x:c>
      <x:c r="B73" s="59" t="n">
        <x:v>288</x:v>
      </x:c>
      <x:c r="C73" s="59" t="str">
        <x:v>Scotty Pippen Jr.</x:v>
      </x:c>
      <x:c r="D73" s="59" t="str">
        <x:v>MEM</x:v>
      </x:c>
      <x:c r="E73" s="58" t="n">
        <x:v>10</x:v>
      </x:c>
      <x:c r="F73" s="60" t="n">
        <x:v>22.55</x:v>
      </x:c>
      <x:c r="G73" s="60" t="n">
        <x:v>11.555000000000001</x:v>
      </x:c>
      <x:c r="H73" s="60" t="n">
        <x:v>20.545</x:v>
      </x:c>
      <x:c r="I73" s="58" t="n">
        <x:v>60</x:v>
      </x:c>
      <x:c r="J73" s="59" t="str">
        <x:v>VERY_DEEP</x:v>
      </x:c>
      <x:c r="K73" s="59" t="str">
        <x:v>PG</x:v>
      </x:c>
      <x:c r="L73" s="62" t="str">
        <x:v>Very-deep model estimate with limited sample/role certainty. Use as a search/watch-list value and refresh once final rotations are known.</x:v>
      </x:c>
    </x:row>
    <x:row r="74" ht="20" customHeight="1">
      <x:c r="A74" s="59" t="n">
        <x:v>69</x:v>
      </x:c>
      <x:c r="B74" s="59" t="n">
        <x:v>292</x:v>
      </x:c>
      <x:c r="C74" s="59" t="str">
        <x:v>Labaron Philon Jr.</x:v>
      </x:c>
      <x:c r="D74" s="59" t="str">
        <x:v>PHI</x:v>
      </x:c>
      <x:c r="E74" s="58"/>
      <x:c r="F74" s="60"/>
      <x:c r="G74" s="60" t="n">
        <x:v>11.5</x:v>
      </x:c>
      <x:c r="H74" s="60" t="n">
        <x:v>20.44</x:v>
      </x:c>
      <x:c r="I74" s="58" t="n">
        <x:v>55</x:v>
      </x:c>
      <x:c r="J74" s="59" t="str">
        <x:v>VERY_DEEP</x:v>
      </x:c>
      <x:c r="K74" s="59" t="str">
        <x:v>PG</x:v>
      </x:c>
      <x:c r="L74" s="62" t="str">
        <x:v>Rookie/depth role estimate with a wide band and limited NBA evidence. Treat as a watch-list projection, not a published forecast.</x:v>
      </x:c>
    </x:row>
    <x:row r="75" ht="20" customHeight="1">
      <x:c r="A75" s="59" t="n">
        <x:v>70</x:v>
      </x:c>
      <x:c r="B75" s="59" t="n">
        <x:v>301</x:v>
      </x:c>
      <x:c r="C75" s="59" t="str">
        <x:v>Daeqwon Plowden</x:v>
      </x:c>
      <x:c r="D75" s="59" t="str">
        <x:v>SAC</x:v>
      </x:c>
      <x:c r="E75" s="58" t="n">
        <x:v>32</x:v>
      </x:c>
      <x:c r="F75" s="60" t="n">
        <x:v>19.75</x:v>
      </x:c>
      <x:c r="G75" s="60" t="n">
        <x:v>11.93</x:v>
      </x:c>
      <x:c r="H75" s="60" t="n">
        <x:v>18.93</x:v>
      </x:c>
      <x:c r="I75" s="58" t="n">
        <x:v>60</x:v>
      </x:c>
      <x:c r="J75" s="59" t="str">
        <x:v>DEEP</x:v>
      </x:c>
      <x:c r="K75" s="59" t="str">
        <x:v>G</x:v>
      </x:c>
      <x:c r="L75" s="62" t="str">
        <x:v>Deep-pool model: 2025-26 custom-score production shrunk toward a conservative 2026-27 role estimate; not a published projection.</x:v>
      </x:c>
    </x:row>
    <x:row r="76" ht="20" customHeight="1">
      <x:c r="A76" s="59" t="n">
        <x:v>71</x:v>
      </x:c>
      <x:c r="B76" s="59" t="n">
        <x:v>304</x:v>
      </x:c>
      <x:c r="C76" s="59" t="str">
        <x:v>Gary Payton II</x:v>
      </x:c>
      <x:c r="D76" s="59" t="str">
        <x:v>GSW</x:v>
      </x:c>
      <x:c r="E76" s="58" t="n">
        <x:v>73</x:v>
      </x:c>
      <x:c r="F76" s="60" t="n">
        <x:v>18.8</x:v>
      </x:c>
      <x:c r="G76" s="60" t="n">
        <x:v>11.79</x:v>
      </x:c>
      <x:c r="H76" s="60" t="n">
        <x:v>18.79</x:v>
      </x:c>
      <x:c r="I76" s="58" t="n">
        <x:v>60</x:v>
      </x:c>
      <x:c r="J76" s="59" t="str">
        <x:v>DEEP</x:v>
      </x:c>
      <x:c r="K76" s="59" t="str">
        <x:v>PG</x:v>
      </x:c>
      <x:c r="L76" s="62" t="str">
        <x:v>Deep-pool model: 2025-26 custom-score production shrunk toward a conservative 2026-27 role estimate; not a published projection.</x:v>
      </x:c>
    </x:row>
    <x:row r="77" ht="20" customHeight="1">
      <x:c r="A77" s="59" t="n">
        <x:v>72</x:v>
      </x:c>
      <x:c r="B77" s="59" t="n">
        <x:v>307</x:v>
      </x:c>
      <x:c r="C77" s="59" t="str">
        <x:v>Tristen Newton</x:v>
      </x:c>
      <x:c r="D77" s="59" t="str">
        <x:v>HOU</x:v>
      </x:c>
      <x:c r="E77" s="58" t="n">
        <x:v>1</x:v>
      </x:c>
      <x:c r="F77" s="60" t="n">
        <x:v>23</x:v>
      </x:c>
      <x:c r="G77" s="60" t="n">
        <x:v>10.780000000000001</x:v>
      </x:c>
      <x:c r="H77" s="60" t="n">
        <x:v>19.16</x:v>
      </x:c>
      <x:c r="I77" s="58" t="n">
        <x:v>64</x:v>
      </x:c>
      <x:c r="J77" s="59" t="str">
        <x:v>VERY_DEEP</x:v>
      </x:c>
      <x:c r="K77" s="59" t="str">
        <x:v>PG</x:v>
      </x:c>
      <x:c r="L77" s="62" t="str">
        <x:v>Very-deep model estimate with limited sample/role certainty. Use as a search/watch-list value and refresh once final rotations are known.</x:v>
      </x:c>
    </x:row>
    <x:row r="78" ht="20" customHeight="1">
      <x:c r="A78" s="59" t="n">
        <x:v>73</x:v>
      </x:c>
      <x:c r="B78" s="59" t="n">
        <x:v>313</x:v>
      </x:c>
      <x:c r="C78" s="59" t="str">
        <x:v>Devin Carter</x:v>
      </x:c>
      <x:c r="D78" s="59" t="str">
        <x:v>ATL</x:v>
      </x:c>
      <x:c r="E78" s="58" t="n">
        <x:v>38</x:v>
      </x:c>
      <x:c r="F78" s="60" t="n">
        <x:v>17.95</x:v>
      </x:c>
      <x:c r="G78" s="60" t="n">
        <x:v>11.33</x:v>
      </x:c>
      <x:c r="H78" s="60" t="n">
        <x:v>18.33</x:v>
      </x:c>
      <x:c r="I78" s="58" t="n">
        <x:v>60</x:v>
      </x:c>
      <x:c r="J78" s="59" t="str">
        <x:v>DEEP</x:v>
      </x:c>
      <x:c r="K78" s="59" t="str">
        <x:v>PG</x:v>
      </x:c>
      <x:c r="L78" s="62" t="str">
        <x:v>Deep-pool model: 2025-26 custom-score production shrunk toward a conservative 2026-27 role estimate; not a published projection.</x:v>
      </x:c>
    </x:row>
    <x:row r="79" ht="20" customHeight="1">
      <x:c r="A79" s="59" t="n">
        <x:v>74</x:v>
      </x:c>
      <x:c r="B79" s="59" t="n">
        <x:v>315</x:v>
      </x:c>
      <x:c r="C79" s="59" t="str">
        <x:v>Quenton Jackson</x:v>
      </x:c>
      <x:c r="D79" s="59" t="str">
        <x:v>IND</x:v>
      </x:c>
      <x:c r="E79" s="58" t="n">
        <x:v>49</x:v>
      </x:c>
      <x:c r="F79" s="60" t="n">
        <x:v>17.7</x:v>
      </x:c>
      <x:c r="G79" s="60" t="n">
        <x:v>11.32</x:v>
      </x:c>
      <x:c r="H79" s="60" t="n">
        <x:v>18.32</x:v>
      </x:c>
      <x:c r="I79" s="58" t="n">
        <x:v>60</x:v>
      </x:c>
      <x:c r="J79" s="59" t="str">
        <x:v>DEEP</x:v>
      </x:c>
      <x:c r="K79" s="59" t="str">
        <x:v>G</x:v>
      </x:c>
      <x:c r="L79" s="62" t="str">
        <x:v>Deep-pool model: 2025-26 custom-score production shrunk toward a conservative 2026-27 role estimate; not a published projection.</x:v>
      </x:c>
    </x:row>
    <x:row r="80" ht="20" customHeight="1">
      <x:c r="A80" s="59" t="n">
        <x:v>75</x:v>
      </x:c>
      <x:c r="B80" s="59" t="n">
        <x:v>324</x:v>
      </x:c>
      <x:c r="C80" s="59" t="str">
        <x:v>Kasparas Jakucionis</x:v>
      </x:c>
      <x:c r="D80" s="59" t="str">
        <x:v>MIL</x:v>
      </x:c>
      <x:c r="E80" s="58" t="n">
        <x:v>53</x:v>
      </x:c>
      <x:c r="F80" s="60" t="n">
        <x:v>15.35</x:v>
      </x:c>
      <x:c r="G80" s="60" t="n">
        <x:v>10.66</x:v>
      </x:c>
      <x:c r="H80" s="60" t="n">
        <x:v>17.66</x:v>
      </x:c>
      <x:c r="I80" s="58" t="n">
        <x:v>64</x:v>
      </x:c>
      <x:c r="J80" s="59" t="str">
        <x:v>DEEP</x:v>
      </x:c>
      <x:c r="K80" s="59" t="str">
        <x:v>PG</x:v>
      </x:c>
      <x:c r="L80" s="62" t="str">
        <x:v>Deep-pool model: 2025-26 custom-score production shrunk toward a conservative 2026-27 role estimate; not a published projection.</x:v>
      </x:c>
    </x:row>
    <x:row r="81" ht="20" customHeight="1">
      <x:c r="A81" s="59" t="n">
        <x:v>76</x:v>
      </x:c>
      <x:c r="B81" s="59" t="n">
        <x:v>326</x:v>
      </x:c>
      <x:c r="C81" s="59" t="str">
        <x:v>Jamal Shead</x:v>
      </x:c>
      <x:c r="D81" s="59" t="str">
        <x:v>TOR</x:v>
      </x:c>
      <x:c r="E81" s="58" t="n">
        <x:v>82</x:v>
      </x:c>
      <x:c r="F81" s="60" t="n">
        <x:v>16.6</x:v>
      </x:c>
      <x:c r="G81" s="60" t="n">
        <x:v>10.68</x:v>
      </x:c>
      <x:c r="H81" s="60" t="n">
        <x:v>17.68</x:v>
      </x:c>
      <x:c r="I81" s="58" t="n">
        <x:v>60</x:v>
      </x:c>
      <x:c r="J81" s="59" t="str">
        <x:v>DEEP</x:v>
      </x:c>
      <x:c r="K81" s="59" t="str">
        <x:v>PG</x:v>
      </x:c>
      <x:c r="L81" s="62" t="str">
        <x:v>Deep-pool model: 2025-26 custom-score production shrunk toward a conservative 2026-27 role estimate; not a published projection.</x:v>
      </x:c>
    </x:row>
    <x:row r="82" ht="20" customHeight="1">
      <x:c r="A82" s="59" t="n">
        <x:v>77</x:v>
      </x:c>
      <x:c r="B82" s="59" t="n">
        <x:v>330</x:v>
      </x:c>
      <x:c r="C82" s="59" t="str">
        <x:v>Craig Porter Jr.</x:v>
      </x:c>
      <x:c r="D82" s="59" t="str">
        <x:v>CLE</x:v>
      </x:c>
      <x:c r="E82" s="58" t="n">
        <x:v>64</x:v>
      </x:c>
      <x:c r="F82" s="60" t="n">
        <x:v>16.5</x:v>
      </x:c>
      <x:c r="G82" s="60" t="n">
        <x:v>10.62</x:v>
      </x:c>
      <x:c r="H82" s="60" t="n">
        <x:v>17.619999999999997</x:v>
      </x:c>
      <x:c r="I82" s="58" t="n">
        <x:v>60</x:v>
      </x:c>
      <x:c r="J82" s="59" t="str">
        <x:v>DEEP</x:v>
      </x:c>
      <x:c r="K82" s="59" t="str">
        <x:v>G</x:v>
      </x:c>
      <x:c r="L82" s="62" t="str">
        <x:v>Deep-pool model: 2025-26 custom-score production shrunk toward a conservative 2026-27 role estimate; not a published projection.</x:v>
      </x:c>
    </x:row>
    <x:row r="83" ht="20" customHeight="1">
      <x:c r="A83" s="59" t="n">
        <x:v>78</x:v>
      </x:c>
      <x:c r="B83" s="59" t="n">
        <x:v>335</x:v>
      </x:c>
      <x:c r="C83" s="59" t="str">
        <x:v>Ryan Nembhard</x:v>
      </x:c>
      <x:c r="D83" s="59" t="str">
        <x:v>DAL</x:v>
      </x:c>
      <x:c r="E83" s="58" t="n">
        <x:v>60</x:v>
      </x:c>
      <x:c r="F83" s="60" t="n">
        <x:v>15.15</x:v>
      </x:c>
      <x:c r="G83" s="60" t="n">
        <x:v>10.26</x:v>
      </x:c>
      <x:c r="H83" s="60" t="n">
        <x:v>17.259999999999998</x:v>
      </x:c>
      <x:c r="I83" s="58" t="n">
        <x:v>64</x:v>
      </x:c>
      <x:c r="J83" s="59" t="str">
        <x:v>DEEP</x:v>
      </x:c>
      <x:c r="K83" s="59" t="str">
        <x:v>PG</x:v>
      </x:c>
      <x:c r="L83" s="62" t="str">
        <x:v>Deep-pool model: 2025-26 custom-score production shrunk toward a conservative 2026-27 role estimate; not a published projection.</x:v>
      </x:c>
    </x:row>
    <x:row r="84" ht="20" customHeight="1">
      <x:c r="A84" s="59" t="n">
        <x:v>79</x:v>
      </x:c>
      <x:c r="B84" s="59" t="n">
        <x:v>339</x:v>
      </x:c>
      <x:c r="C84" s="59" t="str">
        <x:v>Christian Anderson</x:v>
      </x:c>
      <x:c r="D84" s="59" t="str">
        <x:v>CHA</x:v>
      </x:c>
      <x:c r="E84" s="58"/>
      <x:c r="F84" s="60"/>
      <x:c r="G84" s="60" t="n">
        <x:v>8.215</x:v>
      </x:c>
      <x:c r="H84" s="60" t="n">
        <x:v>19.165</x:v>
      </x:c>
      <x:c r="I84" s="58" t="n">
        <x:v>60</x:v>
      </x:c>
      <x:c r="J84" s="59" t="str">
        <x:v>WATCH</x:v>
      </x:c>
      <x:c r="K84" s="59" t="str">
        <x:v>PG</x:v>
      </x:c>
      <x:c r="L84" s="62" t="str">
        <x:v>Rookie/depth role estimate with a wide band and limited NBA evidence. Treat as a watch-list projection, not a published forecast.</x:v>
      </x:c>
    </x:row>
    <x:row r="85" ht="20" customHeight="1">
      <x:c r="A85" s="59" t="n">
        <x:v>80</x:v>
      </x:c>
      <x:c r="B85" s="59" t="n">
        <x:v>341</x:v>
      </x:c>
      <x:c r="C85" s="59" t="str">
        <x:v>Nolan Traore</x:v>
      </x:c>
      <x:c r="D85" s="59" t="str">
        <x:v>BKN</x:v>
      </x:c>
      <x:c r="E85" s="58" t="n">
        <x:v>56</x:v>
      </x:c>
      <x:c r="F85" s="60" t="n">
        <x:v>14.6</x:v>
      </x:c>
      <x:c r="G85" s="60" t="n">
        <x:v>10.17</x:v>
      </x:c>
      <x:c r="H85" s="60" t="n">
        <x:v>17.17</x:v>
      </x:c>
      <x:c r="I85" s="58" t="n">
        <x:v>60</x:v>
      </x:c>
      <x:c r="J85" s="59" t="str">
        <x:v>DEEP</x:v>
      </x:c>
      <x:c r="K85" s="59" t="str">
        <x:v>PG</x:v>
      </x:c>
      <x:c r="L85" s="62" t="str">
        <x:v>Deep-pool model: 2025-26 custom-score production shrunk toward a conservative 2026-27 role estimate; not a published projection.</x:v>
      </x:c>
    </x:row>
    <x:row r="86" ht="20" customHeight="1">
      <x:c r="A86" s="59" t="n">
        <x:v>81</x:v>
      </x:c>
      <x:c r="B86" s="59" t="n">
        <x:v>363</x:v>
      </x:c>
      <x:c r="C86" s="59" t="str">
        <x:v>DeJon Jarreau</x:v>
      </x:c>
      <x:c r="D86" s="59" t="str">
        <x:v>DEN</x:v>
      </x:c>
      <x:c r="E86" s="58" t="n">
        <x:v>11</x:v>
      </x:c>
      <x:c r="F86" s="60" t="n">
        <x:v>17.8</x:v>
      </x:c>
      <x:c r="G86" s="60" t="n">
        <x:v>8.61</x:v>
      </x:c>
      <x:c r="H86" s="60" t="n">
        <x:v>15.61</x:v>
      </x:c>
      <x:c r="I86" s="58" t="n">
        <x:v>64</x:v>
      </x:c>
      <x:c r="J86" s="59" t="str">
        <x:v>VERY_DEEP</x:v>
      </x:c>
      <x:c r="K86" s="59" t="str">
        <x:v>G</x:v>
      </x:c>
      <x:c r="L86" s="62" t="str">
        <x:v>Very-deep model estimate with limited sample/role certainty. Use as a search/watch-list value and refresh once final rotations are known.</x:v>
      </x:c>
    </x:row>
    <x:row r="87" ht="20" customHeight="1">
      <x:c r="A87" s="59" t="n">
        <x:v>82</x:v>
      </x:c>
      <x:c r="B87" s="59" t="n">
        <x:v>369</x:v>
      </x:c>
      <x:c r="C87" s="59" t="str">
        <x:v>Vit Krejci</x:v>
      </x:c>
      <x:c r="D87" s="59" t="str">
        <x:v>POR</x:v>
      </x:c>
      <x:c r="E87" s="58" t="n">
        <x:v>65</x:v>
      </x:c>
      <x:c r="F87" s="60" t="n">
        <x:v>16.5</x:v>
      </x:c>
      <x:c r="G87" s="60" t="n">
        <x:v>8.9</x:v>
      </x:c>
      <x:c r="H87" s="60" t="n">
        <x:v>15.9</x:v>
      </x:c>
      <x:c r="I87" s="58" t="n">
        <x:v>42</x:v>
      </x:c>
      <x:c r="J87" s="59" t="str">
        <x:v>VERY_DEEP</x:v>
      </x:c>
      <x:c r="K87" s="59" t="str">
        <x:v>PG</x:v>
      </x:c>
      <x:c r="L87" s="62" t="str">
        <x:v>Very-deep roster candidate. Non-guaranteed status and role uncertainty are discounted; verify final roster before draft use.</x:v>
      </x:c>
    </x:row>
    <x:row r="88" ht="20" customHeight="1">
      <x:c r="A88" s="59" t="n">
        <x:v>83</x:v>
      </x:c>
      <x:c r="B88" s="59" t="n">
        <x:v>374</x:v>
      </x:c>
      <x:c r="C88" s="59" t="str">
        <x:v>Kobe Sanders</x:v>
      </x:c>
      <x:c r="D88" s="59" t="str">
        <x:v>LAC</x:v>
      </x:c>
      <x:c r="E88" s="58" t="n">
        <x:v>68</x:v>
      </x:c>
      <x:c r="F88" s="60" t="n">
        <x:v>13.35</x:v>
      </x:c>
      <x:c r="G88" s="60" t="n">
        <x:v>8.12</x:v>
      </x:c>
      <x:c r="H88" s="60" t="n">
        <x:v>15.12</x:v>
      </x:c>
      <x:c r="I88" s="58" t="n">
        <x:v>60</x:v>
      </x:c>
      <x:c r="J88" s="59" t="str">
        <x:v>DEEP</x:v>
      </x:c>
      <x:c r="K88" s="59" t="str">
        <x:v>G</x:v>
      </x:c>
      <x:c r="L88" s="62" t="str">
        <x:v>Deep-pool model: 2025-26 custom-score production shrunk toward a conservative 2026-27 role estimate; not a published projection.</x:v>
      </x:c>
    </x:row>
    <x:row r="89" ht="20" customHeight="1">
      <x:c r="A89" s="59" t="n">
        <x:v>84</x:v>
      </x:c>
      <x:c r="B89" s="59" t="n">
        <x:v>378</x:v>
      </x:c>
      <x:c r="C89" s="59" t="str">
        <x:v>Bruce Thornton</x:v>
      </x:c>
      <x:c r="D89" s="59" t="str">
        <x:v>HOU</x:v>
      </x:c>
      <x:c r="E89" s="58"/>
      <x:c r="F89" s="60"/>
      <x:c r="G89" s="60" t="n">
        <x:v>8.2</x:v>
      </x:c>
      <x:c r="H89" s="60" t="n">
        <x:v>15.2</x:v>
      </x:c>
      <x:c r="I89" s="58" t="n">
        <x:v>55</x:v>
      </x:c>
      <x:c r="J89" s="59" t="str">
        <x:v>VERY_DEEP</x:v>
      </x:c>
      <x:c r="K89" s="59" t="str">
        <x:v>G</x:v>
      </x:c>
      <x:c r="L89" s="62" t="str">
        <x:v>Rookie/depth role estimate with a wide band and limited NBA evidence. Treat as a watch-list projection, not a published forecast.</x:v>
      </x:c>
    </x:row>
    <x:row r="90" ht="20" customHeight="1">
      <x:c r="A90" s="59" t="n">
        <x:v>85</x:v>
      </x:c>
      <x:c r="B90" s="59" t="n">
        <x:v>382</x:v>
      </x:c>
      <x:c r="C90" s="59" t="str">
        <x:v>Meleek Thomas</x:v>
      </x:c>
      <x:c r="D90" s="59" t="str">
        <x:v>CLE</x:v>
      </x:c>
      <x:c r="E90" s="58"/>
      <x:c r="F90" s="60"/>
      <x:c r="G90" s="60" t="n">
        <x:v>8.2</x:v>
      </x:c>
      <x:c r="H90" s="60" t="n">
        <x:v>15.2</x:v>
      </x:c>
      <x:c r="I90" s="58" t="n">
        <x:v>55</x:v>
      </x:c>
      <x:c r="J90" s="59" t="str">
        <x:v>VERY_DEEP</x:v>
      </x:c>
      <x:c r="K90" s="59" t="str">
        <x:v>G</x:v>
      </x:c>
      <x:c r="L90" s="62" t="str">
        <x:v>Rookie/depth role estimate with a wide band and limited NBA evidence. Treat as a watch-list projection, not a published forecast.</x:v>
      </x:c>
    </x:row>
    <x:row r="91" ht="20" customHeight="1">
      <x:c r="A91" s="59" t="n">
        <x:v>86</x:v>
      </x:c>
      <x:c r="B91" s="59" t="n">
        <x:v>397</x:v>
      </x:c>
      <x:c r="C91" s="59" t="str">
        <x:v>Rob Dillingham</x:v>
      </x:c>
      <x:c r="D91" s="59" t="str">
        <x:v>CHI</x:v>
      </x:c>
      <x:c r="E91" s="58" t="n">
        <x:v>65</x:v>
      </x:c>
      <x:c r="F91" s="60" t="n">
        <x:v>10.45</x:v>
      </x:c>
      <x:c r="G91" s="60" t="n">
        <x:v>7.109999999999999</x:v>
      </x:c>
      <x:c r="H91" s="60" t="n">
        <x:v>14.11</x:v>
      </x:c>
      <x:c r="I91" s="58" t="n">
        <x:v>60</x:v>
      </x:c>
      <x:c r="J91" s="59" t="str">
        <x:v>DEEP</x:v>
      </x:c>
      <x:c r="K91" s="59" t="str">
        <x:v>PG</x:v>
      </x:c>
      <x:c r="L91" s="62" t="str">
        <x:v>Deep-pool model: 2025-26 custom-score production shrunk toward a conservative 2026-27 role estimate; not a published projection.</x:v>
      </x:c>
    </x:row>
    <x:row r="92" ht="20" customHeight="1">
      <x:c r="A92" s="59" t="n">
        <x:v>87</x:v>
      </x:c>
      <x:c r="B92" s="59" t="n">
        <x:v>398</x:v>
      </x:c>
      <x:c r="C92" s="59" t="str">
        <x:v>Jevon Carter</x:v>
      </x:c>
      <x:c r="D92" s="59" t="str">
        <x:v>ORL</x:v>
      </x:c>
      <x:c r="E92" s="58" t="n">
        <x:v>53</x:v>
      </x:c>
      <x:c r="F92" s="60" t="n">
        <x:v>12.1</x:v>
      </x:c>
      <x:c r="G92" s="60" t="n">
        <x:v>7</x:v>
      </x:c>
      <x:c r="H92" s="60" t="n">
        <x:v>14</x:v>
      </x:c>
      <x:c r="I92" s="58" t="n">
        <x:v>60</x:v>
      </x:c>
      <x:c r="J92" s="59" t="str">
        <x:v>DEEP</x:v>
      </x:c>
      <x:c r="K92" s="59" t="str">
        <x:v>PG</x:v>
      </x:c>
      <x:c r="L92" s="62" t="str">
        <x:v>Deep-pool model: 2025-26 custom-score production shrunk toward a conservative 2026-27 role estimate; not a published projection.</x:v>
      </x:c>
    </x:row>
    <x:row r="93" ht="20" customHeight="1">
      <x:c r="A93" s="59" t="n">
        <x:v>88</x:v>
      </x:c>
      <x:c r="B93" s="59" t="n">
        <x:v>408</x:v>
      </x:c>
      <x:c r="C93" s="59" t="str">
        <x:v>Jamaree Bouyea</x:v>
      </x:c>
      <x:c r="D93" s="59" t="str">
        <x:v>PHX</x:v>
      </x:c>
      <x:c r="E93" s="58" t="n">
        <x:v>46</x:v>
      </x:c>
      <x:c r="F93" s="60" t="n">
        <x:v>11.45</x:v>
      </x:c>
      <x:c r="G93" s="60" t="n">
        <x:v>6.27</x:v>
      </x:c>
      <x:c r="H93" s="60" t="n">
        <x:v>13.27</x:v>
      </x:c>
      <x:c r="I93" s="58" t="n">
        <x:v>60</x:v>
      </x:c>
      <x:c r="J93" s="59" t="str">
        <x:v>DEEP</x:v>
      </x:c>
      <x:c r="K93" s="59" t="str">
        <x:v>PG</x:v>
      </x:c>
      <x:c r="L93" s="62" t="str">
        <x:v>Deep-pool model: 2025-26 custom-score production shrunk toward a conservative 2026-27 role estimate; not a published projection.</x:v>
      </x:c>
    </x:row>
    <x:row r="94" ht="20" customHeight="1">
      <x:c r="A94" s="59" t="n">
        <x:v>89</x:v>
      </x:c>
      <x:c r="B94" s="59" t="n">
        <x:v>409</x:v>
      </x:c>
      <x:c r="C94" s="59" t="str">
        <x:v>Mike Conley</x:v>
      </x:c>
      <x:c r="D94" s="59" t="str">
        <x:v>BOS</x:v>
      </x:c>
      <x:c r="E94" s="58" t="n">
        <x:v>54</x:v>
      </x:c>
      <x:c r="F94" s="60" t="n">
        <x:v>11.9</x:v>
      </x:c>
      <x:c r="G94" s="60" t="n">
        <x:v>6.17</x:v>
      </x:c>
      <x:c r="H94" s="60" t="n">
        <x:v>13.17</x:v>
      </x:c>
      <x:c r="I94" s="58" t="n">
        <x:v>60</x:v>
      </x:c>
      <x:c r="J94" s="59" t="str">
        <x:v>DEEP</x:v>
      </x:c>
      <x:c r="K94" s="59" t="str">
        <x:v>PG</x:v>
      </x:c>
      <x:c r="L94" s="62" t="str">
        <x:v>Deep-pool model: 2025-26 custom-score production shrunk toward a conservative 2026-27 role estimate; not a published projection.</x:v>
      </x:c>
    </x:row>
    <x:row r="95" ht="20" customHeight="1">
      <x:c r="A95" s="59" t="n">
        <x:v>90</x:v>
      </x:c>
      <x:c r="B95" s="59" t="n">
        <x:v>412</x:v>
      </x:c>
      <x:c r="C95" s="59" t="str">
        <x:v>Nikola Topic</x:v>
      </x:c>
      <x:c r="D95" s="59" t="str">
        <x:v>OKC</x:v>
      </x:c>
      <x:c r="E95" s="58" t="n">
        <x:v>10</x:v>
      </x:c>
      <x:c r="F95" s="60" t="n">
        <x:v>10.9</x:v>
      </x:c>
      <x:c r="G95" s="60" t="n">
        <x:v>5.9</x:v>
      </x:c>
      <x:c r="H95" s="60" t="n">
        <x:v>12.9</x:v>
      </x:c>
      <x:c r="I95" s="58" t="n">
        <x:v>60</x:v>
      </x:c>
      <x:c r="J95" s="59" t="str">
        <x:v>VERY_DEEP</x:v>
      </x:c>
      <x:c r="K95" s="59" t="str">
        <x:v>PG</x:v>
      </x:c>
      <x:c r="L95" s="62" t="str">
        <x:v>Very-deep model estimate with limited sample/role certainty. Use as a search/watch-list value and refresh once final rotations are known.</x:v>
      </x:c>
    </x:row>
    <x:row r="96" ht="20" customHeight="1">
      <x:c r="A96" s="59" t="n">
        <x:v>91</x:v>
      </x:c>
      <x:c r="B96" s="59" t="n">
        <x:v>421</x:v>
      </x:c>
      <x:c r="C96" s="59" t="str">
        <x:v>Isaiah Stevens</x:v>
      </x:c>
      <x:c r="D96" s="59" t="str">
        <x:v>SAC</x:v>
      </x:c>
      <x:c r="E96" s="58" t="n">
        <x:v>3</x:v>
      </x:c>
      <x:c r="F96" s="60" t="n">
        <x:v>13.65</x:v>
      </x:c>
      <x:c r="G96" s="60" t="n">
        <x:v>5.470000000000001</x:v>
      </x:c>
      <x:c r="H96" s="60" t="n">
        <x:v>12.47</x:v>
      </x:c>
      <x:c r="I96" s="58" t="n">
        <x:v>64</x:v>
      </x:c>
      <x:c r="J96" s="59" t="str">
        <x:v>VERY_DEEP</x:v>
      </x:c>
      <x:c r="K96" s="59" t="str">
        <x:v>PG</x:v>
      </x:c>
      <x:c r="L96" s="62" t="str">
        <x:v>Very-deep model estimate with limited sample/role certainty. Use as a search/watch-list value and refresh once final rotations are known.</x:v>
      </x:c>
    </x:row>
    <x:row r="97" ht="20" customHeight="1">
      <x:c r="A97" s="59" t="n">
        <x:v>92</x:v>
      </x:c>
      <x:c r="B97" s="59" t="n">
        <x:v>425</x:v>
      </x:c>
      <x:c r="C97" s="59" t="str">
        <x:v>Tyler Kolek</x:v>
      </x:c>
      <x:c r="D97" s="59" t="str">
        <x:v>NYK</x:v>
      </x:c>
      <x:c r="E97" s="58" t="n">
        <x:v>62</x:v>
      </x:c>
      <x:c r="F97" s="60" t="n">
        <x:v>10</x:v>
      </x:c>
      <x:c r="G97" s="60" t="n">
        <x:v>5.33</x:v>
      </x:c>
      <x:c r="H97" s="60" t="n">
        <x:v>12.33</x:v>
      </x:c>
      <x:c r="I97" s="58" t="n">
        <x:v>60</x:v>
      </x:c>
      <x:c r="J97" s="59" t="str">
        <x:v>DEEP</x:v>
      </x:c>
      <x:c r="K97" s="59" t="str">
        <x:v>PG</x:v>
      </x:c>
      <x:c r="L97" s="62" t="str">
        <x:v>Deep-pool model: 2025-26 custom-score production shrunk toward a conservative 2026-27 role estimate; not a published projection.</x:v>
      </x:c>
    </x:row>
    <x:row r="98" ht="20" customHeight="1">
      <x:c r="A98" s="59" t="n">
        <x:v>93</x:v>
      </x:c>
      <x:c r="B98" s="59" t="n">
        <x:v>430</x:v>
      </x:c>
      <x:c r="C98" s="59" t="str">
        <x:v>AJ Hoggard</x:v>
      </x:c>
      <x:c r="D98" s="59" t="str">
        <x:v>TOR</x:v>
      </x:c>
      <x:c r="E98" s="58"/>
      <x:c r="F98" s="60"/>
      <x:c r="G98" s="60" t="n">
        <x:v>0</x:v>
      </x:c>
      <x:c r="H98" s="60" t="n">
        <x:v>3.5</x:v>
      </x:c>
      <x:c r="I98" s="58" t="n">
        <x:v>0</x:v>
      </x:c>
      <x:c r="J98" s="59" t="str">
        <x:v>WATCH</x:v>
      </x:c>
      <x:c r="K98" s="59" t="str">
        <x:v>G</x:v>
      </x:c>
      <x:c r="L98" s="62" t="str">
        <x:v>Camp/summer-depth watch entry; no reliable 2026-27 fantasy projection. Verify final NBA contract, roster status and role before draft use.</x:v>
      </x:c>
    </x:row>
    <x:row r="99" ht="20" customHeight="1">
      <x:c r="A99" s="59" t="n">
        <x:v>94</x:v>
      </x:c>
      <x:c r="B99" s="59" t="n">
        <x:v>435</x:v>
      </x:c>
      <x:c r="C99" s="59" t="str">
        <x:v>Aidan Mahaney</x:v>
      </x:c>
      <x:c r="D99" s="59" t="str">
        <x:v>MIN</x:v>
      </x:c>
      <x:c r="E99" s="58"/>
      <x:c r="F99" s="60"/>
      <x:c r="G99" s="60" t="n">
        <x:v>0</x:v>
      </x:c>
      <x:c r="H99" s="60" t="n">
        <x:v>3.5</x:v>
      </x:c>
      <x:c r="I99" s="58" t="n">
        <x:v>0</x:v>
      </x:c>
      <x:c r="J99" s="59" t="str">
        <x:v>WATCH</x:v>
      </x:c>
      <x:c r="K99" s="59" t="str">
        <x:v>G</x:v>
      </x:c>
      <x:c r="L99" s="62" t="str">
        <x:v>Camp/summer-depth watch entry; no reliable 2026-27 fantasy projection. Verify final NBA contract, roster status and role before draft use.</x:v>
      </x:c>
    </x:row>
    <x:row r="100" ht="20" customHeight="1">
      <x:c r="A100" s="59" t="n">
        <x:v>95</x:v>
      </x:c>
      <x:c r="B100" s="59" t="n">
        <x:v>443</x:v>
      </x:c>
      <x:c r="C100" s="59" t="str">
        <x:v>Anthony Dell'Orso</x:v>
      </x:c>
      <x:c r="D100" s="59" t="str">
        <x:v>SAC</x:v>
      </x:c>
      <x:c r="E100" s="58"/>
      <x:c r="F100" s="60"/>
      <x:c r="G100" s="60" t="n">
        <x:v>0</x:v>
      </x:c>
      <x:c r="H100" s="60" t="n">
        <x:v>3.5</x:v>
      </x:c>
      <x:c r="I100" s="58" t="n">
        <x:v>0</x:v>
      </x:c>
      <x:c r="J100" s="59" t="str">
        <x:v>WATCH</x:v>
      </x:c>
      <x:c r="K100" s="59" t="str">
        <x:v>G</x:v>
      </x:c>
      <x:c r="L100" s="62" t="str">
        <x:v>Camp/summer-depth watch entry; no reliable 2026-27 fantasy projection. Verify final NBA contract, roster status and role before draft use.</x:v>
      </x:c>
    </x:row>
    <x:row r="101" ht="20" customHeight="1">
      <x:c r="A101" s="59" t="n">
        <x:v>96</x:v>
      </x:c>
      <x:c r="B101" s="59" t="n">
        <x:v>444</x:v>
      </x:c>
      <x:c r="C101" s="59" t="str">
        <x:v>Anthony Pritchard</x:v>
      </x:c>
      <x:c r="D101" s="59" t="str">
        <x:v>OKC</x:v>
      </x:c>
      <x:c r="E101" s="58"/>
      <x:c r="F101" s="60"/>
      <x:c r="G101" s="60" t="n">
        <x:v>0</x:v>
      </x:c>
      <x:c r="H101" s="60" t="n">
        <x:v>3.5</x:v>
      </x:c>
      <x:c r="I101" s="58" t="n">
        <x:v>0</x:v>
      </x:c>
      <x:c r="J101" s="59" t="str">
        <x:v>WATCH</x:v>
      </x:c>
      <x:c r="K101" s="59" t="str">
        <x:v>PG</x:v>
      </x:c>
      <x:c r="L101" s="62" t="str">
        <x:v>Camp/summer-depth watch entry; no reliable 2026-27 fantasy projection. Verify final NBA contract, roster status and role before draft use.</x:v>
      </x:c>
    </x:row>
    <x:row r="102" ht="20" customHeight="1">
      <x:c r="A102" s="59" t="n">
        <x:v>97</x:v>
      </x:c>
      <x:c r="B102" s="59" t="n">
        <x:v>449</x:v>
      </x:c>
      <x:c r="C102" s="59" t="str">
        <x:v>B.J. Edwards</x:v>
      </x:c>
      <x:c r="D102" s="59" t="str">
        <x:v>SAC</x:v>
      </x:c>
      <x:c r="E102" s="58"/>
      <x:c r="F102" s="60"/>
      <x:c r="G102" s="60" t="n">
        <x:v>0</x:v>
      </x:c>
      <x:c r="H102" s="60" t="n">
        <x:v>3.5</x:v>
      </x:c>
      <x:c r="I102" s="58" t="n">
        <x:v>0</x:v>
      </x:c>
      <x:c r="J102" s="59" t="str">
        <x:v>WATCH</x:v>
      </x:c>
      <x:c r="K102" s="59" t="str">
        <x:v>G</x:v>
      </x:c>
      <x:c r="L102" s="62" t="str">
        <x:v>Camp/summer-depth watch entry; no reliable 2026-27 fantasy projection. Verify final NBA contract, roster status and role before draft use.</x:v>
      </x:c>
    </x:row>
    <x:row r="103" ht="20" customHeight="1">
      <x:c r="A103" s="59" t="n">
        <x:v>98</x:v>
      </x:c>
      <x:c r="B103" s="59" t="n">
        <x:v>454</x:v>
      </x:c>
      <x:c r="C103" s="59" t="str">
        <x:v>Boo Buie</x:v>
      </x:c>
      <x:c r="D103" s="59" t="str">
        <x:v>CHI</x:v>
      </x:c>
      <x:c r="E103" s="58"/>
      <x:c r="F103" s="60"/>
      <x:c r="G103" s="60" t="n">
        <x:v>0</x:v>
      </x:c>
      <x:c r="H103" s="60" t="n">
        <x:v>3.5</x:v>
      </x:c>
      <x:c r="I103" s="58" t="n">
        <x:v>0</x:v>
      </x:c>
      <x:c r="J103" s="59" t="str">
        <x:v>WATCH</x:v>
      </x:c>
      <x:c r="K103" s="59" t="str">
        <x:v>G</x:v>
      </x:c>
      <x:c r="L103" s="62" t="str">
        <x:v>Camp/summer-depth watch entry; no reliable 2026-27 fantasy projection. Verify final NBA contract, roster status and role before draft use.</x:v>
      </x:c>
    </x:row>
    <x:row r="104" ht="20" customHeight="1">
      <x:c r="A104" s="59" t="n">
        <x:v>99</x:v>
      </x:c>
      <x:c r="B104" s="59" t="n">
        <x:v>455</x:v>
      </x:c>
      <x:c r="C104" s="59" t="str">
        <x:v>Boopie Miller</x:v>
      </x:c>
      <x:c r="D104" s="59" t="str">
        <x:v>MIL</x:v>
      </x:c>
      <x:c r="E104" s="58"/>
      <x:c r="F104" s="60"/>
      <x:c r="G104" s="60" t="n">
        <x:v>0</x:v>
      </x:c>
      <x:c r="H104" s="60" t="n">
        <x:v>3.5</x:v>
      </x:c>
      <x:c r="I104" s="58" t="n">
        <x:v>0</x:v>
      </x:c>
      <x:c r="J104" s="59" t="str">
        <x:v>WATCH</x:v>
      </x:c>
      <x:c r="K104" s="59" t="str">
        <x:v>PG</x:v>
      </x:c>
      <x:c r="L104" s="62" t="str">
        <x:v>Camp/summer-depth watch entry; no reliable 2026-27 fantasy projection. Verify final NBA contract, roster status and role before draft use.</x:v>
      </x:c>
    </x:row>
    <x:row r="105" ht="20" customHeight="1">
      <x:c r="A105" s="59" t="n">
        <x:v>100</x:v>
      </x:c>
      <x:c r="B105" s="59" t="n">
        <x:v>456</x:v>
      </x:c>
      <x:c r="C105" s="59" t="str">
        <x:v>Braden Smith</x:v>
      </x:c>
      <x:c r="D105" s="59" t="str">
        <x:v>IND</x:v>
      </x:c>
      <x:c r="E105" s="58"/>
      <x:c r="F105" s="60"/>
      <x:c r="G105" s="60" t="n">
        <x:v>0</x:v>
      </x:c>
      <x:c r="H105" s="60" t="n">
        <x:v>3.5</x:v>
      </x:c>
      <x:c r="I105" s="58" t="n">
        <x:v>0</x:v>
      </x:c>
      <x:c r="J105" s="59" t="str">
        <x:v>WATCH</x:v>
      </x:c>
      <x:c r="K105" s="59" t="str">
        <x:v>PG</x:v>
      </x:c>
      <x:c r="L105" s="62" t="str">
        <x:v>Camp/summer-depth watch entry; no reliable 2026-27 fantasy projection. Verify final NBA contract, roster status and role before draft use.</x:v>
      </x:c>
    </x:row>
    <x:row r="106" ht="20" customHeight="1">
      <x:c r="A106" s="59" t="n">
        <x:v>101</x:v>
      </x:c>
      <x:c r="B106" s="59" t="n">
        <x:v>465</x:v>
      </x:c>
      <x:c r="C106" s="59" t="str">
        <x:v>Cam Carter</x:v>
      </x:c>
      <x:c r="D106" s="59" t="str">
        <x:v>MIA</x:v>
      </x:c>
      <x:c r="E106" s="58"/>
      <x:c r="F106" s="60"/>
      <x:c r="G106" s="60" t="n">
        <x:v>0</x:v>
      </x:c>
      <x:c r="H106" s="60" t="n">
        <x:v>3.5</x:v>
      </x:c>
      <x:c r="I106" s="58" t="n">
        <x:v>0</x:v>
      </x:c>
      <x:c r="J106" s="59" t="str">
        <x:v>WATCH</x:v>
      </x:c>
      <x:c r="K106" s="59" t="str">
        <x:v>G</x:v>
      </x:c>
      <x:c r="L106" s="62" t="str">
        <x:v>Camp/summer-depth watch entry; no reliable 2026-27 fantasy projection. Verify final NBA contract, roster status and role before draft use.</x:v>
      </x:c>
    </x:row>
    <x:row r="107" ht="20" customHeight="1">
      <x:c r="A107" s="59" t="n">
        <x:v>102</x:v>
      </x:c>
      <x:c r="B107" s="59" t="n">
        <x:v>468</x:v>
      </x:c>
      <x:c r="C107" s="59" t="str">
        <x:v>Cameron Hildreth</x:v>
      </x:c>
      <x:c r="D107" s="59" t="str">
        <x:v>IND</x:v>
      </x:c>
      <x:c r="E107" s="58"/>
      <x:c r="F107" s="60"/>
      <x:c r="G107" s="60" t="n">
        <x:v>0</x:v>
      </x:c>
      <x:c r="H107" s="60" t="n">
        <x:v>3.5</x:v>
      </x:c>
      <x:c r="I107" s="58" t="n">
        <x:v>0</x:v>
      </x:c>
      <x:c r="J107" s="59" t="str">
        <x:v>WATCH</x:v>
      </x:c>
      <x:c r="K107" s="59" t="str">
        <x:v>G</x:v>
      </x:c>
      <x:c r="L107" s="62" t="str">
        <x:v>Camp/summer-depth watch entry; no reliable 2026-27 fantasy projection. Verify final NBA contract, roster status and role before draft use.</x:v>
      </x:c>
    </x:row>
    <x:row r="108" ht="20" customHeight="1">
      <x:c r="A108" s="59" t="n">
        <x:v>103</x:v>
      </x:c>
      <x:c r="B108" s="59" t="n">
        <x:v>472</x:v>
      </x:c>
      <x:c r="C108" s="59" t="str">
        <x:v>Chance McMillian</x:v>
      </x:c>
      <x:c r="D108" s="59" t="str">
        <x:v>GSW</x:v>
      </x:c>
      <x:c r="E108" s="58"/>
      <x:c r="F108" s="60"/>
      <x:c r="G108" s="60" t="n">
        <x:v>0</x:v>
      </x:c>
      <x:c r="H108" s="60" t="n">
        <x:v>3.5</x:v>
      </x:c>
      <x:c r="I108" s="58" t="n">
        <x:v>0</x:v>
      </x:c>
      <x:c r="J108" s="59" t="str">
        <x:v>WATCH</x:v>
      </x:c>
      <x:c r="K108" s="59" t="str">
        <x:v>G</x:v>
      </x:c>
      <x:c r="L108" s="62" t="str">
        <x:v>Camp/summer-depth watch entry; no reliable 2026-27 fantasy projection. Verify final NBA contract, roster status and role before draft use.</x:v>
      </x:c>
    </x:row>
    <x:row r="109" ht="20" customHeight="1">
      <x:c r="A109" s="59" t="n">
        <x:v>104</x:v>
      </x:c>
      <x:c r="B109" s="59" t="n">
        <x:v>474</x:v>
      </x:c>
      <x:c r="C109" s="59" t="str">
        <x:v>Chase Hunter</x:v>
      </x:c>
      <x:c r="D109" s="59" t="str">
        <x:v>GSW</x:v>
      </x:c>
      <x:c r="E109" s="58"/>
      <x:c r="F109" s="60"/>
      <x:c r="G109" s="60" t="n">
        <x:v>0</x:v>
      </x:c>
      <x:c r="H109" s="60" t="n">
        <x:v>3.5</x:v>
      </x:c>
      <x:c r="I109" s="58" t="n">
        <x:v>0</x:v>
      </x:c>
      <x:c r="J109" s="59" t="str">
        <x:v>WATCH</x:v>
      </x:c>
      <x:c r="K109" s="59" t="str">
        <x:v>G</x:v>
      </x:c>
      <x:c r="L109" s="62" t="str">
        <x:v>Camp/summer-depth watch entry; no reliable 2026-27 fantasy projection. Verify final NBA contract, roster status and role before draft use.</x:v>
      </x:c>
    </x:row>
    <x:row r="110" ht="20" customHeight="1">
      <x:c r="A110" s="59" t="n">
        <x:v>105</x:v>
      </x:c>
      <x:c r="B110" s="59" t="n">
        <x:v>475</x:v>
      </x:c>
      <x:c r="C110" s="59" t="str">
        <x:v>Chase Ross</x:v>
      </x:c>
      <x:c r="D110" s="59" t="str">
        <x:v>LAL</x:v>
      </x:c>
      <x:c r="E110" s="58"/>
      <x:c r="F110" s="60"/>
      <x:c r="G110" s="60" t="n">
        <x:v>0</x:v>
      </x:c>
      <x:c r="H110" s="60" t="n">
        <x:v>3.5</x:v>
      </x:c>
      <x:c r="I110" s="58" t="n">
        <x:v>0</x:v>
      </x:c>
      <x:c r="J110" s="59" t="str">
        <x:v>WATCH</x:v>
      </x:c>
      <x:c r="K110" s="59" t="str">
        <x:v>G</x:v>
      </x:c>
      <x:c r="L110" s="62" t="str">
        <x:v>Camp/summer-depth watch entry; no reliable 2026-27 fantasy projection. Verify final NBA contract, roster status and role before draft use.</x:v>
      </x:c>
    </x:row>
    <x:row r="111" ht="20" customHeight="1">
      <x:c r="A111" s="59" t="n">
        <x:v>106</x:v>
      </x:c>
      <x:c r="B111" s="59" t="n">
        <x:v>484</x:v>
      </x:c>
      <x:c r="C111" s="59" t="str">
        <x:v>Daishen Nix</x:v>
      </x:c>
      <x:c r="D111" s="59" t="str">
        <x:v>HOU</x:v>
      </x:c>
      <x:c r="E111" s="58"/>
      <x:c r="F111" s="60"/>
      <x:c r="G111" s="60" t="n">
        <x:v>0</x:v>
      </x:c>
      <x:c r="H111" s="60" t="n">
        <x:v>3.5</x:v>
      </x:c>
      <x:c r="I111" s="58" t="n">
        <x:v>0</x:v>
      </x:c>
      <x:c r="J111" s="59" t="str">
        <x:v>WATCH</x:v>
      </x:c>
      <x:c r="K111" s="59" t="str">
        <x:v>PG</x:v>
      </x:c>
      <x:c r="L111" s="62" t="str">
        <x:v>Camp/summer-depth watch entry; no reliable 2026-27 fantasy projection. Verify final NBA contract, roster status and role before draft use.</x:v>
      </x:c>
    </x:row>
    <x:row r="112" ht="20" customHeight="1">
      <x:c r="A112" s="59" t="n">
        <x:v>107</x:v>
      </x:c>
      <x:c r="B112" s="59" t="n">
        <x:v>486</x:v>
      </x:c>
      <x:c r="C112" s="59" t="str">
        <x:v>Dane Goodwin</x:v>
      </x:c>
      <x:c r="D112" s="59" t="str">
        <x:v>CLE</x:v>
      </x:c>
      <x:c r="E112" s="58"/>
      <x:c r="F112" s="60"/>
      <x:c r="G112" s="60" t="n">
        <x:v>0</x:v>
      </x:c>
      <x:c r="H112" s="60" t="n">
        <x:v>3.5</x:v>
      </x:c>
      <x:c r="I112" s="58" t="n">
        <x:v>0</x:v>
      </x:c>
      <x:c r="J112" s="59" t="str">
        <x:v>WATCH</x:v>
      </x:c>
      <x:c r="K112" s="59" t="str">
        <x:v>G</x:v>
      </x:c>
      <x:c r="L112" s="62" t="str">
        <x:v>Camp/summer-depth watch entry; no reliable 2026-27 fantasy projection. Verify final NBA contract, roster status and role before draft use.</x:v>
      </x:c>
    </x:row>
    <x:row r="113" ht="20" customHeight="1">
      <x:c r="A113" s="59" t="n">
        <x:v>108</x:v>
      </x:c>
      <x:c r="B113" s="59" t="n">
        <x:v>489</x:v>
      </x:c>
      <x:c r="C113" s="59" t="str">
        <x:v>Davide Casarin</x:v>
      </x:c>
      <x:c r="D113" s="59" t="str">
        <x:v>HOU</x:v>
      </x:c>
      <x:c r="E113" s="58"/>
      <x:c r="F113" s="60"/>
      <x:c r="G113" s="60" t="n">
        <x:v>0</x:v>
      </x:c>
      <x:c r="H113" s="60" t="n">
        <x:v>3.5</x:v>
      </x:c>
      <x:c r="I113" s="58" t="n">
        <x:v>0</x:v>
      </x:c>
      <x:c r="J113" s="59" t="str">
        <x:v>WATCH</x:v>
      </x:c>
      <x:c r="K113" s="59" t="str">
        <x:v>G</x:v>
      </x:c>
      <x:c r="L113" s="62" t="str">
        <x:v>Camp/summer-depth watch entry; no reliable 2026-27 fantasy projection. Verify final NBA contract, roster status and role before draft use.</x:v>
      </x:c>
    </x:row>
    <x:row r="114" ht="20" customHeight="1">
      <x:c r="A114" s="59" t="n">
        <x:v>109</x:v>
      </x:c>
      <x:c r="B114" s="59" t="n">
        <x:v>491</x:v>
      </x:c>
      <x:c r="C114" s="59" t="str">
        <x:v>Day-Day Thomas</x:v>
      </x:c>
      <x:c r="D114" s="59" t="str">
        <x:v>BOS</x:v>
      </x:c>
      <x:c r="E114" s="58"/>
      <x:c r="F114" s="60"/>
      <x:c r="G114" s="60" t="n">
        <x:v>0</x:v>
      </x:c>
      <x:c r="H114" s="60" t="n">
        <x:v>3.5</x:v>
      </x:c>
      <x:c r="I114" s="58" t="n">
        <x:v>0</x:v>
      </x:c>
      <x:c r="J114" s="59" t="str">
        <x:v>WATCH</x:v>
      </x:c>
      <x:c r="K114" s="59" t="str">
        <x:v>G</x:v>
      </x:c>
      <x:c r="L114" s="62" t="str">
        <x:v>Camp/summer-depth watch entry; no reliable 2026-27 fantasy projection. Verify final NBA contract, roster status and role before draft use.</x:v>
      </x:c>
    </x:row>
    <x:row r="115" ht="20" customHeight="1">
      <x:c r="A115" s="59" t="n">
        <x:v>110</x:v>
      </x:c>
      <x:c r="B115" s="59" t="n">
        <x:v>492</x:v>
      </x:c>
      <x:c r="C115" s="59" t="str">
        <x:v>Deivon Smith</x:v>
      </x:c>
      <x:c r="D115" s="59" t="str">
        <x:v>GSW</x:v>
      </x:c>
      <x:c r="E115" s="58"/>
      <x:c r="F115" s="60"/>
      <x:c r="G115" s="60" t="n">
        <x:v>0</x:v>
      </x:c>
      <x:c r="H115" s="60" t="n">
        <x:v>3.5</x:v>
      </x:c>
      <x:c r="I115" s="58" t="n">
        <x:v>0</x:v>
      </x:c>
      <x:c r="J115" s="59" t="str">
        <x:v>WATCH</x:v>
      </x:c>
      <x:c r="K115" s="59" t="str">
        <x:v>PG</x:v>
      </x:c>
      <x:c r="L115" s="62" t="str">
        <x:v>Camp/summer-depth watch entry; no reliable 2026-27 fantasy projection. Verify final NBA contract, roster status and role before draft use.</x:v>
      </x:c>
    </x:row>
    <x:row r="116" ht="20" customHeight="1">
      <x:c r="A116" s="59" t="n">
        <x:v>111</x:v>
      </x:c>
      <x:c r="B116" s="59" t="n">
        <x:v>493</x:v>
      </x:c>
      <x:c r="C116" s="59" t="str">
        <x:v>Devin Askew</x:v>
      </x:c>
      <x:c r="D116" s="59" t="str">
        <x:v>PHX</x:v>
      </x:c>
      <x:c r="E116" s="58"/>
      <x:c r="F116" s="60"/>
      <x:c r="G116" s="60" t="n">
        <x:v>0</x:v>
      </x:c>
      <x:c r="H116" s="60" t="n">
        <x:v>3.5</x:v>
      </x:c>
      <x:c r="I116" s="58" t="n">
        <x:v>0</x:v>
      </x:c>
      <x:c r="J116" s="59" t="str">
        <x:v>WATCH</x:v>
      </x:c>
      <x:c r="K116" s="59" t="str">
        <x:v>G</x:v>
      </x:c>
      <x:c r="L116" s="62" t="str">
        <x:v>Camp/summer-depth watch entry; no reliable 2026-27 fantasy projection. Verify final NBA contract, roster status and role before draft use.</x:v>
      </x:c>
    </x:row>
    <x:row r="117" ht="20" customHeight="1">
      <x:c r="A117" s="59" t="n">
        <x:v>112</x:v>
      </x:c>
      <x:c r="B117" s="59" t="n">
        <x:v>497</x:v>
      </x:c>
      <x:c r="C117" s="59" t="str">
        <x:v>Dion Brown</x:v>
      </x:c>
      <x:c r="D117" s="59" t="str">
        <x:v>BKN</x:v>
      </x:c>
      <x:c r="E117" s="58"/>
      <x:c r="F117" s="60"/>
      <x:c r="G117" s="60" t="n">
        <x:v>0</x:v>
      </x:c>
      <x:c r="H117" s="60" t="n">
        <x:v>3.5</x:v>
      </x:c>
      <x:c r="I117" s="58" t="n">
        <x:v>0</x:v>
      </x:c>
      <x:c r="J117" s="59" t="str">
        <x:v>WATCH</x:v>
      </x:c>
      <x:c r="K117" s="59" t="str">
        <x:v>G</x:v>
      </x:c>
      <x:c r="L117" s="62" t="str">
        <x:v>Camp/summer-depth watch entry; no reliable 2026-27 fantasy projection. Verify final NBA contract, roster status and role before draft use.</x:v>
      </x:c>
    </x:row>
    <x:row r="118" ht="20" customHeight="1">
      <x:c r="A118" s="59" t="n">
        <x:v>113</x:v>
      </x:c>
      <x:c r="B118" s="59" t="n">
        <x:v>499</x:v>
      </x:c>
      <x:c r="C118" s="59" t="str">
        <x:v>Drake Allen</x:v>
      </x:c>
      <x:c r="D118" s="59" t="str">
        <x:v>DET</x:v>
      </x:c>
      <x:c r="E118" s="58"/>
      <x:c r="F118" s="60"/>
      <x:c r="G118" s="60" t="n">
        <x:v>0</x:v>
      </x:c>
      <x:c r="H118" s="60" t="n">
        <x:v>3.5</x:v>
      </x:c>
      <x:c r="I118" s="58" t="n">
        <x:v>0</x:v>
      </x:c>
      <x:c r="J118" s="59" t="str">
        <x:v>WATCH</x:v>
      </x:c>
      <x:c r="K118" s="59" t="str">
        <x:v>G</x:v>
      </x:c>
      <x:c r="L118" s="62" t="str">
        <x:v>Camp/summer-depth watch entry; no reliable 2026-27 fantasy projection. Verify final NBA contract, roster status and role before draft use.</x:v>
      </x:c>
    </x:row>
    <x:row r="119" ht="20" customHeight="1">
      <x:c r="A119" s="59" t="n">
        <x:v>114</x:v>
      </x:c>
      <x:c r="B119" s="59" t="n">
        <x:v>502</x:v>
      </x:c>
      <x:c r="C119" s="59" t="str">
        <x:v>Duke Miles</x:v>
      </x:c>
      <x:c r="D119" s="59" t="str">
        <x:v>PHI</x:v>
      </x:c>
      <x:c r="E119" s="58"/>
      <x:c r="F119" s="60"/>
      <x:c r="G119" s="60" t="n">
        <x:v>0</x:v>
      </x:c>
      <x:c r="H119" s="60" t="n">
        <x:v>3.5</x:v>
      </x:c>
      <x:c r="I119" s="58" t="n">
        <x:v>0</x:v>
      </x:c>
      <x:c r="J119" s="59" t="str">
        <x:v>WATCH</x:v>
      </x:c>
      <x:c r="K119" s="59" t="str">
        <x:v>PG</x:v>
      </x:c>
      <x:c r="L119" s="62" t="str">
        <x:v>Camp/summer-depth watch entry; no reliable 2026-27 fantasy projection. Verify final NBA contract, roster status and role before draft use.</x:v>
      </x:c>
    </x:row>
    <x:row r="120" ht="20" customHeight="1">
      <x:c r="A120" s="59" t="n">
        <x:v>115</x:v>
      </x:c>
      <x:c r="B120" s="59" t="n">
        <x:v>508</x:v>
      </x:c>
      <x:c r="C120" s="59" t="str">
        <x:v>Erik Stevenson</x:v>
      </x:c>
      <x:c r="D120" s="59" t="str">
        <x:v>DEN</x:v>
      </x:c>
      <x:c r="E120" s="58"/>
      <x:c r="F120" s="60"/>
      <x:c r="G120" s="60" t="n">
        <x:v>0</x:v>
      </x:c>
      <x:c r="H120" s="60" t="n">
        <x:v>3.5</x:v>
      </x:c>
      <x:c r="I120" s="58" t="n">
        <x:v>0</x:v>
      </x:c>
      <x:c r="J120" s="59" t="str">
        <x:v>WATCH</x:v>
      </x:c>
      <x:c r="K120" s="59" t="str">
        <x:v>G</x:v>
      </x:c>
      <x:c r="L120" s="62" t="str">
        <x:v>Camp/summer-depth watch entry; no reliable 2026-27 fantasy projection. Verify final NBA contract, roster status and role before draft use.</x:v>
      </x:c>
    </x:row>
    <x:row r="121" ht="20" customHeight="1">
      <x:c r="A121" s="59" t="n">
        <x:v>116</x:v>
      </x:c>
      <x:c r="B121" s="59" t="n">
        <x:v>512</x:v>
      </x:c>
      <x:c r="C121" s="59" t="str">
        <x:v>Flynn Cameron</x:v>
      </x:c>
      <x:c r="D121" s="59" t="str">
        <x:v>POR</x:v>
      </x:c>
      <x:c r="E121" s="58"/>
      <x:c r="F121" s="60"/>
      <x:c r="G121" s="60" t="n">
        <x:v>0</x:v>
      </x:c>
      <x:c r="H121" s="60" t="n">
        <x:v>3.5</x:v>
      </x:c>
      <x:c r="I121" s="58" t="n">
        <x:v>0</x:v>
      </x:c>
      <x:c r="J121" s="59" t="str">
        <x:v>WATCH</x:v>
      </x:c>
      <x:c r="K121" s="59" t="str">
        <x:v>G</x:v>
      </x:c>
      <x:c r="L121" s="62" t="str">
        <x:v>Camp/summer-depth watch entry; no reliable 2026-27 fantasy projection. Verify final NBA contract, roster status and role before draft use.</x:v>
      </x:c>
    </x:row>
    <x:row r="122" ht="20" customHeight="1">
      <x:c r="A122" s="59" t="n">
        <x:v>117</x:v>
      </x:c>
      <x:c r="B122" s="59" t="n">
        <x:v>514</x:v>
      </x:c>
      <x:c r="C122" s="59" t="str">
        <x:v>Gabe Madsen</x:v>
      </x:c>
      <x:c r="D122" s="59" t="str">
        <x:v>ATL</x:v>
      </x:c>
      <x:c r="E122" s="58"/>
      <x:c r="F122" s="60"/>
      <x:c r="G122" s="60" t="n">
        <x:v>0</x:v>
      </x:c>
      <x:c r="H122" s="60" t="n">
        <x:v>3.5</x:v>
      </x:c>
      <x:c r="I122" s="58" t="n">
        <x:v>0</x:v>
      </x:c>
      <x:c r="J122" s="59" t="str">
        <x:v>WATCH</x:v>
      </x:c>
      <x:c r="K122" s="59" t="str">
        <x:v>G</x:v>
      </x:c>
      <x:c r="L122" s="62" t="str">
        <x:v>Camp/summer-depth watch entry; no reliable 2026-27 fantasy projection. Verify final NBA contract, roster status and role before draft use.</x:v>
      </x:c>
    </x:row>
    <x:row r="123" ht="20" customHeight="1">
      <x:c r="A123" s="59" t="n">
        <x:v>118</x:v>
      </x:c>
      <x:c r="B123" s="59" t="n">
        <x:v>522</x:v>
      </x:c>
      <x:c r="C123" s="59" t="str">
        <x:v>Houston Mallette</x:v>
      </x:c>
      <x:c r="D123" s="59" t="str">
        <x:v>CHI</x:v>
      </x:c>
      <x:c r="E123" s="58"/>
      <x:c r="F123" s="60"/>
      <x:c r="G123" s="60" t="n">
        <x:v>0</x:v>
      </x:c>
      <x:c r="H123" s="60" t="n">
        <x:v>3.5</x:v>
      </x:c>
      <x:c r="I123" s="58" t="n">
        <x:v>0</x:v>
      </x:c>
      <x:c r="J123" s="59" t="str">
        <x:v>WATCH</x:v>
      </x:c>
      <x:c r="K123" s="59" t="str">
        <x:v>G</x:v>
      </x:c>
      <x:c r="L123" s="62" t="str">
        <x:v>Camp/summer-depth watch entry; no reliable 2026-27 fantasy projection. Verify final NBA contract, roster status and role before draft use.</x:v>
      </x:c>
    </x:row>
    <x:row r="124" ht="20" customHeight="1">
      <x:c r="A124" s="59" t="n">
        <x:v>119</x:v>
      </x:c>
      <x:c r="B124" s="59" t="n">
        <x:v>524</x:v>
      </x:c>
      <x:c r="C124" s="59" t="str">
        <x:v>Ian Martinez</x:v>
      </x:c>
      <x:c r="D124" s="59" t="str">
        <x:v>CLE</x:v>
      </x:c>
      <x:c r="E124" s="58"/>
      <x:c r="F124" s="60"/>
      <x:c r="G124" s="60" t="n">
        <x:v>0</x:v>
      </x:c>
      <x:c r="H124" s="60" t="n">
        <x:v>3.5</x:v>
      </x:c>
      <x:c r="I124" s="58" t="n">
        <x:v>0</x:v>
      </x:c>
      <x:c r="J124" s="59" t="str">
        <x:v>WATCH</x:v>
      </x:c>
      <x:c r="K124" s="59" t="str">
        <x:v>G</x:v>
      </x:c>
      <x:c r="L124" s="62" t="str">
        <x:v>Camp/summer-depth watch entry; no reliable 2026-27 fantasy projection. Verify final NBA contract, roster status and role before draft use.</x:v>
      </x:c>
    </x:row>
    <x:row r="125" ht="20" customHeight="1">
      <x:c r="A125" s="59" t="n">
        <x:v>120</x:v>
      </x:c>
      <x:c r="B125" s="59" t="n">
        <x:v>528</x:v>
      </x:c>
      <x:c r="C125" s="59" t="str">
        <x:v>Isaiah Wong</x:v>
      </x:c>
      <x:c r="D125" s="59" t="str">
        <x:v>ATL</x:v>
      </x:c>
      <x:c r="E125" s="58"/>
      <x:c r="F125" s="60"/>
      <x:c r="G125" s="60" t="n">
        <x:v>0</x:v>
      </x:c>
      <x:c r="H125" s="60" t="n">
        <x:v>3.5</x:v>
      </x:c>
      <x:c r="I125" s="58" t="n">
        <x:v>0</x:v>
      </x:c>
      <x:c r="J125" s="59" t="str">
        <x:v>WATCH</x:v>
      </x:c>
      <x:c r="K125" s="59" t="str">
        <x:v>G</x:v>
      </x:c>
      <x:c r="L125" s="62" t="str">
        <x:v>Camp/summer-depth watch entry; no reliable 2026-27 fantasy projection. Verify final NBA contract, roster status and role before draft use.</x:v>
      </x:c>
    </x:row>
    <x:row r="126" ht="20" customHeight="1">
      <x:c r="A126" s="59" t="n">
        <x:v>121</x:v>
      </x:c>
      <x:c r="B126" s="59" t="n">
        <x:v>532</x:v>
      </x:c>
      <x:c r="C126" s="59" t="str">
        <x:v>Ja'Kobi Gillespie</x:v>
      </x:c>
      <x:c r="D126" s="59" t="str">
        <x:v>SAS</x:v>
      </x:c>
      <x:c r="E126" s="58"/>
      <x:c r="F126" s="60"/>
      <x:c r="G126" s="60" t="n">
        <x:v>0</x:v>
      </x:c>
      <x:c r="H126" s="60" t="n">
        <x:v>3.5</x:v>
      </x:c>
      <x:c r="I126" s="58" t="n">
        <x:v>0</x:v>
      </x:c>
      <x:c r="J126" s="59" t="str">
        <x:v>WATCH</x:v>
      </x:c>
      <x:c r="K126" s="59" t="str">
        <x:v>PG</x:v>
      </x:c>
      <x:c r="L126" s="62" t="str">
        <x:v>Camp/summer-depth watch entry; no reliable 2026-27 fantasy projection. Verify final NBA contract, roster status and role before draft use.</x:v>
      </x:c>
    </x:row>
    <x:row r="127" ht="20" customHeight="1">
      <x:c r="A127" s="59" t="n">
        <x:v>122</x:v>
      </x:c>
      <x:c r="B127" s="59" t="n">
        <x:v>535</x:v>
      </x:c>
      <x:c r="C127" s="59" t="str">
        <x:v>Jacari White</x:v>
      </x:c>
      <x:c r="D127" s="59" t="str">
        <x:v>LAL</x:v>
      </x:c>
      <x:c r="E127" s="58"/>
      <x:c r="F127" s="60"/>
      <x:c r="G127" s="60" t="n">
        <x:v>0</x:v>
      </x:c>
      <x:c r="H127" s="60" t="n">
        <x:v>3.5</x:v>
      </x:c>
      <x:c r="I127" s="58" t="n">
        <x:v>0</x:v>
      </x:c>
      <x:c r="J127" s="59" t="str">
        <x:v>WATCH</x:v>
      </x:c>
      <x:c r="K127" s="59" t="str">
        <x:v>G</x:v>
      </x:c>
      <x:c r="L127" s="62" t="str">
        <x:v>Camp/summer-depth watch entry; no reliable 2026-27 fantasy projection. Verify final NBA contract, roster status and role before draft use.</x:v>
      </x:c>
    </x:row>
    <x:row r="128" ht="20" customHeight="1">
      <x:c r="A128" s="59" t="n">
        <x:v>123</x:v>
      </x:c>
      <x:c r="B128" s="59" t="n">
        <x:v>537</x:v>
      </x:c>
      <x:c r="C128" s="59" t="str">
        <x:v>Jack Kayil</x:v>
      </x:c>
      <x:c r="D128" s="59" t="str">
        <x:v>NYK</x:v>
      </x:c>
      <x:c r="E128" s="58"/>
      <x:c r="F128" s="60"/>
      <x:c r="G128" s="60" t="n">
        <x:v>0</x:v>
      </x:c>
      <x:c r="H128" s="60" t="n">
        <x:v>3.5</x:v>
      </x:c>
      <x:c r="I128" s="58" t="n">
        <x:v>0</x:v>
      </x:c>
      <x:c r="J128" s="59" t="str">
        <x:v>WATCH</x:v>
      </x:c>
      <x:c r="K128" s="59" t="str">
        <x:v>G</x:v>
      </x:c>
      <x:c r="L128" s="62" t="str">
        <x:v>Camp/summer-depth watch entry; no reliable 2026-27 fantasy projection. Verify final NBA contract, roster status and role before draft use.</x:v>
      </x:c>
    </x:row>
    <x:row r="129" ht="20" customHeight="1">
      <x:c r="A129" s="59" t="n">
        <x:v>124</x:v>
      </x:c>
      <x:c r="B129" s="59" t="n">
        <x:v>539</x:v>
      </x:c>
      <x:c r="C129" s="59" t="str">
        <x:v>Jaden Akins</x:v>
      </x:c>
      <x:c r="D129" s="59" t="str">
        <x:v>NYK</x:v>
      </x:c>
      <x:c r="E129" s="58"/>
      <x:c r="F129" s="60"/>
      <x:c r="G129" s="60" t="n">
        <x:v>0</x:v>
      </x:c>
      <x:c r="H129" s="60" t="n">
        <x:v>3.5</x:v>
      </x:c>
      <x:c r="I129" s="58" t="n">
        <x:v>0</x:v>
      </x:c>
      <x:c r="J129" s="59" t="str">
        <x:v>WATCH</x:v>
      </x:c>
      <x:c r="K129" s="59" t="str">
        <x:v>G</x:v>
      </x:c>
      <x:c r="L129" s="62" t="str">
        <x:v>Camp/summer-depth watch entry; no reliable 2026-27 fantasy projection. Verify final NBA contract, roster status and role before draft use.</x:v>
      </x:c>
    </x:row>
    <x:row r="130" ht="20" customHeight="1">
      <x:c r="A130" s="59" t="n">
        <x:v>125</x:v>
      </x:c>
      <x:c r="B130" s="59" t="n">
        <x:v>540</x:v>
      </x:c>
      <x:c r="C130" s="59" t="str">
        <x:v>Jaden Bradley</x:v>
      </x:c>
      <x:c r="D130" s="59" t="str">
        <x:v>TOR</x:v>
      </x:c>
      <x:c r="E130" s="58"/>
      <x:c r="F130" s="60"/>
      <x:c r="G130" s="60" t="n">
        <x:v>0</x:v>
      </x:c>
      <x:c r="H130" s="60" t="n">
        <x:v>3.5</x:v>
      </x:c>
      <x:c r="I130" s="58" t="n">
        <x:v>0</x:v>
      </x:c>
      <x:c r="J130" s="59" t="str">
        <x:v>WATCH</x:v>
      </x:c>
      <x:c r="K130" s="59" t="str">
        <x:v>PG</x:v>
      </x:c>
      <x:c r="L130" s="62" t="str">
        <x:v>Camp/summer-depth watch entry; no reliable 2026-27 fantasy projection. Verify final NBA contract, roster status and role before draft use.</x:v>
      </x:c>
    </x:row>
    <x:row r="131" ht="20" customHeight="1">
      <x:c r="A131" s="59" t="n">
        <x:v>126</x:v>
      </x:c>
      <x:c r="B131" s="59" t="n">
        <x:v>543</x:v>
      </x:c>
      <x:c r="C131" s="59" t="str">
        <x:v>Jahmi'us Ramsey</x:v>
      </x:c>
      <x:c r="D131" s="59" t="str">
        <x:v>DEN</x:v>
      </x:c>
      <x:c r="E131" s="58"/>
      <x:c r="F131" s="60"/>
      <x:c r="G131" s="60" t="n">
        <x:v>0</x:v>
      </x:c>
      <x:c r="H131" s="60" t="n">
        <x:v>3.5</x:v>
      </x:c>
      <x:c r="I131" s="58" t="n">
        <x:v>0</x:v>
      </x:c>
      <x:c r="J131" s="59" t="str">
        <x:v>WATCH</x:v>
      </x:c>
      <x:c r="K131" s="59" t="str">
        <x:v>G</x:v>
      </x:c>
      <x:c r="L131" s="62" t="str">
        <x:v>Camp/summer-depth watch entry; no reliable 2026-27 fantasy projection. Verify final NBA contract, roster status and role before draft use.</x:v>
      </x:c>
    </x:row>
    <x:row r="132" ht="20" customHeight="1">
      <x:c r="A132" s="59" t="n">
        <x:v>127</x:v>
      </x:c>
      <x:c r="B132" s="59" t="n">
        <x:v>547</x:v>
      </x:c>
      <x:c r="C132" s="59" t="str">
        <x:v>Jalen Warley</x:v>
      </x:c>
      <x:c r="D132" s="59" t="str">
        <x:v>IND</x:v>
      </x:c>
      <x:c r="E132" s="58"/>
      <x:c r="F132" s="60"/>
      <x:c r="G132" s="60" t="n">
        <x:v>0</x:v>
      </x:c>
      <x:c r="H132" s="60" t="n">
        <x:v>3.5</x:v>
      </x:c>
      <x:c r="I132" s="58" t="n">
        <x:v>0</x:v>
      </x:c>
      <x:c r="J132" s="59" t="str">
        <x:v>WATCH</x:v>
      </x:c>
      <x:c r="K132" s="59" t="str">
        <x:v>G</x:v>
      </x:c>
      <x:c r="L132" s="62" t="str">
        <x:v>Camp/summer-depth watch entry; no reliable 2026-27 fantasy projection. Verify final NBA contract, roster status and role before draft use.</x:v>
      </x:c>
    </x:row>
    <x:row r="133" ht="20" customHeight="1">
      <x:c r="A133" s="59" t="n">
        <x:v>128</x:v>
      </x:c>
      <x:c r="B133" s="59" t="n">
        <x:v>551</x:v>
      </x:c>
      <x:c r="C133" s="59" t="str">
        <x:v>Javontae Campbell</x:v>
      </x:c>
      <x:c r="D133" s="59" t="str">
        <x:v>PHI</x:v>
      </x:c>
      <x:c r="E133" s="58"/>
      <x:c r="F133" s="60"/>
      <x:c r="G133" s="60" t="n">
        <x:v>0</x:v>
      </x:c>
      <x:c r="H133" s="60" t="n">
        <x:v>3.5</x:v>
      </x:c>
      <x:c r="I133" s="58" t="n">
        <x:v>0</x:v>
      </x:c>
      <x:c r="J133" s="59" t="str">
        <x:v>WATCH</x:v>
      </x:c>
      <x:c r="K133" s="59" t="str">
        <x:v>G</x:v>
      </x:c>
      <x:c r="L133" s="62" t="str">
        <x:v>Camp/summer-depth watch entry; no reliable 2026-27 fantasy projection. Verify final NBA contract, roster status and role before draft use.</x:v>
      </x:c>
    </x:row>
    <x:row r="134" ht="20" customHeight="1">
      <x:c r="A134" s="59" t="n">
        <x:v>129</x:v>
      </x:c>
      <x:c r="B134" s="59" t="n">
        <x:v>553</x:v>
      </x:c>
      <x:c r="C134" s="59" t="str">
        <x:v>Jayden Nunn</x:v>
      </x:c>
      <x:c r="D134" s="59" t="str">
        <x:v>SAS</x:v>
      </x:c>
      <x:c r="E134" s="58"/>
      <x:c r="F134" s="60"/>
      <x:c r="G134" s="60" t="n">
        <x:v>0</x:v>
      </x:c>
      <x:c r="H134" s="60" t="n">
        <x:v>3.5</x:v>
      </x:c>
      <x:c r="I134" s="58" t="n">
        <x:v>0</x:v>
      </x:c>
      <x:c r="J134" s="59" t="str">
        <x:v>WATCH</x:v>
      </x:c>
      <x:c r="K134" s="59" t="str">
        <x:v>G</x:v>
      </x:c>
      <x:c r="L134" s="62" t="str">
        <x:v>Camp/summer-depth watch entry; no reliable 2026-27 fantasy projection. Verify final NBA contract, roster status and role before draft use.</x:v>
      </x:c>
    </x:row>
    <x:row r="135" ht="20" customHeight="1">
      <x:c r="A135" s="59" t="n">
        <x:v>130</x:v>
      </x:c>
      <x:c r="B135" s="59" t="n">
        <x:v>555</x:v>
      </x:c>
      <x:c r="C135" s="59" t="str">
        <x:v>Jaylin Sellers</x:v>
      </x:c>
      <x:c r="D135" s="59" t="str">
        <x:v>CHI</x:v>
      </x:c>
      <x:c r="E135" s="58"/>
      <x:c r="F135" s="60"/>
      <x:c r="G135" s="60" t="n">
        <x:v>0</x:v>
      </x:c>
      <x:c r="H135" s="60" t="n">
        <x:v>3.5</x:v>
      </x:c>
      <x:c r="I135" s="58" t="n">
        <x:v>0</x:v>
      </x:c>
      <x:c r="J135" s="59" t="str">
        <x:v>WATCH</x:v>
      </x:c>
      <x:c r="K135" s="59" t="str">
        <x:v>G</x:v>
      </x:c>
      <x:c r="L135" s="62" t="str">
        <x:v>Camp/summer-depth watch entry; no reliable 2026-27 fantasy projection. Verify final NBA contract, roster status and role before draft use.</x:v>
      </x:c>
    </x:row>
    <x:row r="136" ht="20" customHeight="1">
      <x:c r="A136" s="59" t="n">
        <x:v>131</x:v>
      </x:c>
      <x:c r="B136" s="59" t="n">
        <x:v>557</x:v>
      </x:c>
      <x:c r="C136" s="59" t="str">
        <x:v>Jestin Porter</x:v>
      </x:c>
      <x:c r="D136" s="59" t="str">
        <x:v>MEM</x:v>
      </x:c>
      <x:c r="E136" s="58"/>
      <x:c r="F136" s="60"/>
      <x:c r="G136" s="60" t="n">
        <x:v>0</x:v>
      </x:c>
      <x:c r="H136" s="60" t="n">
        <x:v>3.5</x:v>
      </x:c>
      <x:c r="I136" s="58" t="n">
        <x:v>0</x:v>
      </x:c>
      <x:c r="J136" s="59" t="str">
        <x:v>WATCH</x:v>
      </x:c>
      <x:c r="K136" s="59" t="str">
        <x:v>G</x:v>
      </x:c>
      <x:c r="L136" s="62" t="str">
        <x:v>Camp/summer-depth watch entry; no reliable 2026-27 fantasy projection. Verify final NBA contract, roster status and role before draft use.</x:v>
      </x:c>
    </x:row>
    <x:row r="137" ht="20" customHeight="1">
      <x:c r="A137" s="59" t="n">
        <x:v>132</x:v>
      </x:c>
      <x:c r="B137" s="59" t="n">
        <x:v>560</x:v>
      </x:c>
      <x:c r="C137" s="59" t="str">
        <x:v>Johnell Davis</x:v>
      </x:c>
      <x:c r="D137" s="59" t="str">
        <x:v>ORL</x:v>
      </x:c>
      <x:c r="E137" s="58"/>
      <x:c r="F137" s="60"/>
      <x:c r="G137" s="60" t="n">
        <x:v>0</x:v>
      </x:c>
      <x:c r="H137" s="60" t="n">
        <x:v>3.5</x:v>
      </x:c>
      <x:c r="I137" s="58" t="n">
        <x:v>0</x:v>
      </x:c>
      <x:c r="J137" s="59" t="str">
        <x:v>WATCH</x:v>
      </x:c>
      <x:c r="K137" s="59" t="str">
        <x:v>G</x:v>
      </x:c>
      <x:c r="L137" s="62" t="str">
        <x:v>Camp/summer-depth watch entry; no reliable 2026-27 fantasy projection. Verify final NBA contract, roster status and role before draft use.</x:v>
      </x:c>
    </x:row>
    <x:row r="138" ht="20" customHeight="1">
      <x:c r="A138" s="59" t="n">
        <x:v>133</x:v>
      </x:c>
      <x:c r="B138" s="59" t="n">
        <x:v>562</x:v>
      </x:c>
      <x:c r="C138" s="59" t="str">
        <x:v>Jon Elmore</x:v>
      </x:c>
      <x:c r="D138" s="59" t="str">
        <x:v>LAL</x:v>
      </x:c>
      <x:c r="E138" s="58"/>
      <x:c r="F138" s="60"/>
      <x:c r="G138" s="60" t="n">
        <x:v>0</x:v>
      </x:c>
      <x:c r="H138" s="60" t="n">
        <x:v>3.5</x:v>
      </x:c>
      <x:c r="I138" s="58" t="n">
        <x:v>0</x:v>
      </x:c>
      <x:c r="J138" s="59" t="str">
        <x:v>WATCH</x:v>
      </x:c>
      <x:c r="K138" s="59" t="str">
        <x:v>G</x:v>
      </x:c>
      <x:c r="L138" s="62" t="str">
        <x:v>Camp/summer-depth watch entry; no reliable 2026-27 fantasy projection. Verify final NBA contract, roster status and role before draft use.</x:v>
      </x:c>
    </x:row>
    <x:row r="139" ht="20" customHeight="1">
      <x:c r="A139" s="59" t="n">
        <x:v>134</x:v>
      </x:c>
      <x:c r="B139" s="59" t="n">
        <x:v>567</x:v>
      </x:c>
      <x:c r="C139" s="59" t="str">
        <x:v>Justin Harmon</x:v>
      </x:c>
      <x:c r="D139" s="59" t="str">
        <x:v>UTA</x:v>
      </x:c>
      <x:c r="E139" s="58"/>
      <x:c r="F139" s="60"/>
      <x:c r="G139" s="60" t="n">
        <x:v>0</x:v>
      </x:c>
      <x:c r="H139" s="60" t="n">
        <x:v>3.5</x:v>
      </x:c>
      <x:c r="I139" s="58" t="n">
        <x:v>0</x:v>
      </x:c>
      <x:c r="J139" s="59" t="str">
        <x:v>WATCH</x:v>
      </x:c>
      <x:c r="K139" s="59" t="str">
        <x:v>G</x:v>
      </x:c>
      <x:c r="L139" s="62" t="str">
        <x:v>Camp/summer-depth watch entry; no reliable 2026-27 fantasy projection. Verify final NBA contract, roster status and role before draft use.</x:v>
      </x:c>
    </x:row>
    <x:row r="140" ht="20" customHeight="1">
      <x:c r="A140" s="59" t="n">
        <x:v>135</x:v>
      </x:c>
      <x:c r="B140" s="59" t="n">
        <x:v>578</x:v>
      </x:c>
      <x:c r="C140" s="59" t="str">
        <x:v>Kylan Boswell</x:v>
      </x:c>
      <x:c r="D140" s="59" t="str">
        <x:v>CHA</x:v>
      </x:c>
      <x:c r="E140" s="58"/>
      <x:c r="F140" s="60"/>
      <x:c r="G140" s="60" t="n">
        <x:v>0</x:v>
      </x:c>
      <x:c r="H140" s="60" t="n">
        <x:v>3.5</x:v>
      </x:c>
      <x:c r="I140" s="58" t="n">
        <x:v>0</x:v>
      </x:c>
      <x:c r="J140" s="59" t="str">
        <x:v>WATCH</x:v>
      </x:c>
      <x:c r="K140" s="59" t="str">
        <x:v>PG</x:v>
      </x:c>
      <x:c r="L140" s="62" t="str">
        <x:v>Camp/summer-depth watch entry; no reliable 2026-27 fantasy projection. Verify final NBA contract, roster status and role before draft use.</x:v>
      </x:c>
    </x:row>
    <x:row r="141" ht="20" customHeight="1">
      <x:c r="A141" s="59" t="n">
        <x:v>136</x:v>
      </x:c>
      <x:c r="B141" s="59" t="n">
        <x:v>579</x:v>
      </x:c>
      <x:c r="C141" s="59" t="str">
        <x:v>Kyle Mangas</x:v>
      </x:c>
      <x:c r="D141" s="59" t="str">
        <x:v>BOS</x:v>
      </x:c>
      <x:c r="E141" s="58"/>
      <x:c r="F141" s="60"/>
      <x:c r="G141" s="60" t="n">
        <x:v>0</x:v>
      </x:c>
      <x:c r="H141" s="60" t="n">
        <x:v>3.5</x:v>
      </x:c>
      <x:c r="I141" s="58" t="n">
        <x:v>0</x:v>
      </x:c>
      <x:c r="J141" s="59" t="str">
        <x:v>WATCH</x:v>
      </x:c>
      <x:c r="K141" s="59" t="str">
        <x:v>G</x:v>
      </x:c>
      <x:c r="L141" s="62" t="str">
        <x:v>Camp/summer-depth watch entry; no reliable 2026-27 fantasy projection. Verify final NBA contract, roster status and role before draft use.</x:v>
      </x:c>
    </x:row>
    <x:row r="142" ht="20" customHeight="1">
      <x:c r="A142" s="59" t="n">
        <x:v>137</x:v>
      </x:c>
      <x:c r="B142" s="59" t="n">
        <x:v>591</x:v>
      </x:c>
      <x:c r="C142" s="59" t="str">
        <x:v>Malik Thomas</x:v>
      </x:c>
      <x:c r="D142" s="59" t="str">
        <x:v>TOR</x:v>
      </x:c>
      <x:c r="E142" s="58"/>
      <x:c r="F142" s="60"/>
      <x:c r="G142" s="60" t="n">
        <x:v>0</x:v>
      </x:c>
      <x:c r="H142" s="60" t="n">
        <x:v>3.5</x:v>
      </x:c>
      <x:c r="I142" s="58" t="n">
        <x:v>0</x:v>
      </x:c>
      <x:c r="J142" s="59" t="str">
        <x:v>WATCH</x:v>
      </x:c>
      <x:c r="K142" s="59" t="str">
        <x:v>G</x:v>
      </x:c>
      <x:c r="L142" s="62" t="str">
        <x:v>Camp/summer-depth watch entry; no reliable 2026-27 fantasy projection. Verify final NBA contract, roster status and role before draft use.</x:v>
      </x:c>
    </x:row>
    <x:row r="143" ht="20" customHeight="1">
      <x:c r="A143" s="59" t="n">
        <x:v>138</x:v>
      </x:c>
      <x:c r="B143" s="59" t="n">
        <x:v>596</x:v>
      </x:c>
      <x:c r="C143" s="59" t="str">
        <x:v>Markquis Nowell</x:v>
      </x:c>
      <x:c r="D143" s="59" t="str">
        <x:v>NOP</x:v>
      </x:c>
      <x:c r="E143" s="58"/>
      <x:c r="F143" s="60"/>
      <x:c r="G143" s="60" t="n">
        <x:v>0</x:v>
      </x:c>
      <x:c r="H143" s="60" t="n">
        <x:v>3.5</x:v>
      </x:c>
      <x:c r="I143" s="58" t="n">
        <x:v>0</x:v>
      </x:c>
      <x:c r="J143" s="59" t="str">
        <x:v>WATCH</x:v>
      </x:c>
      <x:c r="K143" s="59" t="str">
        <x:v>PG</x:v>
      </x:c>
      <x:c r="L143" s="62" t="str">
        <x:v>Camp/summer-depth watch entry; no reliable 2026-27 fantasy projection. Verify final NBA contract, roster status and role before draft use.</x:v>
      </x:c>
    </x:row>
    <x:row r="144">
      <x:c r="A144"/>
      <x:c r="B144"/>
      <x:c r="C144"/>
      <x:c r="D144"/>
      <x:c r="E144" s="47"/>
      <x:c r="F144" s="22"/>
      <x:c r="G144" s="22"/>
      <x:c r="H144" s="22"/>
      <x:c r="I144" s="47"/>
      <x:c r="J144"/>
      <x:c r="K144"/>
      <x:c r="L144" s="16"/>
    </x:row>
  </x:sheetData>
  <x:mergeCells>
    <x:mergeCell ref="A1:K1"/>
    <x:mergeCell ref="A2:K3"/>
  </x:mergeCells>
  <x:conditionalFormatting sqref="J6:J38">
    <x:cfRule type="expression" dxfId="2" priority="1">
      <x:formula>OR(J6="HIGH",J6="IR / RETURN")</x:formula>
    </x:cfRule>
    <x:cfRule type="expression" dxfId="3" priority="2">
      <x:formula>OR(J6="MEDIUM",J6="CONTRACT")</x:formula>
    </x:cfRule>
  </x:conditionalFormatting>
  <x:conditionalFormatting sqref="A6:L144">
    <x:cfRule type="expression" dxfId="16" priority="3">
      <x:formula>MOD(ROW(),2)=0</x:formula>
    </x:cfRule>
  </x:conditionalFormatting>
  <x:conditionalFormatting sqref="J6:J144">
    <x:cfRule type="expression" dxfId="17" priority="4">
      <x:formula>$J6="WATCH"</x:formula>
    </x:cfRule>
  </x:conditionalFormatting>
  <x:conditionalFormatting sqref="A6:L143">
    <x:cfRule type="expression" dxfId="27" priority="5">
      <x:formula>MOD(ROW(),2)=0</x:formula>
    </x:cfRule>
  </x:conditionalFormatting>
  <x:conditionalFormatting sqref="J6:J143">
    <x:cfRule type="expression" dxfId="28" priority="6">
      <x:formula>$J6="WATCH"</x:formula>
    </x:cfRule>
  </x:conditionalFormatting>
  <x:pageMargins left="0.7" right="0.7" top="0.75" bottom="0.75" header="0.3" footer="0.3"/>
  <x:tableParts count="1">
    <x:tablePart xmlns:r="http://schemas.openxmlformats.org/officeDocument/2006/relationships" r:id="Ra228f1308b34468b"/>
  </x:tableParts>
</x:worksheet>
</file>

<file path=xl/worksheets/sheet4.xml><?xml version="1.0" encoding="utf-8"?>
<x:worksheet xmlns:x="http://schemas.openxmlformats.org/spreadsheetml/2006/main">
  <x:sheetFormatPr defaultRowHeight="15"/>
  <x:cols>
    <x:col min="1" max="1" width="10" hidden="0" customWidth="1"/>
    <x:col min="2" max="2" width="9" hidden="0" customWidth="1"/>
    <x:col min="3" max="3" width="24" hidden="0" customWidth="1"/>
    <x:col min="4" max="4" width="8" hidden="0" customWidth="1"/>
    <x:col min="5" max="5" width="11" hidden="0" customWidth="1"/>
    <x:col min="6" max="6" width="13" hidden="0" customWidth="1"/>
    <x:col min="7" max="7" width="11" hidden="0" customWidth="1"/>
    <x:col min="8" max="8" width="11" hidden="0" customWidth="1"/>
    <x:col min="9" max="9" width="11" hidden="0" customWidth="1"/>
    <x:col min="10" max="10" width="13" hidden="0" customWidth="1"/>
    <x:col min="11" max="11" width="16" hidden="0" customWidth="1"/>
    <x:col min="12" max="12" width="52" hidden="0" customWidth="1"/>
  </x:cols>
  <x:sheetData>
    <x:row r="1" ht="30" customHeight="1">
      <x:c r="A1" s="88" t="str">
        <x:v>SG | POSITIONAL DRAFT PRIORITY — 600 PLAYER MASTER</x:v>
      </x:c>
      <x:c r="B1" s="88"/>
      <x:c r="C1" s="88"/>
      <x:c r="D1" s="88"/>
      <x:c r="E1" s="88"/>
      <x:c r="F1" s="88"/>
      <x:c r="G1" s="88"/>
      <x:c r="H1" s="88"/>
      <x:c r="I1" s="88"/>
      <x:c r="J1" s="88"/>
      <x:c r="K1" s="88"/>
      <x:c r="L1" s="89"/>
    </x:row>
    <x:row r="2" ht="23" customHeight="1">
      <x:c r="A2" s="90" t="str">
        <x:v>Draft-day refresh Oct. 10, 2026 • full 600-player master • top 150 refreshed with current projections and live availability context</x:v>
      </x:c>
      <x:c r="B2" s="90"/>
      <x:c r="C2" s="90"/>
      <x:c r="D2" s="90"/>
      <x:c r="E2" s="90"/>
      <x:c r="F2" s="90"/>
      <x:c r="G2" s="90"/>
      <x:c r="H2" s="90"/>
      <x:c r="I2" s="90"/>
      <x:c r="J2" s="90"/>
      <x:c r="K2" s="90"/>
      <x:c r="L2" s="91"/>
    </x:row>
    <x:row r="3" ht="23" customHeight="1">
      <x:c r="A3" s="42"/>
      <x:c r="B3" s="42"/>
      <x:c r="C3" s="42"/>
      <x:c r="D3" s="42"/>
      <x:c r="E3" s="42"/>
      <x:c r="F3" s="42"/>
      <x:c r="G3" s="42"/>
      <x:c r="H3" s="42"/>
      <x:c r="I3" s="42"/>
      <x:c r="J3" s="42"/>
      <x:c r="K3" s="42"/>
      <x:c r="L3" s="7"/>
    </x:row>
    <x:row r="5" ht="36" customHeight="1">
      <x:c r="A5" s="44" t="str">
        <x:v>Pos. rank</x:v>
      </x:c>
      <x:c r="B5" s="44" t="str">
        <x:v>Overall</x:v>
      </x:c>
      <x:c r="C5" s="44" t="str">
        <x:v>Player</x:v>
      </x:c>
      <x:c r="D5" s="44" t="str">
        <x:v>Team</x:v>
      </x:c>
      <x:c r="E5" s="44" t="str">
        <x:v>2025-26 GP</x:v>
      </x:c>
      <x:c r="F5" s="44" t="str">
        <x:v>2025-26 FP/G</x:v>
      </x:c>
      <x:c r="G5" s="44" t="str">
        <x:v>2026 low</x:v>
      </x:c>
      <x:c r="H5" s="44" t="str">
        <x:v>2026 high</x:v>
      </x:c>
      <x:c r="I5" s="44" t="str">
        <x:v>Planning GP</x:v>
      </x:c>
      <x:c r="J5" s="44" t="str">
        <x:v>Risk</x:v>
      </x:c>
      <x:c r="K5" s="44" t="str">
        <x:v>Source position tags</x:v>
      </x:c>
      <x:c r="L5" s="44" t="str">
        <x:v>Draft rationale</x:v>
      </x:c>
    </x:row>
    <x:row r="6" ht="20" customHeight="1">
      <x:c r="A6" s="59" t="n">
        <x:v>1</x:v>
      </x:c>
      <x:c r="B6" s="59" t="n">
        <x:v>9</x:v>
      </x:c>
      <x:c r="C6" s="59" t="str">
        <x:v>Anthony Edwards</x:v>
      </x:c>
      <x:c r="D6" s="59" t="str">
        <x:v>MIN</x:v>
      </x:c>
      <x:c r="E6" s="58" t="n">
        <x:v>61</x:v>
      </x:c>
      <x:c r="F6" s="60" t="n">
        <x:v>45.95000000000002</x:v>
      </x:c>
      <x:c r="G6" s="60" t="n">
        <x:v>42.416341830429246</x:v>
      </x:c>
      <x:c r="H6" s="60" t="n">
        <x:v>49.416341830429246</x:v>
      </x:c>
      <x:c r="I6" s="58" t="n">
        <x:v>75</x:v>
      </x:c>
      <x:c r="J6" s="59" t="str">
        <x:v>STANDARD</x:v>
      </x:c>
      <x:c r="K6" s="59" t="str">
        <x:v>PG/SF/SG</x:v>
      </x:c>
      <x:c r="L6" s="62" t="str">
        <x:v>Minnesota now includes LaMelo; avoid assuming both get full primary-handler usage.</x:v>
      </x:c>
    </x:row>
    <x:row r="7" ht="20" customHeight="1">
      <x:c r="A7" s="59" t="n">
        <x:v>2</x:v>
      </x:c>
      <x:c r="B7" s="59" t="n">
        <x:v>11</x:v>
      </x:c>
      <x:c r="C7" s="59" t="str">
        <x:v>Donovan Mitchell</x:v>
      </x:c>
      <x:c r="D7" s="59" t="str">
        <x:v>CLE</x:v>
      </x:c>
      <x:c r="E7" s="58" t="n">
        <x:v>70</x:v>
      </x:c>
      <x:c r="F7" s="60" t="n">
        <x:v>47.29999999999999</x:v>
      </x:c>
      <x:c r="G7" s="60" t="n">
        <x:v>41.75042014745523</x:v>
      </x:c>
      <x:c r="H7" s="60" t="n">
        <x:v>48.75042014745523</x:v>
      </x:c>
      <x:c r="I7" s="58" t="n">
        <x:v>75</x:v>
      </x:c>
      <x:c r="J7" s="59" t="str">
        <x:v>STANDARD</x:v>
      </x:c>
      <x:c r="K7" s="59" t="str">
        <x:v>PG/SG</x:v>
      </x:c>
      <x:c r="L7" s="62" t="str">
        <x:v>Cleveland's Harden partnership already reflected in baseline; strong scoring-efficiency target.</x:v>
      </x:c>
    </x:row>
    <x:row r="8" ht="20" customHeight="1">
      <x:c r="A8" s="59" t="n">
        <x:v>3</x:v>
      </x:c>
      <x:c r="B8" s="59" t="n">
        <x:v>18</x:v>
      </x:c>
      <x:c r="C8" s="59" t="str">
        <x:v>Devin Booker</x:v>
      </x:c>
      <x:c r="D8" s="59" t="str">
        <x:v>PHX</x:v>
      </x:c>
      <x:c r="E8" s="58" t="n">
        <x:v>64</x:v>
      </x:c>
      <x:c r="F8" s="60" t="n">
        <x:v>42.75</x:v>
      </x:c>
      <x:c r="G8" s="60" t="n">
        <x:v>39.338672818307344</x:v>
      </x:c>
      <x:c r="H8" s="60" t="n">
        <x:v>46.338672818307344</x:v>
      </x:c>
      <x:c r="I8" s="58" t="n">
        <x:v>75</x:v>
      </x:c>
      <x:c r="J8" s="59" t="str">
        <x:v>STANDARD</x:v>
      </x:c>
      <x:c r="K8" s="59" t="str">
        <x:v>PG/SG</x:v>
      </x:c>
      <x:c r="L8" s="62" t="str">
        <x:v>Strong scoring foundation; more reliable target than speculative breakout guards.</x:v>
      </x:c>
    </x:row>
    <x:row r="9" ht="20" customHeight="1">
      <x:c r="A9" s="59" t="n">
        <x:v>4</x:v>
      </x:c>
      <x:c r="B9" s="59" t="n">
        <x:v>22</x:v>
      </x:c>
      <x:c r="C9" s="59" t="str">
        <x:v>Austin Reaves</x:v>
      </x:c>
      <x:c r="D9" s="59" t="str">
        <x:v>LAL</x:v>
      </x:c>
      <x:c r="E9" s="58" t="n">
        <x:v>51</x:v>
      </x:c>
      <x:c r="F9" s="60" t="n">
        <x:v>41.550000000000004</x:v>
      </x:c>
      <x:c r="G9" s="60" t="n">
        <x:v>38.56279650972797</x:v>
      </x:c>
      <x:c r="H9" s="60" t="n">
        <x:v>45.56279650972797</x:v>
      </x:c>
      <x:c r="I9" s="58" t="n">
        <x:v>73</x:v>
      </x:c>
      <x:c r="J9" s="59" t="str">
        <x:v>STANDARD</x:v>
      </x:c>
      <x:c r="K9" s="59" t="str">
        <x:v>PG/SF/SG</x:v>
      </x:c>
      <x:c r="L9" s="62" t="str">
        <x:v>LeBron's departure supports a bigger offensive role; modest upside over consensus.</x:v>
      </x:c>
    </x:row>
    <x:row r="10" ht="20" customHeight="1">
      <x:c r="A10" s="59" t="n">
        <x:v>5</x:v>
      </x:c>
      <x:c r="B10" s="59" t="n">
        <x:v>28</x:v>
      </x:c>
      <x:c r="C10" s="59" t="str">
        <x:v>Amen Thompson</x:v>
      </x:c>
      <x:c r="D10" s="59" t="str">
        <x:v>HOU</x:v>
      </x:c>
      <x:c r="E10" s="58" t="n">
        <x:v>79</x:v>
      </x:c>
      <x:c r="F10" s="60" t="n">
        <x:v>43.15</x:v>
      </x:c>
      <x:c r="G10" s="60" t="n">
        <x:v>37.73497184545344</x:v>
      </x:c>
      <x:c r="H10" s="60" t="n">
        <x:v>44.73497184545344</x:v>
      </x:c>
      <x:c r="I10" s="58" t="n">
        <x:v>78</x:v>
      </x:c>
      <x:c r="J10" s="59" t="str">
        <x:v>STANDARD</x:v>
      </x:c>
      <x:c r="K10" s="59" t="str">
        <x:v>PG/SF/SG</x:v>
      </x:c>
      <x:c r="L10" s="62" t="str">
        <x:v>Rebounds and efficiency fit. VanVleet's return limits an unlimited-assists thesis.</x:v>
      </x:c>
    </x:row>
    <x:row r="11" ht="20" customHeight="1">
      <x:c r="A11" s="59" t="n">
        <x:v>6</x:v>
      </x:c>
      <x:c r="B11" s="59" t="n">
        <x:v>39</x:v>
      </x:c>
      <x:c r="C11" s="59" t="str">
        <x:v>Jaylen Brown</x:v>
      </x:c>
      <x:c r="D11" s="59" t="str">
        <x:v>PHI</x:v>
      </x:c>
      <x:c r="E11" s="58" t="n">
        <x:v>71</x:v>
      </x:c>
      <x:c r="F11" s="60" t="n">
        <x:v>46.45</x:v>
      </x:c>
      <x:c r="G11" s="60" t="n">
        <x:v>36.910224229983164</x:v>
      </x:c>
      <x:c r="H11" s="60" t="n">
        <x:v>43.910224229983164</x:v>
      </x:c>
      <x:c r="I11" s="58" t="n">
        <x:v>75</x:v>
      </x:c>
      <x:c r="J11" s="59" t="str">
        <x:v>STANDARD</x:v>
      </x:c>
      <x:c r="K11" s="59" t="str">
        <x:v>PF/SF/SG</x:v>
      </x:c>
      <x:c r="L11" s="62" t="str">
        <x:v>Philadelphia adds major scoring competition; do not pay for Boston's 2025-26 usage.</x:v>
      </x:c>
    </x:row>
    <x:row r="12" ht="20" customHeight="1">
      <x:c r="A12" s="59" t="n">
        <x:v>7</x:v>
      </x:c>
      <x:c r="B12" s="59" t="n">
        <x:v>53</x:v>
      </x:c>
      <x:c r="C12" s="59" t="str">
        <x:v>Desmond Bane</x:v>
      </x:c>
      <x:c r="D12" s="59" t="str">
        <x:v>ORL</x:v>
      </x:c>
      <x:c r="E12" s="58" t="n">
        <x:v>82</x:v>
      </x:c>
      <x:c r="F12" s="60" t="n">
        <x:v>36.4</x:v>
      </x:c>
      <x:c r="G12" s="60" t="n">
        <x:v>33.0467479608323</x:v>
      </x:c>
      <x:c r="H12" s="60" t="n">
        <x:v>40.0467479608323</x:v>
      </x:c>
      <x:c r="I12" s="58" t="n">
        <x:v>75</x:v>
      </x:c>
      <x:c r="J12" s="59" t="str">
        <x:v>STANDARD</x:v>
      </x:c>
      <x:c r="K12" s="59" t="str">
        <x:v>SG/SF</x:v>
      </x:c>
      <x:c r="L12" s="62" t="str">
        <x:v>Steadier mid-draft guard/wing, with less speculative upside than the rookies.</x:v>
      </x:c>
    </x:row>
    <x:row r="13" ht="20" customHeight="1">
      <x:c r="A13" s="59" t="n">
        <x:v>8</x:v>
      </x:c>
      <x:c r="B13" s="59" t="n">
        <x:v>55</x:v>
      </x:c>
      <x:c r="C13" s="59" t="str">
        <x:v>Tyler Herro</x:v>
      </x:c>
      <x:c r="D13" s="59" t="str">
        <x:v>MIL</x:v>
      </x:c>
      <x:c r="E13" s="58" t="n">
        <x:v>33</x:v>
      </x:c>
      <x:c r="F13" s="60" t="n">
        <x:v>35.050000000000004</x:v>
      </x:c>
      <x:c r="G13" s="60" t="n">
        <x:v>31.058708976781404</x:v>
      </x:c>
      <x:c r="H13" s="60" t="n">
        <x:v>42.0587089767814</x:v>
      </x:c>
      <x:c r="I13" s="58" t="n">
        <x:v>73</x:v>
      </x:c>
      <x:c r="J13" s="59" t="str">
        <x:v>MEDIUM</x:v>
      </x:c>
      <x:c r="K13" s="59" t="str">
        <x:v>PG/SG</x:v>
      </x:c>
      <x:c r="L13" s="62" t="str">
        <x:v>Milwaukee lead-scoring opportunity earns a modest upgrade; availability still matters.</x:v>
      </x:c>
    </x:row>
    <x:row r="14" ht="20" customHeight="1">
      <x:c r="A14" s="59" t="n">
        <x:v>9</x:v>
      </x:c>
      <x:c r="B14" s="59" t="n">
        <x:v>62</x:v>
      </x:c>
      <x:c r="C14" s="59" t="str">
        <x:v>Brandon Miller</x:v>
      </x:c>
      <x:c r="D14" s="59" t="str">
        <x:v>CHA</x:v>
      </x:c>
      <x:c r="E14" s="58" t="n">
        <x:v>65</x:v>
      </x:c>
      <x:c r="F14" s="60" t="n">
        <x:v>34.099999999999994</x:v>
      </x:c>
      <x:c r="G14" s="60" t="n">
        <x:v>29.64141181830326</x:v>
      </x:c>
      <x:c r="H14" s="60" t="n">
        <x:v>40.64141181830326</x:v>
      </x:c>
      <x:c r="I14" s="58" t="n">
        <x:v>70</x:v>
      </x:c>
      <x:c r="J14" s="59" t="str">
        <x:v>MEDIUM</x:v>
      </x:c>
      <x:c r="K14" s="59" t="str">
        <x:v>PF/SF/SG</x:v>
      </x:c>
      <x:c r="L14" s="62" t="str">
        <x:v>Shin contusion is considered day-to-day. Small downgrade only unless recovery stalls.</x:v>
      </x:c>
    </x:row>
    <x:row r="15" ht="20" customHeight="1">
      <x:c r="A15" s="59" t="n">
        <x:v>10</x:v>
      </x:c>
      <x:c r="B15" s="59" t="n">
        <x:v>69</x:v>
      </x:c>
      <x:c r="C15" s="59" t="str">
        <x:v>Norman Powell</x:v>
      </x:c>
      <x:c r="D15" s="59" t="str">
        <x:v>CHI</x:v>
      </x:c>
      <x:c r="E15" s="58" t="n">
        <x:v>58</x:v>
      </x:c>
      <x:c r="F15" s="60" t="n">
        <x:v>33.85</x:v>
      </x:c>
      <x:c r="G15" s="60" t="n">
        <x:v>29.77479868879753</x:v>
      </x:c>
      <x:c r="H15" s="60" t="n">
        <x:v>36.77479868879753</x:v>
      </x:c>
      <x:c r="I15" s="58" t="n">
        <x:v>74</x:v>
      </x:c>
      <x:c r="J15" s="59" t="str">
        <x:v>STANDARD</x:v>
      </x:c>
      <x:c r="K15" s="59" t="str">
        <x:v>SG/SF</x:v>
      </x:c>
      <x:c r="L15" s="62" t="str">
        <x:v>Scoring/efficiency option; narrower production mix than higher-ranked wings.</x:v>
      </x:c>
    </x:row>
    <x:row r="16" ht="20" customHeight="1">
      <x:c r="A16" s="59" t="n">
        <x:v>11</x:v>
      </x:c>
      <x:c r="B16" s="59" t="n">
        <x:v>72</x:v>
      </x:c>
      <x:c r="C16" s="59" t="str">
        <x:v>Dyson Daniels</x:v>
      </x:c>
      <x:c r="D16" s="59" t="str">
        <x:v>ATL</x:v>
      </x:c>
      <x:c r="E16" s="58" t="n">
        <x:v>76</x:v>
      </x:c>
      <x:c r="F16" s="60" t="n">
        <x:v>34.45</x:v>
      </x:c>
      <x:c r="G16" s="60" t="n">
        <x:v>29.11488694317724</x:v>
      </x:c>
      <x:c r="H16" s="60" t="n">
        <x:v>36.11488694317724</x:v>
      </x:c>
      <x:c r="I16" s="58" t="n">
        <x:v>77</x:v>
      </x:c>
      <x:c r="J16" s="59" t="str">
        <x:v>STANDARD</x:v>
      </x:c>
      <x:c r="K16" s="59" t="str">
        <x:v>PG/SF/SG</x:v>
      </x:c>
      <x:c r="L16" s="62" t="str">
        <x:v>Stocks and rebounds help, but steals are only 2 and scoring still matters.</x:v>
      </x:c>
    </x:row>
    <x:row r="17" ht="20" customHeight="1">
      <x:c r="A17" s="59" t="n">
        <x:v>12</x:v>
      </x:c>
      <x:c r="B17" s="59" t="n">
        <x:v>76</x:v>
      </x:c>
      <x:c r="C17" s="59" t="str">
        <x:v>Kon Knueppel</x:v>
      </x:c>
      <x:c r="D17" s="59" t="str">
        <x:v>CHA</x:v>
      </x:c>
      <x:c r="E17" s="58" t="n">
        <x:v>81</x:v>
      </x:c>
      <x:c r="F17" s="60" t="n">
        <x:v>33.79999999999999</x:v>
      </x:c>
      <x:c r="G17" s="60" t="n">
        <x:v>25.836568208819408</x:v>
      </x:c>
      <x:c r="H17" s="60" t="n">
        <x:v>41.83656820881941</x:v>
      </x:c>
      <x:c r="I17" s="58" t="n">
        <x:v>68</x:v>
      </x:c>
      <x:c r="J17" s="59" t="str">
        <x:v>HIGH</x:v>
      </x:c>
      <x:c r="K17" s="59" t="str">
        <x:v>SF/SG</x:v>
      </x:c>
      <x:c r="L17" s="62" t="str">
        <x:v>Left hamstring strain will cost him the entire preseason and may cost him the start of the regular season.</x:v>
      </x:c>
    </x:row>
    <x:row r="18" ht="20" customHeight="1">
      <x:c r="A18" s="59" t="n">
        <x:v>13</x:v>
      </x:c>
      <x:c r="B18" s="59" t="n">
        <x:v>83</x:v>
      </x:c>
      <x:c r="C18" s="59" t="str">
        <x:v>VJ Edgecombe</x:v>
      </x:c>
      <x:c r="D18" s="59" t="str">
        <x:v>PHI</x:v>
      </x:c>
      <x:c r="E18" s="58" t="n">
        <x:v>75</x:v>
      </x:c>
      <x:c r="F18" s="60" t="n">
        <x:v>32.949999999999996</x:v>
      </x:c>
      <x:c r="G18" s="60" t="n">
        <x:v>28.806594062391753</x:v>
      </x:c>
      <x:c r="H18" s="60" t="n">
        <x:v>35.80659406239175</x:v>
      </x:c>
      <x:c r="I18" s="58" t="n">
        <x:v>75</x:v>
      </x:c>
      <x:c r="J18" s="59" t="str">
        <x:v>STANDARD</x:v>
      </x:c>
      <x:c r="K18" s="59" t="str">
        <x:v>PG/SG</x:v>
      </x:c>
      <x:c r="L18" s="62" t="str">
        <x:v>Development candidate, but Philadelphia's added stars make a usage breakout less straightforward.</x:v>
      </x:c>
    </x:row>
    <x:row r="19" ht="20" customHeight="1">
      <x:c r="A19" s="59" t="n">
        <x:v>14</x:v>
      </x:c>
      <x:c r="B19" s="59" t="n">
        <x:v>91</x:v>
      </x:c>
      <x:c r="C19" s="59" t="str">
        <x:v>Jalen Green</x:v>
      </x:c>
      <x:c r="D19" s="59" t="str">
        <x:v>PHX</x:v>
      </x:c>
      <x:c r="E19" s="58" t="n">
        <x:v>32</x:v>
      </x:c>
      <x:c r="F19" s="60" t="n">
        <x:v>25.75</x:v>
      </x:c>
      <x:c r="G19" s="60" t="n">
        <x:v>27.29068744010917</x:v>
      </x:c>
      <x:c r="H19" s="60" t="n">
        <x:v>34.29068744010917</x:v>
      </x:c>
      <x:c r="I19" s="58" t="n">
        <x:v>74</x:v>
      </x:c>
      <x:c r="J19" s="59" t="str">
        <x:v>STANDARD</x:v>
      </x:c>
      <x:c r="K19" s="59" t="str">
        <x:v>SF/SG</x:v>
      </x:c>
      <x:c r="L19" s="62" t="str">
        <x:v>Volume scoring is not enough when missed shots and turnovers subtract points.</x:v>
      </x:c>
    </x:row>
    <x:row r="20" ht="20" customHeight="1">
      <x:c r="A20" s="59" t="n">
        <x:v>15</x:v>
      </x:c>
      <x:c r="B20" s="59" t="n">
        <x:v>92</x:v>
      </x:c>
      <x:c r="C20" s="59" t="str">
        <x:v>Zach LaVine</x:v>
      </x:c>
      <x:c r="D20" s="59" t="str">
        <x:v>SAC</x:v>
      </x:c>
      <x:c r="E20" s="58" t="n">
        <x:v>39</x:v>
      </x:c>
      <x:c r="F20" s="60" t="n">
        <x:v>28.599999999999998</x:v>
      </x:c>
      <x:c r="G20" s="60" t="n">
        <x:v>25.541849430351977</x:v>
      </x:c>
      <x:c r="H20" s="60" t="n">
        <x:v>36.541849430351974</x:v>
      </x:c>
      <x:c r="I20" s="58" t="n">
        <x:v>70</x:v>
      </x:c>
      <x:c r="J20" s="59" t="str">
        <x:v>MEDIUM</x:v>
      </x:c>
      <x:c r="K20" s="59" t="str">
        <x:v>PG/SF/SG</x:v>
      </x:c>
      <x:c r="L20" s="62" t="str">
        <x:v>Sacramento scoring role; games and lower all-around production keep price modest.</x:v>
      </x:c>
    </x:row>
    <x:row r="21" ht="20" customHeight="1">
      <x:c r="A21" s="59" t="n">
        <x:v>16</x:v>
      </x:c>
      <x:c r="B21" s="59" t="n">
        <x:v>101</x:v>
      </x:c>
      <x:c r="C21" s="59" t="str">
        <x:v>Nickeil Alexander-Walker</x:v>
      </x:c>
      <x:c r="D21" s="59" t="str">
        <x:v>ATL</x:v>
      </x:c>
      <x:c r="E21" s="58" t="n">
        <x:v>78</x:v>
      </x:c>
      <x:c r="F21" s="60" t="n">
        <x:v>35.49999999999999</x:v>
      </x:c>
      <x:c r="G21" s="60" t="n">
        <x:v>25.160549569862418</x:v>
      </x:c>
      <x:c r="H21" s="60" t="n">
        <x:v>32.16054956986242</x:v>
      </x:c>
      <x:c r="I21" s="58" t="n">
        <x:v>79</x:v>
      </x:c>
      <x:c r="J21" s="59" t="str">
        <x:v>STANDARD</x:v>
      </x:c>
      <x:c r="K21" s="59" t="str">
        <x:v>PG/SG</x:v>
      </x:c>
      <x:c r="L21" s="62" t="str">
        <x:v>Projected below last year's production; avoid extrapolating a career-year role.</x:v>
      </x:c>
    </x:row>
    <x:row r="22" ht="20" customHeight="1">
      <x:c r="A22" s="59" t="n">
        <x:v>17</x:v>
      </x:c>
      <x:c r="B22" s="59" t="n">
        <x:v>112</x:v>
      </x:c>
      <x:c r="C22" s="59" t="str">
        <x:v>Brandin Podziemski</x:v>
      </x:c>
      <x:c r="D22" s="59" t="str">
        <x:v>GSW</x:v>
      </x:c>
      <x:c r="E22" s="58"/>
      <x:c r="F22" s="60"/>
      <x:c r="G22" s="60" t="n">
        <x:v>25.031322294862328</x:v>
      </x:c>
      <x:c r="H22" s="60" t="n">
        <x:v>32.03132229486233</x:v>
      </x:c>
      <x:c r="I22" s="58" t="n">
        <x:v>79</x:v>
      </x:c>
      <x:c r="J22" s="59" t="str">
        <x:v>DEEP</x:v>
      </x:c>
      <x:c r="K22" s="59" t="str">
        <x:v>PG/SG</x:v>
      </x:c>
      <x:c r="L22" s="62" t="str">
        <x:v>Deep-board candidate for a 10-team league; custom-format estimate emphasizes role, efficiency and rebounding. Recheck camp role and app eligibility before draft day.</x:v>
      </x:c>
    </x:row>
    <x:row r="23" ht="20" customHeight="1">
      <x:c r="A23" s="59" t="n">
        <x:v>18</x:v>
      </x:c>
      <x:c r="B23" s="59" t="n">
        <x:v>114</x:v>
      </x:c>
      <x:c r="C23" s="59" t="str">
        <x:v>Ayo Dosunmu</x:v>
      </x:c>
      <x:c r="D23" s="59" t="str">
        <x:v>MIN</x:v>
      </x:c>
      <x:c r="E23" s="58"/>
      <x:c r="F23" s="60"/>
      <x:c r="G23" s="60" t="n">
        <x:v>25.774815268065275</x:v>
      </x:c>
      <x:c r="H23" s="60" t="n">
        <x:v>32.774815268065275</x:v>
      </x:c>
      <x:c r="I23" s="58" t="n">
        <x:v>75</x:v>
      </x:c>
      <x:c r="J23" s="59" t="str">
        <x:v>DEEP</x:v>
      </x:c>
      <x:c r="K23" s="59" t="str">
        <x:v>PG/SF/SG</x:v>
      </x:c>
      <x:c r="L23" s="62" t="str">
        <x:v>Deep-board candidate for a 10-team league; custom-format estimate emphasizes role, efficiency and rebounding. Recheck camp role and app eligibility before draft day.</x:v>
      </x:c>
    </x:row>
    <x:row r="24" ht="20" customHeight="1">
      <x:c r="A24" s="59" t="n">
        <x:v>19</x:v>
      </x:c>
      <x:c r="B24" s="59" t="n">
        <x:v>115</x:v>
      </x:c>
      <x:c r="C24" s="59" t="str">
        <x:v>Donte DiVincenzo</x:v>
      </x:c>
      <x:c r="D24" s="59" t="str">
        <x:v>MIN</x:v>
      </x:c>
      <x:c r="E24" s="58"/>
      <x:c r="F24" s="60"/>
      <x:c r="G24" s="60" t="n">
        <x:v>23.39</x:v>
      </x:c>
      <x:c r="H24" s="60" t="n">
        <x:v>30.39</x:v>
      </x:c>
      <x:c r="I24" s="58" t="n">
        <x:v>70</x:v>
      </x:c>
      <x:c r="J24" s="59" t="str">
        <x:v>DEEP</x:v>
      </x:c>
      <x:c r="K24" s="59" t="str">
        <x:v>PG/SG</x:v>
      </x:c>
      <x:c r="L24" s="62" t="str">
        <x:v>Deep-board candidate for a 10-team league; custom-format estimate emphasizes role, efficiency and rebounding. Recheck camp role and app eligibility before draft day.</x:v>
      </x:c>
    </x:row>
    <x:row r="25" ht="20" customHeight="1">
      <x:c r="A25" s="59" t="n">
        <x:v>20</x:v>
      </x:c>
      <x:c r="B25" s="59" t="n">
        <x:v>120</x:v>
      </x:c>
      <x:c r="C25" s="59" t="str">
        <x:v>Christian Braun</x:v>
      </x:c>
      <x:c r="D25" s="59" t="str">
        <x:v>DEN</x:v>
      </x:c>
      <x:c r="E25" s="58"/>
      <x:c r="F25" s="60"/>
      <x:c r="G25" s="60" t="n">
        <x:v>22.87165857035577</x:v>
      </x:c>
      <x:c r="H25" s="60" t="n">
        <x:v>29.87165857035577</x:v>
      </x:c>
      <x:c r="I25" s="58" t="n">
        <x:v>72</x:v>
      </x:c>
      <x:c r="J25" s="59" t="str">
        <x:v>DEEP</x:v>
      </x:c>
      <x:c r="K25" s="59" t="str">
        <x:v>PF/SF/SG</x:v>
      </x:c>
      <x:c r="L25" s="62" t="str">
        <x:v>Deep-board candidate for a 10-team league; custom-format estimate emphasizes role, efficiency and rebounding. Recheck camp role and app eligibility before draft day.</x:v>
      </x:c>
    </x:row>
    <x:row r="26" ht="20" customHeight="1">
      <x:c r="A26" s="59" t="n">
        <x:v>21</x:v>
      </x:c>
      <x:c r="B26" s="59" t="n">
        <x:v>126</x:v>
      </x:c>
      <x:c r="C26" s="59" t="str">
        <x:v>Gradey Dick</x:v>
      </x:c>
      <x:c r="D26" s="59" t="str">
        <x:v>TOR</x:v>
      </x:c>
      <x:c r="E26" s="58"/>
      <x:c r="F26" s="60"/>
      <x:c r="G26" s="60" t="n">
        <x:v>22.59</x:v>
      </x:c>
      <x:c r="H26" s="60" t="n">
        <x:v>29.59</x:v>
      </x:c>
      <x:c r="I26" s="58" t="n">
        <x:v>70</x:v>
      </x:c>
      <x:c r="J26" s="59" t="str">
        <x:v>DEEP</x:v>
      </x:c>
      <x:c r="K26" s="59" t="str">
        <x:v>SG/SF</x:v>
      </x:c>
      <x:c r="L26" s="62" t="str">
        <x:v>Deep-board candidate for a 10-team league; custom-format estimate emphasizes role, efficiency and rebounding. Recheck camp role and app eligibility before draft day.</x:v>
      </x:c>
    </x:row>
    <x:row r="27" ht="20" customHeight="1">
      <x:c r="A27" s="59" t="n">
        <x:v>22</x:v>
      </x:c>
      <x:c r="B27" s="59" t="n">
        <x:v>130</x:v>
      </x:c>
      <x:c r="C27" s="59" t="str">
        <x:v>Quentin Grimes</x:v>
      </x:c>
      <x:c r="D27" s="59" t="str">
        <x:v>LAL</x:v>
      </x:c>
      <x:c r="E27" s="58"/>
      <x:c r="F27" s="60"/>
      <x:c r="G27" s="60" t="n">
        <x:v>22.717827845799032</x:v>
      </x:c>
      <x:c r="H27" s="60" t="n">
        <x:v>29.717827845799032</x:v>
      </x:c>
      <x:c r="I27" s="58" t="n">
        <x:v>76</x:v>
      </x:c>
      <x:c r="J27" s="59" t="str">
        <x:v>DEEP</x:v>
      </x:c>
      <x:c r="K27" s="59" t="str">
        <x:v>SG/SF</x:v>
      </x:c>
      <x:c r="L27" s="62" t="str">
        <x:v>Deep-board candidate for a 10-team league; custom-format estimate emphasizes role, efficiency and rebounding. Recheck camp role and app eligibility before draft day.</x:v>
      </x:c>
    </x:row>
    <x:row r="28" ht="20" customHeight="1">
      <x:c r="A28" s="59" t="n">
        <x:v>23</x:v>
      </x:c>
      <x:c r="B28" s="59" t="n">
        <x:v>145</x:v>
      </x:c>
      <x:c r="C28" s="59" t="str">
        <x:v>Bennedict Mathurin</x:v>
      </x:c>
      <x:c r="D28" s="59" t="str">
        <x:v>NOP</x:v>
      </x:c>
      <x:c r="E28" s="58" t="n">
        <x:v>54</x:v>
      </x:c>
      <x:c r="F28" s="60" t="n">
        <x:v>30.4</x:v>
      </x:c>
      <x:c r="G28" s="60" t="n">
        <x:v>20.58895182845626</x:v>
      </x:c>
      <x:c r="H28" s="60" t="n">
        <x:v>27.58895182845626</x:v>
      </x:c>
      <x:c r="I28" s="58" t="n">
        <x:v>73</x:v>
      </x:c>
      <x:c r="J28" s="59" t="str">
        <x:v>STANDARD</x:v>
      </x:c>
      <x:c r="K28" s="59" t="str">
        <x:v>SG/SF</x:v>
      </x:c>
      <x:c r="L28" s="62" t="str">
        <x:v>Late scoring-wing option; efficiency and role will determine relevance.</x:v>
      </x:c>
    </x:row>
    <x:row r="29" ht="20" customHeight="1">
      <x:c r="A29" s="59" t="n">
        <x:v>24</x:v>
      </x:c>
      <x:c r="B29" s="59" t="n">
        <x:v>147</x:v>
      </x:c>
      <x:c r="C29" s="59" t="str">
        <x:v>Devin Vassell</x:v>
      </x:c>
      <x:c r="D29" s="59" t="str">
        <x:v>SAS</x:v>
      </x:c>
      <x:c r="E29" s="58"/>
      <x:c r="F29" s="60"/>
      <x:c r="G29" s="60" t="n">
        <x:v>22.054927101322402</x:v>
      </x:c>
      <x:c r="H29" s="60" t="n">
        <x:v>29.054927101322402</x:v>
      </x:c>
      <x:c r="I29" s="58" t="n">
        <x:v>74</x:v>
      </x:c>
      <x:c r="J29" s="59" t="str">
        <x:v>DEEP</x:v>
      </x:c>
      <x:c r="K29" s="59" t="str">
        <x:v>SG/SF</x:v>
      </x:c>
      <x:c r="L29" s="62" t="str">
        <x:v>Deep-board candidate for a 10-team league; custom-format estimate emphasizes role, efficiency and rebounding. Recheck camp role and app eligibility before draft day.</x:v>
      </x:c>
    </x:row>
    <x:row r="30" ht="20" customHeight="1">
      <x:c r="A30" s="59" t="n">
        <x:v>25</x:v>
      </x:c>
      <x:c r="B30" s="59" t="n">
        <x:v>151</x:v>
      </x:c>
      <x:c r="C30" s="59" t="str">
        <x:v>Nique Clifford</x:v>
      </x:c>
      <x:c r="D30" s="59" t="str">
        <x:v>SAC</x:v>
      </x:c>
      <x:c r="E30" s="58"/>
      <x:c r="F30" s="60"/>
      <x:c r="G30" s="60" t="n">
        <x:v>21.22</x:v>
      </x:c>
      <x:c r="H30" s="60" t="n">
        <x:v>28.22</x:v>
      </x:c>
      <x:c r="I30" s="58" t="n">
        <x:v>70</x:v>
      </x:c>
      <x:c r="J30" s="59" t="str">
        <x:v>DEEP</x:v>
      </x:c>
      <x:c r="K30" s="59" t="str">
        <x:v>SG/SF</x:v>
      </x:c>
      <x:c r="L30" s="62" t="str">
        <x:v>Deep-board candidate for a 10-team league; custom-format estimate emphasizes role, efficiency and rebounding. Recheck camp role and app eligibility before draft day.</x:v>
      </x:c>
    </x:row>
    <x:row r="31" ht="20" customHeight="1">
      <x:c r="A31" s="59" t="n">
        <x:v>26</x:v>
      </x:c>
      <x:c r="B31" s="59" t="n">
        <x:v>153</x:v>
      </x:c>
      <x:c r="C31" s="59" t="str">
        <x:v>Kyshawn George</x:v>
      </x:c>
      <x:c r="D31" s="59" t="str">
        <x:v>WAS</x:v>
      </x:c>
      <x:c r="E31" s="58" t="n">
        <x:v>48</x:v>
      </x:c>
      <x:c r="F31" s="60" t="n">
        <x:v>29</x:v>
      </x:c>
      <x:c r="G31" s="60" t="n">
        <x:v>21.377228028267147</x:v>
      </x:c>
      <x:c r="H31" s="60" t="n">
        <x:v>30.22722802826715</x:v>
      </x:c>
      <x:c r="I31" s="58" t="n">
        <x:v>72</x:v>
      </x:c>
      <x:c r="J31" s="59" t="str">
        <x:v>DEEP</x:v>
      </x:c>
      <x:c r="K31" s="59" t="str">
        <x:v>PF/SF/SG</x:v>
      </x:c>
      <x:c r="L31" s="62" t="str">
        <x:v>Deep-pool model: 2025-26 custom-score production shrunk toward a conservative 2026-27 role estimate; not a published projection.</x:v>
      </x:c>
    </x:row>
    <x:row r="32" ht="20" customHeight="1">
      <x:c r="A32" s="59" t="n">
        <x:v>27</x:v>
      </x:c>
      <x:c r="B32" s="59" t="n">
        <x:v>161</x:v>
      </x:c>
      <x:c r="C32" s="59" t="str">
        <x:v>Keaton Wagler</x:v>
      </x:c>
      <x:c r="D32" s="59" t="str">
        <x:v>LAC</x:v>
      </x:c>
      <x:c r="E32" s="58"/>
      <x:c r="F32" s="60"/>
      <x:c r="G32" s="60" t="n">
        <x:v>21.033044170874966</x:v>
      </x:c>
      <x:c r="H32" s="60" t="n">
        <x:v>30.703044170874968</x:v>
      </x:c>
      <x:c r="I32" s="58" t="n">
        <x:v>74</x:v>
      </x:c>
      <x:c r="J32" s="59" t="str">
        <x:v>VERY_DEEP</x:v>
      </x:c>
      <x:c r="K32" s="59" t="str">
        <x:v>PG/SG</x:v>
      </x:c>
      <x:c r="L32" s="62" t="str">
        <x:v>Rookie/depth role estimate with a wide band and limited NBA evidence. Treat as a watch-list projection, not a published forecast.</x:v>
      </x:c>
    </x:row>
    <x:row r="33" ht="20" customHeight="1">
      <x:c r="A33" s="59" t="n">
        <x:v>28</x:v>
      </x:c>
      <x:c r="B33" s="59" t="n">
        <x:v>164</x:v>
      </x:c>
      <x:c r="C33" s="59" t="str">
        <x:v>Kevin Huerter</x:v>
      </x:c>
      <x:c r="D33" s="59" t="str">
        <x:v>CHI</x:v>
      </x:c>
      <x:c r="E33" s="58"/>
      <x:c r="F33" s="60"/>
      <x:c r="G33" s="60" t="n">
        <x:v>19.51</x:v>
      </x:c>
      <x:c r="H33" s="60" t="n">
        <x:v>26.51</x:v>
      </x:c>
      <x:c r="I33" s="58" t="n">
        <x:v>70</x:v>
      </x:c>
      <x:c r="J33" s="59" t="str">
        <x:v>DEEP</x:v>
      </x:c>
      <x:c r="K33" s="59" t="str">
        <x:v>SG/SF</x:v>
      </x:c>
      <x:c r="L33" s="62" t="str">
        <x:v>Deep-board candidate for a 10-team league; custom-format estimate emphasizes role, efficiency and rebounding. Recheck camp role and app eligibility before draft day.</x:v>
      </x:c>
    </x:row>
    <x:row r="34" ht="20" customHeight="1">
      <x:c r="A34" s="59" t="n">
        <x:v>29</x:v>
      </x:c>
      <x:c r="B34" s="59" t="n">
        <x:v>168</x:v>
      </x:c>
      <x:c r="C34" s="59" t="str">
        <x:v>Buddy Hield</x:v>
      </x:c>
      <x:c r="D34" s="59" t="str">
        <x:v>GSW</x:v>
      </x:c>
      <x:c r="E34" s="58"/>
      <x:c r="F34" s="60"/>
      <x:c r="G34" s="60" t="n">
        <x:v>19.4</x:v>
      </x:c>
      <x:c r="H34" s="60" t="n">
        <x:v>26.4</x:v>
      </x:c>
      <x:c r="I34" s="58" t="n">
        <x:v>70</x:v>
      </x:c>
      <x:c r="J34" s="59" t="str">
        <x:v>DEEP</x:v>
      </x:c>
      <x:c r="K34" s="59" t="str">
        <x:v>SG/SF</x:v>
      </x:c>
      <x:c r="L34" s="62" t="str">
        <x:v>Deep-board candidate for a 10-team league; custom-format estimate emphasizes role, efficiency and rebounding. Recheck camp role and app eligibility before draft day.</x:v>
      </x:c>
    </x:row>
    <x:row r="35" ht="20" customHeight="1">
      <x:c r="A35" s="59" t="n">
        <x:v>30</x:v>
      </x:c>
      <x:c r="B35" s="59" t="n">
        <x:v>171</x:v>
      </x:c>
      <x:c r="C35" s="59" t="str">
        <x:v>Malik Monk</x:v>
      </x:c>
      <x:c r="D35" s="59" t="str">
        <x:v>SAC</x:v>
      </x:c>
      <x:c r="E35" s="58"/>
      <x:c r="F35" s="60"/>
      <x:c r="G35" s="60" t="n">
        <x:v>19.297999649004595</x:v>
      </x:c>
      <x:c r="H35" s="60" t="n">
        <x:v>26.297999649004595</x:v>
      </x:c>
      <x:c r="I35" s="58" t="n">
        <x:v>73</x:v>
      </x:c>
      <x:c r="J35" s="59" t="str">
        <x:v>DEEP</x:v>
      </x:c>
      <x:c r="K35" s="59" t="str">
        <x:v>PG/SG</x:v>
      </x:c>
      <x:c r="L35" s="62" t="str">
        <x:v>Deep-board candidate for a 10-team league; custom-format estimate emphasizes role, efficiency and rebounding. Recheck camp role and app eligibility before draft day.</x:v>
      </x:c>
    </x:row>
    <x:row r="36" ht="20" customHeight="1">
      <x:c r="A36" s="59" t="n">
        <x:v>31</x:v>
      </x:c>
      <x:c r="B36" s="59" t="n">
        <x:v>173</x:v>
      </x:c>
      <x:c r="C36" s="59" t="str">
        <x:v>Duncan Robinson</x:v>
      </x:c>
      <x:c r="D36" s="59" t="str">
        <x:v>DET</x:v>
      </x:c>
      <x:c r="E36" s="58"/>
      <x:c r="F36" s="60"/>
      <x:c r="G36" s="60" t="n">
        <x:v>18.520846104903214</x:v>
      </x:c>
      <x:c r="H36" s="60" t="n">
        <x:v>25.520846104903214</x:v>
      </x:c>
      <x:c r="I36" s="58" t="n">
        <x:v>77</x:v>
      </x:c>
      <x:c r="J36" s="59" t="str">
        <x:v>DEEP</x:v>
      </x:c>
      <x:c r="K36" s="59" t="str">
        <x:v>SG/SF</x:v>
      </x:c>
      <x:c r="L36" s="62" t="str">
        <x:v>Deep-board candidate for a 10-team league; custom-format estimate emphasizes role, efficiency and rebounding. Recheck camp role and app eligibility before draft day.</x:v>
      </x:c>
    </x:row>
    <x:row r="37" ht="20" customHeight="1">
      <x:c r="A37" s="59" t="n">
        <x:v>32</x:v>
      </x:c>
      <x:c r="B37" s="59" t="n">
        <x:v>176</x:v>
      </x:c>
      <x:c r="C37" s="59" t="str">
        <x:v>Klay Thompson</x:v>
      </x:c>
      <x:c r="D37" s="59" t="str">
        <x:v>MIA</x:v>
      </x:c>
      <x:c r="E37" s="58"/>
      <x:c r="F37" s="60"/>
      <x:c r="G37" s="60" t="n">
        <x:v>18.75918228031033</x:v>
      </x:c>
      <x:c r="H37" s="60" t="n">
        <x:v>25.75918228031033</x:v>
      </x:c>
      <x:c r="I37" s="58" t="n">
        <x:v>74</x:v>
      </x:c>
      <x:c r="J37" s="59" t="str">
        <x:v>DEEP</x:v>
      </x:c>
      <x:c r="K37" s="59" t="str">
        <x:v>SG/SF</x:v>
      </x:c>
      <x:c r="L37" s="62" t="str">
        <x:v>Deep-board candidate for a 10-team league; custom-format estimate emphasizes role, efficiency and rebounding. Recheck camp role and app eligibility before draft day.</x:v>
      </x:c>
    </x:row>
    <x:row r="38" ht="20" customHeight="1">
      <x:c r="A38" s="59" t="n">
        <x:v>33</x:v>
      </x:c>
      <x:c r="B38" s="59" t="n">
        <x:v>178</x:v>
      </x:c>
      <x:c r="C38" s="59" t="str">
        <x:v>Grayson Allen</x:v>
      </x:c>
      <x:c r="D38" s="59" t="str">
        <x:v>CHA</x:v>
      </x:c>
      <x:c r="E38" s="58"/>
      <x:c r="F38" s="60"/>
      <x:c r="G38" s="60" t="n">
        <x:v>18.731100051764297</x:v>
      </x:c>
      <x:c r="H38" s="60" t="n">
        <x:v>25.731100051764297</x:v>
      </x:c>
      <x:c r="I38" s="58" t="n">
        <x:v>71</x:v>
      </x:c>
      <x:c r="J38" s="59" t="str">
        <x:v>DEEP</x:v>
      </x:c>
      <x:c r="K38" s="59" t="str">
        <x:v>PG/SF/SG</x:v>
      </x:c>
      <x:c r="L38" s="62" t="str">
        <x:v>Deep-board candidate for a 10-team league; custom-format estimate emphasizes role, efficiency and rebounding. Recheck camp role and app eligibility before draft day.</x:v>
      </x:c>
    </x:row>
    <x:row r="39" ht="20" customHeight="1">
      <x:c r="A39" s="59" t="n">
        <x:v>34</x:v>
      </x:c>
      <x:c r="B39" s="59" t="n">
        <x:v>180</x:v>
      </x:c>
      <x:c r="C39" s="59" t="str">
        <x:v>Bradley Beal</x:v>
      </x:c>
      <x:c r="D39" s="59" t="str">
        <x:v>LAC</x:v>
      </x:c>
      <x:c r="E39" s="58"/>
      <x:c r="F39" s="60"/>
      <x:c r="G39" s="60" t="n">
        <x:v>19.447276754147683</x:v>
      </x:c>
      <x:c r="H39" s="60" t="n">
        <x:v>26.447276754147683</x:v>
      </x:c>
      <x:c r="I39" s="58" t="n">
        <x:v>66</x:v>
      </x:c>
      <x:c r="J39" s="59" t="str">
        <x:v>DEEP</x:v>
      </x:c>
      <x:c r="K39" s="59" t="str">
        <x:v>SF/SG</x:v>
      </x:c>
      <x:c r="L39" s="62" t="str">
        <x:v>Deep-board candidate for a 10-team league; custom-format estimate emphasizes role, efficiency and rebounding. Recheck camp role and app eligibility before draft day.</x:v>
      </x:c>
    </x:row>
    <x:row r="40" ht="20" customHeight="1">
      <x:c r="A40" s="59" t="n">
        <x:v>35</x:v>
      </x:c>
      <x:c r="B40" s="59" t="n">
        <x:v>182</x:v>
      </x:c>
      <x:c r="C40" s="59" t="str">
        <x:v>Gary Trent Jr.</x:v>
      </x:c>
      <x:c r="D40" s="59" t="str">
        <x:v>MIL</x:v>
      </x:c>
      <x:c r="E40" s="58"/>
      <x:c r="F40" s="60"/>
      <x:c r="G40" s="60" t="n">
        <x:v>18.72</x:v>
      </x:c>
      <x:c r="H40" s="60" t="n">
        <x:v>25.72</x:v>
      </x:c>
      <x:c r="I40" s="58" t="n">
        <x:v>70</x:v>
      </x:c>
      <x:c r="J40" s="59" t="str">
        <x:v>DEEP</x:v>
      </x:c>
      <x:c r="K40" s="59" t="str">
        <x:v>SG</x:v>
      </x:c>
      <x:c r="L40" s="62" t="str">
        <x:v>Deep-board candidate for a 10-team league; custom-format estimate emphasizes role, efficiency and rebounding. Recheck camp role and app eligibility before draft day.</x:v>
      </x:c>
    </x:row>
    <x:row r="41" ht="20" customHeight="1">
      <x:c r="A41" s="59" t="n">
        <x:v>36</x:v>
      </x:c>
      <x:c r="B41" s="59" t="n">
        <x:v>183</x:v>
      </x:c>
      <x:c r="C41" s="59" t="str">
        <x:v>Caris LeVert</x:v>
      </x:c>
      <x:c r="D41" s="59" t="str">
        <x:v>DET</x:v>
      </x:c>
      <x:c r="E41" s="58"/>
      <x:c r="F41" s="60"/>
      <x:c r="G41" s="60" t="n">
        <x:v>18.6</x:v>
      </x:c>
      <x:c r="H41" s="60" t="n">
        <x:v>25.6</x:v>
      </x:c>
      <x:c r="I41" s="58" t="n">
        <x:v>70</x:v>
      </x:c>
      <x:c r="J41" s="59" t="str">
        <x:v>DEEP</x:v>
      </x:c>
      <x:c r="K41" s="59" t="str">
        <x:v>SG/SF</x:v>
      </x:c>
      <x:c r="L41" s="62" t="str">
        <x:v>Deep-board candidate for a 10-team league; custom-format estimate emphasizes role, efficiency and rebounding. Recheck camp role and app eligibility before draft day.</x:v>
      </x:c>
    </x:row>
    <x:row r="42" ht="20" customHeight="1">
      <x:c r="A42" s="59" t="n">
        <x:v>37</x:v>
      </x:c>
      <x:c r="B42" s="59" t="n">
        <x:v>185</x:v>
      </x:c>
      <x:c r="C42" s="59" t="str">
        <x:v>Anthony Black</x:v>
      </x:c>
      <x:c r="D42" s="59" t="str">
        <x:v>ORL</x:v>
      </x:c>
      <x:c r="E42" s="58" t="n">
        <x:v>64</x:v>
      </x:c>
      <x:c r="F42" s="60" t="n">
        <x:v>27.3</x:v>
      </x:c>
      <x:c r="G42" s="60" t="n">
        <x:v>18.235058950137965</x:v>
      </x:c>
      <x:c r="H42" s="60" t="n">
        <x:v>27.055058950137965</x:v>
      </x:c>
      <x:c r="I42" s="58" t="n">
        <x:v>74</x:v>
      </x:c>
      <x:c r="J42" s="59" t="str">
        <x:v>DEEP</x:v>
      </x:c>
      <x:c r="K42" s="59" t="str">
        <x:v>PG/SG/SF</x:v>
      </x:c>
      <x:c r="L42" s="62" t="str">
        <x:v>Deep-pool model: 2025-26 custom-score production shrunk toward a conservative 2026-27 role estimate; not a published projection.</x:v>
      </x:c>
    </x:row>
    <x:row r="43" ht="20" customHeight="1">
      <x:c r="A43" s="59" t="n">
        <x:v>38</x:v>
      </x:c>
      <x:c r="B43" s="59" t="n">
        <x:v>186</x:v>
      </x:c>
      <x:c r="C43" s="59" t="str">
        <x:v>Max Christie</x:v>
      </x:c>
      <x:c r="D43" s="59" t="str">
        <x:v>DAL</x:v>
      </x:c>
      <x:c r="E43" s="58" t="n">
        <x:v>77</x:v>
      </x:c>
      <x:c r="F43" s="60" t="n">
        <x:v>21</x:v>
      </x:c>
      <x:c r="G43" s="60" t="n">
        <x:v>19.677159535379875</x:v>
      </x:c>
      <x:c r="H43" s="60" t="n">
        <x:v>26.677159535379875</x:v>
      </x:c>
      <x:c r="I43" s="58" t="n">
        <x:v>78</x:v>
      </x:c>
      <x:c r="J43" s="59" t="str">
        <x:v>DEEP</x:v>
      </x:c>
      <x:c r="K43" s="59" t="str">
        <x:v>SG/SF</x:v>
      </x:c>
      <x:c r="L43" s="62" t="str">
        <x:v>Deep-pool model: 2025-26 custom-score production shrunk toward a conservative 2026-27 role estimate; not a published projection.</x:v>
      </x:c>
    </x:row>
    <x:row r="44" ht="20" customHeight="1">
      <x:c r="A44" s="59" t="n">
        <x:v>39</x:v>
      </x:c>
      <x:c r="B44" s="59" t="n">
        <x:v>191</x:v>
      </x:c>
      <x:c r="C44" s="59" t="str">
        <x:v>Jaylon Tyson</x:v>
      </x:c>
      <x:c r="D44" s="59" t="str">
        <x:v>CLE</x:v>
      </x:c>
      <x:c r="E44" s="58" t="n">
        <x:v>66</x:v>
      </x:c>
      <x:c r="F44" s="60" t="n">
        <x:v>27</x:v>
      </x:c>
      <x:c r="G44" s="60" t="n">
        <x:v>18.744999999999997</x:v>
      </x:c>
      <x:c r="H44" s="60" t="n">
        <x:v>26.975</x:v>
      </x:c>
      <x:c r="I44" s="58" t="n">
        <x:v>60</x:v>
      </x:c>
      <x:c r="J44" s="59" t="str">
        <x:v>DEEP</x:v>
      </x:c>
      <x:c r="K44" s="59" t="str">
        <x:v>SG</x:v>
      </x:c>
      <x:c r="L44" s="62" t="str">
        <x:v>Deep-pool model: 2025-26 custom-score production shrunk toward a conservative 2026-27 role estimate; not a published projection.</x:v>
      </x:c>
    </x:row>
    <x:row r="45" ht="20" customHeight="1">
      <x:c r="A45" s="59" t="n">
        <x:v>40</x:v>
      </x:c>
      <x:c r="B45" s="59" t="n">
        <x:v>195</x:v>
      </x:c>
      <x:c r="C45" s="59" t="str">
        <x:v>Anfernee Simons</x:v>
      </x:c>
      <x:c r="D45" s="59" t="str">
        <x:v>PHI</x:v>
      </x:c>
      <x:c r="E45" s="58" t="n">
        <x:v>55</x:v>
      </x:c>
      <x:c r="F45" s="60" t="n">
        <x:v>22.85</x:v>
      </x:c>
      <x:c r="G45" s="60" t="n">
        <x:v>18.76513057666221</x:v>
      </x:c>
      <x:c r="H45" s="60" t="n">
        <x:v>25.885130576662206</x:v>
      </x:c>
      <x:c r="I45" s="58" t="n">
        <x:v>72</x:v>
      </x:c>
      <x:c r="J45" s="59" t="str">
        <x:v>DEEP</x:v>
      </x:c>
      <x:c r="K45" s="59" t="str">
        <x:v>PG/SG</x:v>
      </x:c>
      <x:c r="L45" s="62" t="str">
        <x:v>Deep-pool model: 2025-26 custom-score production shrunk toward a conservative 2026-27 role estimate; not a published projection.</x:v>
      </x:c>
    </x:row>
    <x:row r="46" ht="20" customHeight="1">
      <x:c r="A46" s="59" t="n">
        <x:v>41</x:v>
      </x:c>
      <x:c r="B46" s="59" t="n">
        <x:v>199</x:v>
      </x:c>
      <x:c r="C46" s="59" t="str">
        <x:v>Jared McCain</x:v>
      </x:c>
      <x:c r="D46" s="59" t="str">
        <x:v>PHI</x:v>
      </x:c>
      <x:c r="E46" s="58"/>
      <x:c r="F46" s="60"/>
      <x:c r="G46" s="60" t="n">
        <x:v>17.12</x:v>
      </x:c>
      <x:c r="H46" s="60" t="n">
        <x:v>24.12</x:v>
      </x:c>
      <x:c r="I46" s="58" t="n">
        <x:v>70</x:v>
      </x:c>
      <x:c r="J46" s="59" t="str">
        <x:v>DEEP</x:v>
      </x:c>
      <x:c r="K46" s="59" t="str">
        <x:v>PG/SG</x:v>
      </x:c>
      <x:c r="L46" s="62" t="str">
        <x:v>Deep-board candidate for a 10-team league; custom-format estimate emphasizes role, efficiency and rebounding. Recheck camp role and app eligibility before draft day.</x:v>
      </x:c>
    </x:row>
    <x:row r="47" ht="20" customHeight="1">
      <x:c r="A47" s="59" t="n">
        <x:v>42</x:v>
      </x:c>
      <x:c r="B47" s="59" t="n">
        <x:v>204</x:v>
      </x:c>
      <x:c r="C47" s="59" t="str">
        <x:v>Tre Johnson</x:v>
      </x:c>
      <x:c r="D47" s="59" t="str">
        <x:v>WAS</x:v>
      </x:c>
      <x:c r="E47" s="58"/>
      <x:c r="F47" s="60"/>
      <x:c r="G47" s="60" t="n">
        <x:v>16.89</x:v>
      </x:c>
      <x:c r="H47" s="60" t="n">
        <x:v>23.89</x:v>
      </x:c>
      <x:c r="I47" s="58" t="n">
        <x:v>70</x:v>
      </x:c>
      <x:c r="J47" s="59" t="str">
        <x:v>DEEP</x:v>
      </x:c>
      <x:c r="K47" s="59" t="str">
        <x:v>SG/SF</x:v>
      </x:c>
      <x:c r="L47" s="62" t="str">
        <x:v>Deep-board candidate for a 10-team league; custom-format estimate emphasizes role, efficiency and rebounding. Recheck camp role and app eligibility before draft day.</x:v>
      </x:c>
    </x:row>
    <x:row r="48" ht="20" customHeight="1">
      <x:c r="A48" s="59" t="n">
        <x:v>43</x:v>
      </x:c>
      <x:c r="B48" s="59" t="n">
        <x:v>209</x:v>
      </x:c>
      <x:c r="C48" s="59" t="str">
        <x:v>Cam Spencer</x:v>
      </x:c>
      <x:c r="D48" s="59" t="str">
        <x:v>MEM</x:v>
      </x:c>
      <x:c r="E48" s="58" t="n">
        <x:v>72</x:v>
      </x:c>
      <x:c r="F48" s="60" t="n">
        <x:v>25.7</x:v>
      </x:c>
      <x:c r="G48" s="60" t="n">
        <x:v>17.685000000000002</x:v>
      </x:c>
      <x:c r="H48" s="60" t="n">
        <x:v>25.455</x:v>
      </x:c>
      <x:c r="I48" s="58" t="n">
        <x:v>60</x:v>
      </x:c>
      <x:c r="J48" s="59" t="str">
        <x:v>DEEP</x:v>
      </x:c>
      <x:c r="K48" s="59" t="str">
        <x:v>SG</x:v>
      </x:c>
      <x:c r="L48" s="62" t="str">
        <x:v>Deep-pool model: 2025-26 custom-score production shrunk toward a conservative 2026-27 role estimate; not a published projection.</x:v>
      </x:c>
    </x:row>
    <x:row r="49" ht="20" customHeight="1">
      <x:c r="A49" s="59" t="n">
        <x:v>44</x:v>
      </x:c>
      <x:c r="B49" s="59" t="n">
        <x:v>212</x:v>
      </x:c>
      <x:c r="C49" s="59" t="str">
        <x:v>Moses Moody</x:v>
      </x:c>
      <x:c r="D49" s="59" t="str">
        <x:v>GSW</x:v>
      </x:c>
      <x:c r="E49" s="58"/>
      <x:c r="F49" s="60"/>
      <x:c r="G49" s="60" t="n">
        <x:v>16.21</x:v>
      </x:c>
      <x:c r="H49" s="60" t="n">
        <x:v>23.21</x:v>
      </x:c>
      <x:c r="I49" s="58" t="n">
        <x:v>70</x:v>
      </x:c>
      <x:c r="J49" s="59" t="str">
        <x:v>DEEP</x:v>
      </x:c>
      <x:c r="K49" s="59" t="str">
        <x:v>SG/SF</x:v>
      </x:c>
      <x:c r="L49" s="62" t="str">
        <x:v>Deep-board candidate for a 10-team league; custom-format estimate emphasizes role, efficiency and rebounding. Recheck camp role and app eligibility before draft day.</x:v>
      </x:c>
    </x:row>
    <x:row r="50" ht="20" customHeight="1">
      <x:c r="A50" s="59" t="n">
        <x:v>45</x:v>
      </x:c>
      <x:c r="B50" s="59" t="n">
        <x:v>215</x:v>
      </x:c>
      <x:c r="C50" s="59" t="str">
        <x:v>Cam Thomas</x:v>
      </x:c>
      <x:c r="D50" s="59" t="str">
        <x:v>BKN</x:v>
      </x:c>
      <x:c r="E50" s="58"/>
      <x:c r="F50" s="60"/>
      <x:c r="G50" s="60" t="n">
        <x:v>15.98</x:v>
      </x:c>
      <x:c r="H50" s="60" t="n">
        <x:v>22.98</x:v>
      </x:c>
      <x:c r="I50" s="58" t="n">
        <x:v>70</x:v>
      </x:c>
      <x:c r="J50" s="59" t="str">
        <x:v>DEEP</x:v>
      </x:c>
      <x:c r="K50" s="59" t="str">
        <x:v>SG</x:v>
      </x:c>
      <x:c r="L50" s="62" t="str">
        <x:v>Deep-board candidate for a 10-team league; custom-format estimate emphasizes role, efficiency and rebounding. Recheck camp role and app eligibility before draft day.</x:v>
      </x:c>
    </x:row>
    <x:row r="51" ht="20" customHeight="1">
      <x:c r="A51" s="59" t="n">
        <x:v>46</x:v>
      </x:c>
      <x:c r="B51" s="59" t="n">
        <x:v>222</x:v>
      </x:c>
      <x:c r="C51" s="59" t="str">
        <x:v>Jordan Clarkson</x:v>
      </x:c>
      <x:c r="D51" s="59" t="str">
        <x:v>NYK</x:v>
      </x:c>
      <x:c r="E51" s="58"/>
      <x:c r="F51" s="60"/>
      <x:c r="G51" s="60" t="n">
        <x:v>15.870000000000001</x:v>
      </x:c>
      <x:c r="H51" s="60" t="n">
        <x:v>22.87</x:v>
      </x:c>
      <x:c r="I51" s="58" t="n">
        <x:v>70</x:v>
      </x:c>
      <x:c r="J51" s="59" t="str">
        <x:v>DEEP</x:v>
      </x:c>
      <x:c r="K51" s="59" t="str">
        <x:v>PG/SG</x:v>
      </x:c>
      <x:c r="L51" s="62" t="str">
        <x:v>Deep-board candidate for a 10-team league; custom-format estimate emphasizes role, efficiency and rebounding. Recheck camp role and app eligibility before draft day.</x:v>
      </x:c>
    </x:row>
    <x:row r="52" ht="20" customHeight="1">
      <x:c r="A52" s="59" t="n">
        <x:v>47</x:v>
      </x:c>
      <x:c r="B52" s="59" t="n">
        <x:v>227</x:v>
      </x:c>
      <x:c r="C52" s="59" t="str">
        <x:v>De'Anthony Melton</x:v>
      </x:c>
      <x:c r="D52" s="59" t="str">
        <x:v>GSW</x:v>
      </x:c>
      <x:c r="E52" s="58" t="n">
        <x:v>49</x:v>
      </x:c>
      <x:c r="F52" s="60" t="n">
        <x:v>22</x:v>
      </x:c>
      <x:c r="G52" s="60" t="n">
        <x:v>16.88424452689806</x:v>
      </x:c>
      <x:c r="H52" s="60" t="n">
        <x:v>23.88424452689806</x:v>
      </x:c>
      <x:c r="I52" s="58" t="n">
        <x:v>72</x:v>
      </x:c>
      <x:c r="J52" s="59" t="str">
        <x:v>DEEP</x:v>
      </x:c>
      <x:c r="K52" s="59" t="str">
        <x:v>PG/SG</x:v>
      </x:c>
      <x:c r="L52" s="62" t="str">
        <x:v>Deep-pool model: 2025-26 custom-score production shrunk toward a conservative 2026-27 role estimate; not a published projection.</x:v>
      </x:c>
    </x:row>
    <x:row r="53" ht="20" customHeight="1">
      <x:c r="A53" s="59" t="n">
        <x:v>48</x:v>
      </x:c>
      <x:c r="B53" s="59" t="n">
        <x:v>228</x:v>
      </x:c>
      <x:c r="C53" s="59" t="str">
        <x:v>Jaden Ivey</x:v>
      </x:c>
      <x:c r="D53" s="59" t="str">
        <x:v>DET</x:v>
      </x:c>
      <x:c r="E53" s="58"/>
      <x:c r="F53" s="60"/>
      <x:c r="G53" s="60" t="n">
        <x:v>15.41</x:v>
      </x:c>
      <x:c r="H53" s="60" t="n">
        <x:v>22.41</x:v>
      </x:c>
      <x:c r="I53" s="58" t="n">
        <x:v>70</x:v>
      </x:c>
      <x:c r="J53" s="59" t="str">
        <x:v>DEEP</x:v>
      </x:c>
      <x:c r="K53" s="59" t="str">
        <x:v>PG/SG</x:v>
      </x:c>
      <x:c r="L53" s="62" t="str">
        <x:v>Deep-board candidate for a 10-team league; custom-format estimate emphasizes role, efficiency and rebounding. Recheck camp role and app eligibility before draft day.</x:v>
      </x:c>
    </x:row>
    <x:row r="54" ht="20" customHeight="1">
      <x:c r="A54" s="59" t="n">
        <x:v>49</x:v>
      </x:c>
      <x:c r="B54" s="59" t="n">
        <x:v>229</x:v>
      </x:c>
      <x:c r="C54" s="59" t="str">
        <x:v>Pelle Larsson</x:v>
      </x:c>
      <x:c r="D54" s="59" t="str">
        <x:v>MIA</x:v>
      </x:c>
      <x:c r="E54" s="58" t="n">
        <x:v>70</x:v>
      </x:c>
      <x:c r="F54" s="60" t="n">
        <x:v>23.7</x:v>
      </x:c>
      <x:c r="G54" s="60" t="n">
        <x:v>16.345</x:v>
      </x:c>
      <x:c r="H54" s="60" t="n">
        <x:v>23.515</x:v>
      </x:c>
      <x:c r="I54" s="58" t="n">
        <x:v>60</x:v>
      </x:c>
      <x:c r="J54" s="59" t="str">
        <x:v>DEEP</x:v>
      </x:c>
      <x:c r="K54" s="59" t="str">
        <x:v>SG</x:v>
      </x:c>
      <x:c r="L54" s="62" t="str">
        <x:v>Deep-pool model: 2025-26 custom-score production shrunk toward a conservative 2026-27 role estimate; not a published projection.</x:v>
      </x:c>
    </x:row>
    <x:row r="55" ht="20" customHeight="1">
      <x:c r="A55" s="59" t="n">
        <x:v>50</x:v>
      </x:c>
      <x:c r="B55" s="59" t="n">
        <x:v>233</x:v>
      </x:c>
      <x:c r="C55" s="59" t="str">
        <x:v>Sam Merrill</x:v>
      </x:c>
      <x:c r="D55" s="59" t="str">
        <x:v>CLE</x:v>
      </x:c>
      <x:c r="E55" s="58" t="n">
        <x:v>52</x:v>
      </x:c>
      <x:c r="F55" s="60" t="n">
        <x:v>22.95</x:v>
      </x:c>
      <x:c r="G55" s="60" t="n">
        <x:v>16.32</x:v>
      </x:c>
      <x:c r="H55" s="60" t="n">
        <x:v>23.479999999999997</x:v>
      </x:c>
      <x:c r="I55" s="58" t="n">
        <x:v>60</x:v>
      </x:c>
      <x:c r="J55" s="59" t="str">
        <x:v>DEEP</x:v>
      </x:c>
      <x:c r="K55" s="59" t="str">
        <x:v>SG</x:v>
      </x:c>
      <x:c r="L55" s="62" t="str">
        <x:v>Deep-pool model: 2025-26 custom-score production shrunk toward a conservative 2026-27 role estimate; not a published projection.</x:v>
      </x:c>
    </x:row>
    <x:row r="56" ht="20" customHeight="1">
      <x:c r="A56" s="59" t="n">
        <x:v>51</x:v>
      </x:c>
      <x:c r="B56" s="59" t="n">
        <x:v>248</x:v>
      </x:c>
      <x:c r="C56" s="59" t="str">
        <x:v>Tim Hardaway Jr.</x:v>
      </x:c>
      <x:c r="D56" s="59" t="str">
        <x:v>MIA</x:v>
      </x:c>
      <x:c r="E56" s="58" t="n">
        <x:v>80</x:v>
      </x:c>
      <x:c r="F56" s="60" t="n">
        <x:v>22.15</x:v>
      </x:c>
      <x:c r="G56" s="60" t="n">
        <x:v>15.02</x:v>
      </x:c>
      <x:c r="H56" s="60" t="n">
        <x:v>22.02</x:v>
      </x:c>
      <x:c r="I56" s="58" t="n">
        <x:v>60</x:v>
      </x:c>
      <x:c r="J56" s="59" t="str">
        <x:v>DEEP</x:v>
      </x:c>
      <x:c r="K56" s="59" t="str">
        <x:v>SG</x:v>
      </x:c>
      <x:c r="L56" s="62" t="str">
        <x:v>Deep-pool model: 2025-26 custom-score production shrunk toward a conservative 2026-27 role estimate; not a published projection.</x:v>
      </x:c>
    </x:row>
    <x:row r="57" ht="20" customHeight="1">
      <x:c r="A57" s="59" t="n">
        <x:v>52</x:v>
      </x:c>
      <x:c r="B57" s="59" t="n">
        <x:v>251</x:v>
      </x:c>
      <x:c r="C57" s="59" t="str">
        <x:v>Isaiah Joe</x:v>
      </x:c>
      <x:c r="D57" s="59" t="str">
        <x:v>DET</x:v>
      </x:c>
      <x:c r="E57" s="58" t="n">
        <x:v>71</x:v>
      </x:c>
      <x:c r="F57" s="60" t="n">
        <x:v>20.25</x:v>
      </x:c>
      <x:c r="G57" s="60" t="n">
        <x:v>14.530000000000001</x:v>
      </x:c>
      <x:c r="H57" s="60" t="n">
        <x:v>21.53</x:v>
      </x:c>
      <x:c r="I57" s="58" t="n">
        <x:v>60</x:v>
      </x:c>
      <x:c r="J57" s="59" t="str">
        <x:v>DEEP</x:v>
      </x:c>
      <x:c r="K57" s="59" t="str">
        <x:v>SG</x:v>
      </x:c>
      <x:c r="L57" s="62" t="str">
        <x:v>Deep-pool model: 2025-26 custom-score production shrunk toward a conservative 2026-27 role estimate; not a published projection.</x:v>
      </x:c>
    </x:row>
    <x:row r="58" ht="20" customHeight="1">
      <x:c r="A58" s="59" t="n">
        <x:v>53</x:v>
      </x:c>
      <x:c r="B58" s="59" t="n">
        <x:v>254</x:v>
      </x:c>
      <x:c r="C58" s="59" t="str">
        <x:v>Jordan Poole</x:v>
      </x:c>
      <x:c r="D58" s="59" t="str">
        <x:v>NOP</x:v>
      </x:c>
      <x:c r="E58" s="58" t="n">
        <x:v>39</x:v>
      </x:c>
      <x:c r="F58" s="60" t="n">
        <x:v>20.25</x:v>
      </x:c>
      <x:c r="G58" s="60" t="n">
        <x:v>14.2</x:v>
      </x:c>
      <x:c r="H58" s="60" t="n">
        <x:v>21.2</x:v>
      </x:c>
      <x:c r="I58" s="58" t="n">
        <x:v>60</x:v>
      </x:c>
      <x:c r="J58" s="59" t="str">
        <x:v>DEEP</x:v>
      </x:c>
      <x:c r="K58" s="59" t="str">
        <x:v>SG</x:v>
      </x:c>
      <x:c r="L58" s="62" t="str">
        <x:v>Deep-pool model: 2025-26 custom-score production shrunk toward a conservative 2026-27 role estimate; not a published projection.</x:v>
      </x:c>
    </x:row>
    <x:row r="59" ht="20" customHeight="1">
      <x:c r="A59" s="59" t="n">
        <x:v>54</x:v>
      </x:c>
      <x:c r="B59" s="59" t="n">
        <x:v>265</x:v>
      </x:c>
      <x:c r="C59" s="59" t="str">
        <x:v>Cormac Ryan</x:v>
      </x:c>
      <x:c r="D59" s="59" t="str">
        <x:v>MIL</x:v>
      </x:c>
      <x:c r="E59" s="58" t="n">
        <x:v>11</x:v>
      </x:c>
      <x:c r="F59" s="60" t="n">
        <x:v>25</x:v>
      </x:c>
      <x:c r="G59" s="60" t="n">
        <x:v>12.250000000000002</x:v>
      </x:c>
      <x:c r="H59" s="60" t="n">
        <x:v>21.770000000000003</x:v>
      </x:c>
      <x:c r="I59" s="58" t="n">
        <x:v>64</x:v>
      </x:c>
      <x:c r="J59" s="59" t="str">
        <x:v>VERY_DEEP</x:v>
      </x:c>
      <x:c r="K59" s="59" t="str">
        <x:v>SG</x:v>
      </x:c>
      <x:c r="L59" s="62" t="str">
        <x:v>Very-deep model estimate with limited sample/role certainty. Use as a search/watch-list value and refresh once final rotations are known.</x:v>
      </x:c>
    </x:row>
    <x:row r="60" ht="20" customHeight="1">
      <x:c r="A60" s="59" t="n">
        <x:v>55</x:v>
      </x:c>
      <x:c r="B60" s="59" t="n">
        <x:v>270</x:v>
      </x:c>
      <x:c r="C60" s="59" t="str">
        <x:v>Bez Mbeng</x:v>
      </x:c>
      <x:c r="D60" s="59" t="str">
        <x:v>UTA</x:v>
      </x:c>
      <x:c r="E60" s="58" t="n">
        <x:v>15</x:v>
      </x:c>
      <x:c r="F60" s="60" t="n">
        <x:v>23.3</x:v>
      </x:c>
      <x:c r="G60" s="60" t="n">
        <x:v>12.119999999999997</x:v>
      </x:c>
      <x:c r="H60" s="60" t="n">
        <x:v>21.54</x:v>
      </x:c>
      <x:c r="I60" s="58" t="n">
        <x:v>64</x:v>
      </x:c>
      <x:c r="J60" s="59" t="str">
        <x:v>VERY_DEEP</x:v>
      </x:c>
      <x:c r="K60" s="59" t="str">
        <x:v>SG</x:v>
      </x:c>
      <x:c r="L60" s="62" t="str">
        <x:v>Very-deep model estimate with limited sample/role certainty. Use as a search/watch-list value and refresh once final rotations are known.</x:v>
      </x:c>
    </x:row>
    <x:row r="61" ht="20" customHeight="1">
      <x:c r="A61" s="59" t="n">
        <x:v>56</x:v>
      </x:c>
      <x:c r="B61" s="59" t="n">
        <x:v>272</x:v>
      </x:c>
      <x:c r="C61" s="59" t="str">
        <x:v>Isaac Okoro</x:v>
      </x:c>
      <x:c r="D61" s="59" t="str">
        <x:v>CHI</x:v>
      </x:c>
      <x:c r="E61" s="58" t="n">
        <x:v>63</x:v>
      </x:c>
      <x:c r="F61" s="60" t="n">
        <x:v>18.85</x:v>
      </x:c>
      <x:c r="G61" s="60" t="n">
        <x:v>13.420000000000002</x:v>
      </x:c>
      <x:c r="H61" s="60" t="n">
        <x:v>20.42</x:v>
      </x:c>
      <x:c r="I61" s="58" t="n">
        <x:v>60</x:v>
      </x:c>
      <x:c r="J61" s="59" t="str">
        <x:v>DEEP</x:v>
      </x:c>
      <x:c r="K61" s="59" t="str">
        <x:v>SG</x:v>
      </x:c>
      <x:c r="L61" s="62" t="str">
        <x:v>Deep-pool model: 2025-26 custom-score production shrunk toward a conservative 2026-27 role estimate; not a published projection.</x:v>
      </x:c>
    </x:row>
    <x:row r="62" ht="20" customHeight="1">
      <x:c r="A62" s="59" t="n">
        <x:v>57</x:v>
      </x:c>
      <x:c r="B62" s="59" t="n">
        <x:v>278</x:v>
      </x:c>
      <x:c r="C62" s="59" t="str">
        <x:v>AJ Green</x:v>
      </x:c>
      <x:c r="D62" s="59" t="str">
        <x:v>MIL</x:v>
      </x:c>
      <x:c r="E62" s="58" t="n">
        <x:v>78</x:v>
      </x:c>
      <x:c r="F62" s="60" t="n">
        <x:v>18.4</x:v>
      </x:c>
      <x:c r="G62" s="60" t="n">
        <x:v>12.969999999999999</x:v>
      </x:c>
      <x:c r="H62" s="60" t="n">
        <x:v>19.97</x:v>
      </x:c>
      <x:c r="I62" s="58" t="n">
        <x:v>60</x:v>
      </x:c>
      <x:c r="J62" s="59" t="str">
        <x:v>DEEP</x:v>
      </x:c>
      <x:c r="K62" s="59" t="str">
        <x:v>SG</x:v>
      </x:c>
      <x:c r="L62" s="62" t="str">
        <x:v>Deep-pool model: 2025-26 custom-score production shrunk toward a conservative 2026-27 role estimate; not a published projection.</x:v>
      </x:c>
    </x:row>
    <x:row r="63" ht="20" customHeight="1">
      <x:c r="A63" s="59" t="n">
        <x:v>58</x:v>
      </x:c>
      <x:c r="B63" s="59" t="n">
        <x:v>285</x:v>
      </x:c>
      <x:c r="C63" s="59" t="str">
        <x:v>Terance Mann</x:v>
      </x:c>
      <x:c r="D63" s="59" t="str">
        <x:v>BKN</x:v>
      </x:c>
      <x:c r="E63" s="58" t="n">
        <x:v>63</x:v>
      </x:c>
      <x:c r="F63" s="60" t="n">
        <x:v>17.8</x:v>
      </x:c>
      <x:c r="G63" s="60" t="n">
        <x:v>12.73</x:v>
      </x:c>
      <x:c r="H63" s="60" t="n">
        <x:v>19.73</x:v>
      </x:c>
      <x:c r="I63" s="58" t="n">
        <x:v>60</x:v>
      </x:c>
      <x:c r="J63" s="59" t="str">
        <x:v>DEEP</x:v>
      </x:c>
      <x:c r="K63" s="59" t="str">
        <x:v>SG</x:v>
      </x:c>
      <x:c r="L63" s="62" t="str">
        <x:v>Deep-pool model: 2025-26 custom-score production shrunk toward a conservative 2026-27 role estimate; not a published projection.</x:v>
      </x:c>
    </x:row>
    <x:row r="64" ht="20" customHeight="1">
      <x:c r="A64" s="59" t="n">
        <x:v>59</x:v>
      </x:c>
      <x:c r="B64" s="59" t="n">
        <x:v>296</x:v>
      </x:c>
      <x:c r="C64" s="59" t="str">
        <x:v>Cameron Carr</x:v>
      </x:c>
      <x:c r="D64" s="59" t="str">
        <x:v>LAL</x:v>
      </x:c>
      <x:c r="E64" s="58"/>
      <x:c r="F64" s="60"/>
      <x:c r="G64" s="60" t="n">
        <x:v>11.419999999999998</x:v>
      </x:c>
      <x:c r="H64" s="60" t="n">
        <x:v>20.3</x:v>
      </x:c>
      <x:c r="I64" s="58" t="n">
        <x:v>55</x:v>
      </x:c>
      <x:c r="J64" s="59" t="str">
        <x:v>VERY_DEEP</x:v>
      </x:c>
      <x:c r="K64" s="59" t="str">
        <x:v>SG</x:v>
      </x:c>
      <x:c r="L64" s="62" t="str">
        <x:v>Rookie/depth role estimate with a wide band and limited NBA evidence. Treat as a watch-list projection, not a published forecast.</x:v>
      </x:c>
    </x:row>
    <x:row r="65" ht="20" customHeight="1">
      <x:c r="A65" s="59" t="n">
        <x:v>60</x:v>
      </x:c>
      <x:c r="B65" s="59" t="n">
        <x:v>297</x:v>
      </x:c>
      <x:c r="C65" s="59" t="str">
        <x:v>Kadary Richmond</x:v>
      </x:c>
      <x:c r="D65" s="59" t="str">
        <x:v>WAS</x:v>
      </x:c>
      <x:c r="E65" s="58" t="n">
        <x:v>3</x:v>
      </x:c>
      <x:c r="F65" s="60" t="n">
        <x:v>23.7</x:v>
      </x:c>
      <x:c r="G65" s="60" t="n">
        <x:v>11.21</x:v>
      </x:c>
      <x:c r="H65" s="60" t="n">
        <x:v>19.93</x:v>
      </x:c>
      <x:c r="I65" s="58" t="n">
        <x:v>64</x:v>
      </x:c>
      <x:c r="J65" s="59" t="str">
        <x:v>VERY_DEEP</x:v>
      </x:c>
      <x:c r="K65" s="59" t="str">
        <x:v>SG</x:v>
      </x:c>
      <x:c r="L65" s="62" t="str">
        <x:v>Very-deep model estimate with limited sample/role certainty. Use as a search/watch-list value and refresh once final rotations are known.</x:v>
      </x:c>
    </x:row>
    <x:row r="66" ht="20" customHeight="1">
      <x:c r="A66" s="59" t="n">
        <x:v>61</x:v>
      </x:c>
      <x:c r="B66" s="59" t="n">
        <x:v>302</x:v>
      </x:c>
      <x:c r="C66" s="59" t="str">
        <x:v>Luguentz Dort</x:v>
      </x:c>
      <x:c r="D66" s="59" t="str">
        <x:v>ATL</x:v>
      </x:c>
      <x:c r="E66" s="58" t="n">
        <x:v>69</x:v>
      </x:c>
      <x:c r="F66" s="60" t="n">
        <x:v>16.6</x:v>
      </x:c>
      <x:c r="G66" s="60" t="n">
        <x:v>11.83</x:v>
      </x:c>
      <x:c r="H66" s="60" t="n">
        <x:v>18.83</x:v>
      </x:c>
      <x:c r="I66" s="58" t="n">
        <x:v>60</x:v>
      </x:c>
      <x:c r="J66" s="59" t="str">
        <x:v>DEEP</x:v>
      </x:c>
      <x:c r="K66" s="59" t="str">
        <x:v>SG</x:v>
      </x:c>
      <x:c r="L66" s="62" t="str">
        <x:v>Deep-pool model: 2025-26 custom-score production shrunk toward a conservative 2026-27 role estimate; not a published projection.</x:v>
      </x:c>
    </x:row>
    <x:row r="67" ht="20" customHeight="1">
      <x:c r="A67" s="59" t="n">
        <x:v>62</x:v>
      </x:c>
      <x:c r="B67" s="59" t="n">
        <x:v>305</x:v>
      </x:c>
      <x:c r="C67" s="59" t="str">
        <x:v>Luke Kennard</x:v>
      </x:c>
      <x:c r="D67" s="59" t="str">
        <x:v>PHX</x:v>
      </x:c>
      <x:c r="E67" s="58" t="n">
        <x:v>78</x:v>
      </x:c>
      <x:c r="F67" s="60" t="n">
        <x:v>17.25</x:v>
      </x:c>
      <x:c r="G67" s="60" t="n">
        <x:v>11.75</x:v>
      </x:c>
      <x:c r="H67" s="60" t="n">
        <x:v>18.75</x:v>
      </x:c>
      <x:c r="I67" s="58" t="n">
        <x:v>60</x:v>
      </x:c>
      <x:c r="J67" s="59" t="str">
        <x:v>DEEP</x:v>
      </x:c>
      <x:c r="K67" s="59" t="str">
        <x:v>SG</x:v>
      </x:c>
      <x:c r="L67" s="62" t="str">
        <x:v>Deep-pool model: 2025-26 custom-score production shrunk toward a conservative 2026-27 role estimate; not a published projection.</x:v>
      </x:c>
    </x:row>
    <x:row r="68" ht="20" customHeight="1">
      <x:c r="A68" s="59" t="n">
        <x:v>63</x:v>
      </x:c>
      <x:c r="B68" s="59" t="n">
        <x:v>306</x:v>
      </x:c>
      <x:c r="C68" s="59" t="str">
        <x:v>Shaedon Sharpe</x:v>
      </x:c>
      <x:c r="D68" s="59" t="str">
        <x:v>POR</x:v>
      </x:c>
      <x:c r="E68" s="58" t="n">
        <x:v>50</x:v>
      </x:c>
      <x:c r="F68" s="60" t="n">
        <x:v>30.750000000000004</x:v>
      </x:c>
      <x:c r="G68" s="60" t="n">
        <x:v>13.020038530670725</x:v>
      </x:c>
      <x:c r="H68" s="60" t="n">
        <x:v>29.020038530670725</x:v>
      </x:c>
      <x:c r="I68" s="58" t="n">
        <x:v>18</x:v>
      </x:c>
      <x:c r="J68" s="59" t="str">
        <x:v>HIGH</x:v>
      </x:c>
      <x:c r="K68" s="59" t="str">
        <x:v>PG/SF/SG</x:v>
      </x:c>
      <x:c r="L68" s="62" t="str">
        <x:v>Long-term knee recovery remains a major availability issue. Late IR stash only.</x:v>
      </x:c>
    </x:row>
    <x:row r="69" ht="20" customHeight="1">
      <x:c r="A69" s="59" t="n">
        <x:v>64</x:v>
      </x:c>
      <x:c r="B69" s="59" t="n">
        <x:v>308</x:v>
      </x:c>
      <x:c r="C69" s="59" t="str">
        <x:v>Ja'Kobe Walter</x:v>
      </x:c>
      <x:c r="D69" s="59" t="str">
        <x:v>TOR</x:v>
      </x:c>
      <x:c r="E69" s="58" t="n">
        <x:v>72</x:v>
      </x:c>
      <x:c r="F69" s="60" t="n">
        <x:v>16.4</x:v>
      </x:c>
      <x:c r="G69" s="60" t="n">
        <x:v>11.6</x:v>
      </x:c>
      <x:c r="H69" s="60" t="n">
        <x:v>18.6</x:v>
      </x:c>
      <x:c r="I69" s="58" t="n">
        <x:v>60</x:v>
      </x:c>
      <x:c r="J69" s="59" t="str">
        <x:v>DEEP</x:v>
      </x:c>
      <x:c r="K69" s="59" t="str">
        <x:v>SG</x:v>
      </x:c>
      <x:c r="L69" s="62" t="str">
        <x:v>Deep-pool model: 2025-26 custom-score production shrunk toward a conservative 2026-27 role estimate; not a published projection.</x:v>
      </x:c>
    </x:row>
    <x:row r="70" ht="20" customHeight="1">
      <x:c r="A70" s="59" t="n">
        <x:v>65</x:v>
      </x:c>
      <x:c r="B70" s="59" t="n">
        <x:v>325</x:v>
      </x:c>
      <x:c r="C70" s="59" t="str">
        <x:v>Landry Shamet</x:v>
      </x:c>
      <x:c r="D70" s="59" t="str">
        <x:v>NYK</x:v>
      </x:c>
      <x:c r="E70" s="58" t="n">
        <x:v>51</x:v>
      </x:c>
      <x:c r="F70" s="60" t="n">
        <x:v>16.3</x:v>
      </x:c>
      <x:c r="G70" s="60" t="n">
        <x:v>10.73</x:v>
      </x:c>
      <x:c r="H70" s="60" t="n">
        <x:v>17.73</x:v>
      </x:c>
      <x:c r="I70" s="58" t="n">
        <x:v>60</x:v>
      </x:c>
      <x:c r="J70" s="59" t="str">
        <x:v>DEEP</x:v>
      </x:c>
      <x:c r="K70" s="59" t="str">
        <x:v>SG</x:v>
      </x:c>
      <x:c r="L70" s="62" t="str">
        <x:v>Deep-pool model: 2025-26 custom-score production shrunk toward a conservative 2026-27 role estimate; not a published projection.</x:v>
      </x:c>
    </x:row>
    <x:row r="71" ht="20" customHeight="1">
      <x:c r="A71" s="59" t="n">
        <x:v>66</x:v>
      </x:c>
      <x:c r="B71" s="59" t="n">
        <x:v>331</x:v>
      </x:c>
      <x:c r="C71" s="59" t="str">
        <x:v>Javonte Green</x:v>
      </x:c>
      <x:c r="D71" s="59" t="str">
        <x:v>DET</x:v>
      </x:c>
      <x:c r="E71" s="58" t="n">
        <x:v>82</x:v>
      </x:c>
      <x:c r="F71" s="60" t="n">
        <x:v>16</x:v>
      </x:c>
      <x:c r="G71" s="60" t="n">
        <x:v>10.49</x:v>
      </x:c>
      <x:c r="H71" s="60" t="n">
        <x:v>17.490000000000002</x:v>
      </x:c>
      <x:c r="I71" s="58" t="n">
        <x:v>60</x:v>
      </x:c>
      <x:c r="J71" s="59" t="str">
        <x:v>DEEP</x:v>
      </x:c>
      <x:c r="K71" s="59" t="str">
        <x:v>SG</x:v>
      </x:c>
      <x:c r="L71" s="62" t="str">
        <x:v>Deep-pool model: 2025-26 custom-score production shrunk toward a conservative 2026-27 role estimate; not a published projection.</x:v>
      </x:c>
    </x:row>
    <x:row r="72" ht="20" customHeight="1">
      <x:c r="A72" s="59" t="n">
        <x:v>67</x:v>
      </x:c>
      <x:c r="B72" s="59" t="n">
        <x:v>333</x:v>
      </x:c>
      <x:c r="C72" s="59" t="str">
        <x:v>Alex Caruso</x:v>
      </x:c>
      <x:c r="D72" s="59" t="str">
        <x:v>OKC</x:v>
      </x:c>
      <x:c r="E72" s="58" t="n">
        <x:v>56</x:v>
      </x:c>
      <x:c r="F72" s="60" t="n">
        <x:v>14.85</x:v>
      </x:c>
      <x:c r="G72" s="60" t="n">
        <x:v>10.47</x:v>
      </x:c>
      <x:c r="H72" s="60" t="n">
        <x:v>17.47</x:v>
      </x:c>
      <x:c r="I72" s="58" t="n">
        <x:v>60</x:v>
      </x:c>
      <x:c r="J72" s="59" t="str">
        <x:v>DEEP</x:v>
      </x:c>
      <x:c r="K72" s="59" t="str">
        <x:v>SG</x:v>
      </x:c>
      <x:c r="L72" s="62" t="str">
        <x:v>Deep-pool model: 2025-26 custom-score production shrunk toward a conservative 2026-27 role estimate; not a published projection.</x:v>
      </x:c>
    </x:row>
    <x:row r="73" ht="20" customHeight="1">
      <x:c r="A73" s="59" t="n">
        <x:v>68</x:v>
      </x:c>
      <x:c r="B73" s="59" t="n">
        <x:v>336</x:v>
      </x:c>
      <x:c r="C73" s="59" t="str">
        <x:v>Dru Smith</x:v>
      </x:c>
      <x:c r="D73" s="59" t="str">
        <x:v>MIA</x:v>
      </x:c>
      <x:c r="E73" s="58" t="n">
        <x:v>70</x:v>
      </x:c>
      <x:c r="F73" s="60" t="n">
        <x:v>16.05</x:v>
      </x:c>
      <x:c r="G73" s="60" t="n">
        <x:v>10.3</x:v>
      </x:c>
      <x:c r="H73" s="60" t="n">
        <x:v>17.3</x:v>
      </x:c>
      <x:c r="I73" s="58" t="n">
        <x:v>60</x:v>
      </x:c>
      <x:c r="J73" s="59" t="str">
        <x:v>DEEP</x:v>
      </x:c>
      <x:c r="K73" s="59" t="str">
        <x:v>SG</x:v>
      </x:c>
      <x:c r="L73" s="62" t="str">
        <x:v>Deep-pool model: 2025-26 custom-score production shrunk toward a conservative 2026-27 role estimate; not a published projection.</x:v>
      </x:c>
    </x:row>
    <x:row r="74" ht="20" customHeight="1">
      <x:c r="A74" s="59" t="n">
        <x:v>69</x:v>
      </x:c>
      <x:c r="B74" s="59" t="n">
        <x:v>342</x:v>
      </x:c>
      <x:c r="C74" s="59" t="str">
        <x:v>Kentavious Caldwell-Pope</x:v>
      </x:c>
      <x:c r="D74" s="59" t="str">
        <x:v>PHI</x:v>
      </x:c>
      <x:c r="E74" s="58" t="n">
        <x:v>51</x:v>
      </x:c>
      <x:c r="F74" s="60" t="n">
        <x:v>16.15</x:v>
      </x:c>
      <x:c r="G74" s="60" t="n">
        <x:v>10.16</x:v>
      </x:c>
      <x:c r="H74" s="60" t="n">
        <x:v>17.16</x:v>
      </x:c>
      <x:c r="I74" s="58" t="n">
        <x:v>60</x:v>
      </x:c>
      <x:c r="J74" s="59" t="str">
        <x:v>DEEP</x:v>
      </x:c>
      <x:c r="K74" s="59" t="str">
        <x:v>SG</x:v>
      </x:c>
      <x:c r="L74" s="62" t="str">
        <x:v>Deep-pool model: 2025-26 custom-score production shrunk toward a conservative 2026-27 role estimate; not a published projection.</x:v>
      </x:c>
    </x:row>
    <x:row r="75" ht="20" customHeight="1">
      <x:c r="A75" s="59" t="n">
        <x:v>70</x:v>
      </x:c>
      <x:c r="B75" s="59" t="n">
        <x:v>347</x:v>
      </x:c>
      <x:c r="C75" s="59" t="str">
        <x:v>Sergio de Larrea</x:v>
      </x:c>
      <x:c r="D75" s="59" t="str">
        <x:v>DAL</x:v>
      </x:c>
      <x:c r="E75" s="58"/>
      <x:c r="F75" s="60"/>
      <x:c r="G75" s="60" t="n">
        <x:v>7.985000000000001</x:v>
      </x:c>
      <x:c r="H75" s="60" t="n">
        <x:v>18.634999999999998</x:v>
      </x:c>
      <x:c r="I75" s="58" t="n">
        <x:v>60</x:v>
      </x:c>
      <x:c r="J75" s="59" t="str">
        <x:v>WATCH</x:v>
      </x:c>
      <x:c r="K75" s="59" t="str">
        <x:v>SG</x:v>
      </x:c>
      <x:c r="L75" s="62" t="str">
        <x:v>Rookie/depth role estimate with a wide band and limited NBA evidence. Treat as a watch-list projection, not a published forecast.</x:v>
      </x:c>
    </x:row>
    <x:row r="76" ht="20" customHeight="1">
      <x:c r="A76" s="59" t="n">
        <x:v>71</x:v>
      </x:c>
      <x:c r="B76" s="59" t="n">
        <x:v>351</x:v>
      </x:c>
      <x:c r="C76" s="59" t="str">
        <x:v>Aaron Wiggins</x:v>
      </x:c>
      <x:c r="D76" s="59" t="str">
        <x:v>ATL</x:v>
      </x:c>
      <x:c r="E76" s="58" t="n">
        <x:v>65</x:v>
      </x:c>
      <x:c r="F76" s="60" t="n">
        <x:v>17.25</x:v>
      </x:c>
      <x:c r="G76" s="60" t="n">
        <x:v>9.799999999999999</x:v>
      </x:c>
      <x:c r="H76" s="60" t="n">
        <x:v>17.42</x:v>
      </x:c>
      <x:c r="I76" s="58" t="n">
        <x:v>42</x:v>
      </x:c>
      <x:c r="J76" s="59" t="str">
        <x:v>VERY_DEEP</x:v>
      </x:c>
      <x:c r="K76" s="59" t="str">
        <x:v>SG</x:v>
      </x:c>
      <x:c r="L76" s="62" t="str">
        <x:v>Very-deep roster candidate. Non-guaranteed status and role uncertainty are discounted; verify final roster before draft use.</x:v>
      </x:c>
    </x:row>
    <x:row r="77" ht="20" customHeight="1">
      <x:c r="A77" s="59" t="n">
        <x:v>72</x:v>
      </x:c>
      <x:c r="B77" s="59" t="n">
        <x:v>356</x:v>
      </x:c>
      <x:c r="C77" s="59" t="str">
        <x:v>Will Richard</x:v>
      </x:c>
      <x:c r="D77" s="59" t="str">
        <x:v>GSW</x:v>
      </x:c>
      <x:c r="E77" s="58" t="n">
        <x:v>69</x:v>
      </x:c>
      <x:c r="F77" s="60" t="n">
        <x:v>15</x:v>
      </x:c>
      <x:c r="G77" s="60" t="n">
        <x:v>9.34</x:v>
      </x:c>
      <x:c r="H77" s="60" t="n">
        <x:v>16.34</x:v>
      </x:c>
      <x:c r="I77" s="58" t="n">
        <x:v>64</x:v>
      </x:c>
      <x:c r="J77" s="59" t="str">
        <x:v>DEEP</x:v>
      </x:c>
      <x:c r="K77" s="59" t="str">
        <x:v>SG</x:v>
      </x:c>
      <x:c r="L77" s="62" t="str">
        <x:v>Deep-pool model: 2025-26 custom-score production shrunk toward a conservative 2026-27 role estimate; not a published projection.</x:v>
      </x:c>
    </x:row>
    <x:row r="78" ht="20" customHeight="1">
      <x:c r="A78" s="59" t="n">
        <x:v>73</x:v>
      </x:c>
      <x:c r="B78" s="59" t="n">
        <x:v>357</x:v>
      </x:c>
      <x:c r="C78" s="59" t="str">
        <x:v>Bryce McGowens</x:v>
      </x:c>
      <x:c r="D78" s="59" t="str">
        <x:v>NOP</x:v>
      </x:c>
      <x:c r="E78" s="58" t="n">
        <x:v>42</x:v>
      </x:c>
      <x:c r="F78" s="60" t="n">
        <x:v>15.75</x:v>
      </x:c>
      <x:c r="G78" s="60" t="n">
        <x:v>9.45</x:v>
      </x:c>
      <x:c r="H78" s="60" t="n">
        <x:v>16.45</x:v>
      </x:c>
      <x:c r="I78" s="58" t="n">
        <x:v>60</x:v>
      </x:c>
      <x:c r="J78" s="59" t="str">
        <x:v>DEEP</x:v>
      </x:c>
      <x:c r="K78" s="59" t="str">
        <x:v>SG</x:v>
      </x:c>
      <x:c r="L78" s="62" t="str">
        <x:v>Deep-pool model: 2025-26 custom-score production shrunk toward a conservative 2026-27 role estimate; not a published projection.</x:v>
      </x:c>
    </x:row>
    <x:row r="79" ht="20" customHeight="1">
      <x:c r="A79" s="59" t="n">
        <x:v>74</x:v>
      </x:c>
      <x:c r="B79" s="59" t="n">
        <x:v>364</x:v>
      </x:c>
      <x:c r="C79" s="59" t="str">
        <x:v>Ben Saraf</x:v>
      </x:c>
      <x:c r="D79" s="59" t="str">
        <x:v>BKN</x:v>
      </x:c>
      <x:c r="E79" s="58" t="n">
        <x:v>44</x:v>
      </x:c>
      <x:c r="F79" s="60" t="n">
        <x:v>13.35</x:v>
      </x:c>
      <x:c r="G79" s="60" t="n">
        <x:v>8.57</x:v>
      </x:c>
      <x:c r="H79" s="60" t="n">
        <x:v>15.57</x:v>
      </x:c>
      <x:c r="I79" s="58" t="n">
        <x:v>64</x:v>
      </x:c>
      <x:c r="J79" s="59" t="str">
        <x:v>DEEP</x:v>
      </x:c>
      <x:c r="K79" s="59" t="str">
        <x:v>SG</x:v>
      </x:c>
      <x:c r="L79" s="62" t="str">
        <x:v>Deep-pool model: 2025-26 custom-score production shrunk toward a conservative 2026-27 role estimate; not a published projection.</x:v>
      </x:c>
    </x:row>
    <x:row r="80" ht="20" customHeight="1">
      <x:c r="A80" s="59" t="n">
        <x:v>75</x:v>
      </x:c>
      <x:c r="B80" s="59" t="n">
        <x:v>365</x:v>
      </x:c>
      <x:c r="C80" s="59" t="str">
        <x:v>Baylor Scheierman</x:v>
      </x:c>
      <x:c r="D80" s="59" t="str">
        <x:v>BOS</x:v>
      </x:c>
      <x:c r="E80" s="58" t="n">
        <x:v>77</x:v>
      </x:c>
      <x:c r="F80" s="60" t="n">
        <x:v>14</x:v>
      </x:c>
      <x:c r="G80" s="60" t="n">
        <x:v>8.67</x:v>
      </x:c>
      <x:c r="H80" s="60" t="n">
        <x:v>15.67</x:v>
      </x:c>
      <x:c r="I80" s="58" t="n">
        <x:v>60</x:v>
      </x:c>
      <x:c r="J80" s="59" t="str">
        <x:v>DEEP</x:v>
      </x:c>
      <x:c r="K80" s="59" t="str">
        <x:v>SG</x:v>
      </x:c>
      <x:c r="L80" s="62" t="str">
        <x:v>Deep-pool model: 2025-26 custom-score production shrunk toward a conservative 2026-27 role estimate; not a published projection.</x:v>
      </x:c>
    </x:row>
    <x:row r="81" ht="20" customHeight="1">
      <x:c r="A81" s="59" t="n">
        <x:v>76</x:v>
      </x:c>
      <x:c r="B81" s="59" t="n">
        <x:v>377</x:v>
      </x:c>
      <x:c r="C81" s="59" t="str">
        <x:v>Jaden Hardy</x:v>
      </x:c>
      <x:c r="D81" s="59" t="str">
        <x:v>LAL</x:v>
      </x:c>
      <x:c r="E81" s="58" t="n">
        <x:v>57</x:v>
      </x:c>
      <x:c r="F81" s="60" t="n">
        <x:v>12.75</x:v>
      </x:c>
      <x:c r="G81" s="60" t="n">
        <x:v>8.1</x:v>
      </x:c>
      <x:c r="H81" s="60" t="n">
        <x:v>15.1</x:v>
      </x:c>
      <x:c r="I81" s="58" t="n">
        <x:v>60</x:v>
      </x:c>
      <x:c r="J81" s="59" t="str">
        <x:v>DEEP</x:v>
      </x:c>
      <x:c r="K81" s="59" t="str">
        <x:v>SG</x:v>
      </x:c>
      <x:c r="L81" s="62" t="str">
        <x:v>Deep-pool model: 2025-26 custom-score production shrunk toward a conservative 2026-27 role estimate; not a published projection.</x:v>
      </x:c>
    </x:row>
    <x:row r="82" ht="20" customHeight="1">
      <x:c r="A82" s="59" t="n">
        <x:v>77</x:v>
      </x:c>
      <x:c r="B82" s="59" t="n">
        <x:v>379</x:v>
      </x:c>
      <x:c r="C82" s="59" t="str">
        <x:v>Johnny Furphy</x:v>
      </x:c>
      <x:c r="D82" s="59" t="str">
        <x:v>IND</x:v>
      </x:c>
      <x:c r="E82" s="58" t="n">
        <x:v>35</x:v>
      </x:c>
      <x:c r="F82" s="60" t="n">
        <x:v>13.4</x:v>
      </x:c>
      <x:c r="G82" s="60" t="n">
        <x:v>8.09</x:v>
      </x:c>
      <x:c r="H82" s="60" t="n">
        <x:v>15.09</x:v>
      </x:c>
      <x:c r="I82" s="58" t="n">
        <x:v>60</x:v>
      </x:c>
      <x:c r="J82" s="59" t="str">
        <x:v>DEEP</x:v>
      </x:c>
      <x:c r="K82" s="59" t="str">
        <x:v>SG</x:v>
      </x:c>
      <x:c r="L82" s="62" t="str">
        <x:v>Deep-pool model: 2025-26 custom-score production shrunk toward a conservative 2026-27 role estimate; not a published projection.</x:v>
      </x:c>
    </x:row>
    <x:row r="83" ht="20" customHeight="1">
      <x:c r="A83" s="59" t="n">
        <x:v>78</x:v>
      </x:c>
      <x:c r="B83" s="59" t="n">
        <x:v>380</x:v>
      </x:c>
      <x:c r="C83" s="59" t="str">
        <x:v>Emanuel Sharp</x:v>
      </x:c>
      <x:c r="D83" s="59" t="str">
        <x:v>SAC</x:v>
      </x:c>
      <x:c r="E83" s="58"/>
      <x:c r="F83" s="60"/>
      <x:c r="G83" s="60" t="n">
        <x:v>8.2</x:v>
      </x:c>
      <x:c r="H83" s="60" t="n">
        <x:v>15.2</x:v>
      </x:c>
      <x:c r="I83" s="58" t="n">
        <x:v>55</x:v>
      </x:c>
      <x:c r="J83" s="59" t="str">
        <x:v>VERY_DEEP</x:v>
      </x:c>
      <x:c r="K83" s="59" t="str">
        <x:v>SG</x:v>
      </x:c>
      <x:c r="L83" s="62" t="str">
        <x:v>Rookie/depth role estimate with a wide band and limited NBA evidence. Treat as a watch-list projection, not a published forecast.</x:v>
      </x:c>
    </x:row>
    <x:row r="84" ht="20" customHeight="1">
      <x:c r="A84" s="59" t="n">
        <x:v>79</x:v>
      </x:c>
      <x:c r="B84" s="59" t="n">
        <x:v>383</x:v>
      </x:c>
      <x:c r="C84" s="59" t="str">
        <x:v>Ryan Conwell</x:v>
      </x:c>
      <x:c r="D84" s="59" t="str">
        <x:v>MIA</x:v>
      </x:c>
      <x:c r="E84" s="58"/>
      <x:c r="F84" s="60"/>
      <x:c r="G84" s="60" t="n">
        <x:v>8.2</x:v>
      </x:c>
      <x:c r="H84" s="60" t="n">
        <x:v>15.2</x:v>
      </x:c>
      <x:c r="I84" s="58" t="n">
        <x:v>55</x:v>
      </x:c>
      <x:c r="J84" s="59" t="str">
        <x:v>VERY_DEEP</x:v>
      </x:c>
      <x:c r="K84" s="59" t="str">
        <x:v>SG</x:v>
      </x:c>
      <x:c r="L84" s="62" t="str">
        <x:v>Rookie/depth role estimate with a wide band and limited NBA evidence. Treat as a watch-list projection, not a published forecast.</x:v>
      </x:c>
    </x:row>
    <x:row r="85" ht="20" customHeight="1">
      <x:c r="A85" s="59" t="n">
        <x:v>80</x:v>
      </x:c>
      <x:c r="B85" s="59" t="n">
        <x:v>384</x:v>
      </x:c>
      <x:c r="C85" s="59" t="str">
        <x:v>Matisse Thybulle</x:v>
      </x:c>
      <x:c r="D85" s="59" t="str">
        <x:v>LAL</x:v>
      </x:c>
      <x:c r="E85" s="58" t="n">
        <x:v>30</x:v>
      </x:c>
      <x:c r="F85" s="60" t="n">
        <x:v>14.4</x:v>
      </x:c>
      <x:c r="G85" s="60" t="n">
        <x:v>7.869999999999999</x:v>
      </x:c>
      <x:c r="H85" s="60" t="n">
        <x:v>14.87</x:v>
      </x:c>
      <x:c r="I85" s="58" t="n">
        <x:v>60</x:v>
      </x:c>
      <x:c r="J85" s="59" t="str">
        <x:v>DEEP</x:v>
      </x:c>
      <x:c r="K85" s="59" t="str">
        <x:v>SG</x:v>
      </x:c>
      <x:c r="L85" s="62" t="str">
        <x:v>Deep-pool model: 2025-26 custom-score production shrunk toward a conservative 2026-27 role estimate; not a published projection.</x:v>
      </x:c>
    </x:row>
    <x:row r="86" ht="20" customHeight="1">
      <x:c r="A86" s="59" t="n">
        <x:v>81</x:v>
      </x:c>
      <x:c r="B86" s="59" t="n">
        <x:v>387</x:v>
      </x:c>
      <x:c r="C86" s="59" t="str">
        <x:v>Justin Edwards</x:v>
      </x:c>
      <x:c r="D86" s="59" t="str">
        <x:v>PHI</x:v>
      </x:c>
      <x:c r="E86" s="58" t="n">
        <x:v>64</x:v>
      </x:c>
      <x:c r="F86" s="60" t="n">
        <x:v>11.75</x:v>
      </x:c>
      <x:c r="G86" s="60" t="n">
        <x:v>7.57</x:v>
      </x:c>
      <x:c r="H86" s="60" t="n">
        <x:v>14.57</x:v>
      </x:c>
      <x:c r="I86" s="58" t="n">
        <x:v>60</x:v>
      </x:c>
      <x:c r="J86" s="59" t="str">
        <x:v>DEEP</x:v>
      </x:c>
      <x:c r="K86" s="59" t="str">
        <x:v>SG</x:v>
      </x:c>
      <x:c r="L86" s="62" t="str">
        <x:v>Deep-pool model: 2025-26 custom-score production shrunk toward a conservative 2026-27 role estimate; not a published projection.</x:v>
      </x:c>
    </x:row>
    <x:row r="87" ht="20" customHeight="1">
      <x:c r="A87" s="59" t="n">
        <x:v>82</x:v>
      </x:c>
      <x:c r="B87" s="59" t="n">
        <x:v>390</x:v>
      </x:c>
      <x:c r="C87" s="59" t="str">
        <x:v>Sidy Cissoko</x:v>
      </x:c>
      <x:c r="D87" s="59" t="str">
        <x:v>POR</x:v>
      </x:c>
      <x:c r="E87" s="58" t="n">
        <x:v>75</x:v>
      </x:c>
      <x:c r="F87" s="60" t="n">
        <x:v>11.5</x:v>
      </x:c>
      <x:c r="G87" s="60" t="n">
        <x:v>7.390000000000001</x:v>
      </x:c>
      <x:c r="H87" s="60" t="n">
        <x:v>14.39</x:v>
      </x:c>
      <x:c r="I87" s="58" t="n">
        <x:v>60</x:v>
      </x:c>
      <x:c r="J87" s="59" t="str">
        <x:v>DEEP</x:v>
      </x:c>
      <x:c r="K87" s="59" t="str">
        <x:v>SG</x:v>
      </x:c>
      <x:c r="L87" s="62" t="str">
        <x:v>Deep-pool model: 2025-26 custom-score production shrunk toward a conservative 2026-27 role estimate; not a published projection.</x:v>
      </x:c>
    </x:row>
    <x:row r="88" ht="20" customHeight="1">
      <x:c r="A88" s="59" t="n">
        <x:v>83</x:v>
      </x:c>
      <x:c r="B88" s="59" t="n">
        <x:v>393</x:v>
      </x:c>
      <x:c r="C88" s="59" t="str">
        <x:v>Josh Okogie</x:v>
      </x:c>
      <x:c r="D88" s="59" t="str">
        <x:v>UTA</x:v>
      </x:c>
      <x:c r="E88" s="58" t="n">
        <x:v>78</x:v>
      </x:c>
      <x:c r="F88" s="60" t="n">
        <x:v>11.65</x:v>
      </x:c>
      <x:c r="G88" s="60" t="n">
        <x:v>7.210000000000001</x:v>
      </x:c>
      <x:c r="H88" s="60" t="n">
        <x:v>14.21</x:v>
      </x:c>
      <x:c r="I88" s="58" t="n">
        <x:v>60</x:v>
      </x:c>
      <x:c r="J88" s="59" t="str">
        <x:v>DEEP</x:v>
      </x:c>
      <x:c r="K88" s="59" t="str">
        <x:v>SG</x:v>
      </x:c>
      <x:c r="L88" s="62" t="str">
        <x:v>Deep-pool model: 2025-26 custom-score production shrunk toward a conservative 2026-27 role estimate; not a published projection.</x:v>
      </x:c>
    </x:row>
    <x:row r="89" ht="20" customHeight="1">
      <x:c r="A89" s="59" t="n">
        <x:v>84</x:v>
      </x:c>
      <x:c r="B89" s="59" t="n">
        <x:v>400</x:v>
      </x:c>
      <x:c r="C89" s="59" t="str">
        <x:v>Jahmai Mashack</x:v>
      </x:c>
      <x:c r="D89" s="59" t="str">
        <x:v>MEM</x:v>
      </x:c>
      <x:c r="E89" s="58" t="n">
        <x:v>31</x:v>
      </x:c>
      <x:c r="F89" s="60" t="n">
        <x:v>12.85</x:v>
      </x:c>
      <x:c r="G89" s="60" t="n">
        <x:v>6.800000000000001</x:v>
      </x:c>
      <x:c r="H89" s="60" t="n">
        <x:v>13.8</x:v>
      </x:c>
      <x:c r="I89" s="58" t="n">
        <x:v>64</x:v>
      </x:c>
      <x:c r="J89" s="59" t="str">
        <x:v>DEEP</x:v>
      </x:c>
      <x:c r="K89" s="59" t="str">
        <x:v>SG</x:v>
      </x:c>
      <x:c r="L89" s="62" t="str">
        <x:v>Deep-pool model: 2025-26 custom-score production shrunk toward a conservative 2026-27 role estimate; not a published projection.</x:v>
      </x:c>
    </x:row>
    <x:row r="90" ht="20" customHeight="1">
      <x:c r="A90" s="59" t="n">
        <x:v>85</x:v>
      </x:c>
      <x:c r="B90" s="59" t="n">
        <x:v>406</x:v>
      </x:c>
      <x:c r="C90" s="59" t="str">
        <x:v>Josh Green</x:v>
      </x:c>
      <x:c r="D90" s="59" t="str">
        <x:v>UTA</x:v>
      </x:c>
      <x:c r="E90" s="58" t="n">
        <x:v>58</x:v>
      </x:c>
      <x:c r="F90" s="60" t="n">
        <x:v>10.05</x:v>
      </x:c>
      <x:c r="G90" s="60" t="n">
        <x:v>6.42</x:v>
      </x:c>
      <x:c r="H90" s="60" t="n">
        <x:v>13.42</x:v>
      </x:c>
      <x:c r="I90" s="58" t="n">
        <x:v>60</x:v>
      </x:c>
      <x:c r="J90" s="59" t="str">
        <x:v>DEEP</x:v>
      </x:c>
      <x:c r="K90" s="59" t="str">
        <x:v>SG</x:v>
      </x:c>
      <x:c r="L90" s="62" t="str">
        <x:v>Deep-pool model: 2025-26 custom-score production shrunk toward a conservative 2026-27 role estimate; not a published projection.</x:v>
      </x:c>
    </x:row>
    <x:row r="91" ht="20" customHeight="1">
      <x:c r="A91" s="59" t="n">
        <x:v>86</x:v>
      </x:c>
      <x:c r="B91" s="59" t="n">
        <x:v>407</x:v>
      </x:c>
      <x:c r="C91" s="59" t="str">
        <x:v>Cameron Christie</x:v>
      </x:c>
      <x:c r="D91" s="59" t="str">
        <x:v>LAC</x:v>
      </x:c>
      <x:c r="E91" s="58"/>
      <x:c r="F91" s="60"/>
      <x:c r="G91" s="60" t="n">
        <x:v>5.925000000000001</x:v>
      </x:c>
      <x:c r="H91" s="60" t="n">
        <x:v>13.835</x:v>
      </x:c>
      <x:c r="I91" s="58" t="n">
        <x:v>60</x:v>
      </x:c>
      <x:c r="J91" s="59" t="str">
        <x:v>WATCH</x:v>
      </x:c>
      <x:c r="K91" s="59" t="str">
        <x:v>SG</x:v>
      </x:c>
      <x:c r="L91" s="62" t="str">
        <x:v>Rookie/depth role estimate with a wide band and limited NBA evidence. Treat as a watch-list projection, not a published forecast.</x:v>
      </x:c>
    </x:row>
    <x:row r="92" ht="20" customHeight="1">
      <x:c r="A92" s="59" t="n">
        <x:v>87</x:v>
      </x:c>
      <x:c r="B92" s="59" t="n">
        <x:v>410</x:v>
      </x:c>
      <x:c r="C92" s="59" t="str">
        <x:v>Bogdan Bogdanovic</x:v>
      </x:c>
      <x:c r="D92" s="59" t="str">
        <x:v>HOU</x:v>
      </x:c>
      <x:c r="E92" s="58" t="n">
        <x:v>23</x:v>
      </x:c>
      <x:c r="F92" s="60" t="n">
        <x:v>13.15</x:v>
      </x:c>
      <x:c r="G92" s="60" t="n">
        <x:v>5.98</x:v>
      </x:c>
      <x:c r="H92" s="60" t="n">
        <x:v>12.98</x:v>
      </x:c>
      <x:c r="I92" s="58" t="n">
        <x:v>60</x:v>
      </x:c>
      <x:c r="J92" s="59" t="str">
        <x:v>VERY_DEEP</x:v>
      </x:c>
      <x:c r="K92" s="59" t="str">
        <x:v>SG</x:v>
      </x:c>
      <x:c r="L92" s="62" t="str">
        <x:v>Very-deep model estimate with limited sample/role certainty. Use as a search/watch-list value and refresh once final rotations are known.</x:v>
      </x:c>
    </x:row>
    <x:row r="93" ht="20" customHeight="1">
      <x:c r="A93" s="59" t="n">
        <x:v>88</x:v>
      </x:c>
      <x:c r="B93" s="59" t="n">
        <x:v>411</x:v>
      </x:c>
      <x:c r="C93" s="59" t="str">
        <x:v>Hayden Gray</x:v>
      </x:c>
      <x:c r="D93" s="59" t="str">
        <x:v>UTA</x:v>
      </x:c>
      <x:c r="E93" s="58" t="n">
        <x:v>1</x:v>
      </x:c>
      <x:c r="F93" s="60" t="n">
        <x:v>12</x:v>
      </x:c>
      <x:c r="G93" s="60" t="n">
        <x:v>5.8100000000000005</x:v>
      </x:c>
      <x:c r="H93" s="60" t="n">
        <x:v>12.81</x:v>
      </x:c>
      <x:c r="I93" s="58" t="n">
        <x:v>64</x:v>
      </x:c>
      <x:c r="J93" s="59" t="str">
        <x:v>VERY_DEEP</x:v>
      </x:c>
      <x:c r="K93" s="59" t="str">
        <x:v>SG</x:v>
      </x:c>
      <x:c r="L93" s="62" t="str">
        <x:v>Very-deep model estimate with limited sample/role certainty. Use as a search/watch-list value and refresh once final rotations are known.</x:v>
      </x:c>
    </x:row>
    <x:row r="94" ht="20" customHeight="1">
      <x:c r="A94" s="59" t="n">
        <x:v>89</x:v>
      </x:c>
      <x:c r="B94" s="59" t="n">
        <x:v>418</x:v>
      </x:c>
      <x:c r="C94" s="59" t="str">
        <x:v>Tyrese Proctor</x:v>
      </x:c>
      <x:c r="D94" s="59" t="str">
        <x:v>CLE</x:v>
      </x:c>
      <x:c r="E94" s="58" t="n">
        <x:v>50</x:v>
      </x:c>
      <x:c r="F94" s="60" t="n">
        <x:v>9.65</x:v>
      </x:c>
      <x:c r="G94" s="60" t="n">
        <x:v>5.67</x:v>
      </x:c>
      <x:c r="H94" s="60" t="n">
        <x:v>12.67</x:v>
      </x:c>
      <x:c r="I94" s="58" t="n">
        <x:v>60</x:v>
      </x:c>
      <x:c r="J94" s="59" t="str">
        <x:v>DEEP</x:v>
      </x:c>
      <x:c r="K94" s="59" t="str">
        <x:v>SG</x:v>
      </x:c>
      <x:c r="L94" s="62" t="str">
        <x:v>Deep-pool model: 2025-26 custom-score production shrunk toward a conservative 2026-27 role estimate; not a published projection.</x:v>
      </x:c>
    </x:row>
    <x:row r="95" ht="20" customHeight="1">
      <x:c r="A95" s="59" t="n">
        <x:v>90</x:v>
      </x:c>
      <x:c r="B95" s="59" t="n">
        <x:v>419</x:v>
      </x:c>
      <x:c r="C95" s="59" t="str">
        <x:v>Myron Gardner</x:v>
      </x:c>
      <x:c r="D95" s="59" t="str">
        <x:v>MIA</x:v>
      </x:c>
      <x:c r="E95" s="58" t="n">
        <x:v>45</x:v>
      </x:c>
      <x:c r="F95" s="60" t="n">
        <x:v>10.6</x:v>
      </x:c>
      <x:c r="G95" s="60" t="n">
        <x:v>5.57</x:v>
      </x:c>
      <x:c r="H95" s="60" t="n">
        <x:v>12.57</x:v>
      </x:c>
      <x:c r="I95" s="58" t="n">
        <x:v>64</x:v>
      </x:c>
      <x:c r="J95" s="59" t="str">
        <x:v>DEEP</x:v>
      </x:c>
      <x:c r="K95" s="59" t="str">
        <x:v>SG</x:v>
      </x:c>
      <x:c r="L95" s="62" t="str">
        <x:v>Deep-pool model: 2025-26 custom-score production shrunk toward a conservative 2026-27 role estimate; not a published projection.</x:v>
      </x:c>
    </x:row>
    <x:row r="96" ht="20" customHeight="1">
      <x:c r="A96" s="59" t="n">
        <x:v>91</x:v>
      </x:c>
      <x:c r="B96" s="59" t="n">
        <x:v>424</x:v>
      </x:c>
      <x:c r="C96" s="59" t="str">
        <x:v>Micah Peavy</x:v>
      </x:c>
      <x:c r="D96" s="59" t="str">
        <x:v>NOP</x:v>
      </x:c>
      <x:c r="E96" s="58" t="n">
        <x:v>61</x:v>
      </x:c>
      <x:c r="F96" s="60" t="n">
        <x:v>9.95</x:v>
      </x:c>
      <x:c r="G96" s="60" t="n">
        <x:v>5.25</x:v>
      </x:c>
      <x:c r="H96" s="60" t="n">
        <x:v>12.25</x:v>
      </x:c>
      <x:c r="I96" s="58" t="n">
        <x:v>64</x:v>
      </x:c>
      <x:c r="J96" s="59" t="str">
        <x:v>DEEP</x:v>
      </x:c>
      <x:c r="K96" s="59" t="str">
        <x:v>SG</x:v>
      </x:c>
      <x:c r="L96" s="62" t="str">
        <x:v>Deep-pool model: 2025-26 custom-score production shrunk toward a conservative 2026-27 role estimate; not a published projection.</x:v>
      </x:c>
    </x:row>
    <x:row r="97" ht="20" customHeight="1">
      <x:c r="A97" s="59" t="n">
        <x:v>92</x:v>
      </x:c>
      <x:c r="B97" s="59" t="n">
        <x:v>426</x:v>
      </x:c>
      <x:c r="C97" s="59" t="str">
        <x:v>Jaylen Clark</x:v>
      </x:c>
      <x:c r="D97" s="59" t="str">
        <x:v>MIN</x:v>
      </x:c>
      <x:c r="E97" s="58" t="n">
        <x:v>68</x:v>
      </x:c>
      <x:c r="F97" s="60" t="n">
        <x:v>9.55</x:v>
      </x:c>
      <x:c r="G97" s="60" t="n">
        <x:v>5.130000000000001</x:v>
      </x:c>
      <x:c r="H97" s="60" t="n">
        <x:v>12.13</x:v>
      </x:c>
      <x:c r="I97" s="58" t="n">
        <x:v>60</x:v>
      </x:c>
      <x:c r="J97" s="59" t="str">
        <x:v>DEEP</x:v>
      </x:c>
      <x:c r="K97" s="59" t="str">
        <x:v>SG</x:v>
      </x:c>
      <x:c r="L97" s="62" t="str">
        <x:v>Deep-pool model: 2025-26 custom-score production shrunk toward a conservative 2026-27 role estimate; not a published projection.</x:v>
      </x:c>
    </x:row>
    <x:row r="98" ht="20" customHeight="1">
      <x:c r="A98" s="59" t="n">
        <x:v>93</x:v>
      </x:c>
      <x:c r="B98" s="59" t="n">
        <x:v>458</x:v>
      </x:c>
      <x:c r="C98" s="59" t="str">
        <x:v>Brendan Hausen</x:v>
      </x:c>
      <x:c r="D98" s="59" t="str">
        <x:v>MEM</x:v>
      </x:c>
      <x:c r="E98" s="58"/>
      <x:c r="F98" s="60"/>
      <x:c r="G98" s="60" t="n">
        <x:v>0</x:v>
      </x:c>
      <x:c r="H98" s="60" t="n">
        <x:v>3.5</x:v>
      </x:c>
      <x:c r="I98" s="58" t="n">
        <x:v>0</x:v>
      </x:c>
      <x:c r="J98" s="59" t="str">
        <x:v>WATCH</x:v>
      </x:c>
      <x:c r="K98" s="59" t="str">
        <x:v>SG</x:v>
      </x:c>
      <x:c r="L98" s="62" t="str">
        <x:v>Camp/summer-depth watch entry; no reliable 2026-27 fantasy projection. Verify final NBA contract, roster status and role before draft use.</x:v>
      </x:c>
    </x:row>
    <x:row r="99" ht="20" customHeight="1">
      <x:c r="A99" s="59" t="n">
        <x:v>94</x:v>
      </x:c>
      <x:c r="B99" s="59" t="n">
        <x:v>464</x:v>
      </x:c>
      <x:c r="C99" s="59" t="str">
        <x:v>Caleb Grill</x:v>
      </x:c>
      <x:c r="D99" s="59" t="str">
        <x:v>BOS</x:v>
      </x:c>
      <x:c r="E99" s="58"/>
      <x:c r="F99" s="60"/>
      <x:c r="G99" s="60" t="n">
        <x:v>0</x:v>
      </x:c>
      <x:c r="H99" s="60" t="n">
        <x:v>3.5</x:v>
      </x:c>
      <x:c r="I99" s="58" t="n">
        <x:v>0</x:v>
      </x:c>
      <x:c r="J99" s="59" t="str">
        <x:v>WATCH</x:v>
      </x:c>
      <x:c r="K99" s="59" t="str">
        <x:v>SG</x:v>
      </x:c>
      <x:c r="L99" s="62" t="str">
        <x:v>Camp/summer-depth watch entry; no reliable 2026-27 fantasy projection. Verify final NBA contract, roster status and role before draft use.</x:v>
      </x:c>
    </x:row>
    <x:row r="100" ht="20" customHeight="1">
      <x:c r="A100" s="59" t="n">
        <x:v>95</x:v>
      </x:c>
      <x:c r="B100" s="59" t="n">
        <x:v>470</x:v>
      </x:c>
      <x:c r="C100" s="59" t="str">
        <x:v>Cameron Tyson</x:v>
      </x:c>
      <x:c r="D100" s="59" t="str">
        <x:v>GSW</x:v>
      </x:c>
      <x:c r="E100" s="58"/>
      <x:c r="F100" s="60"/>
      <x:c r="G100" s="60" t="n">
        <x:v>0</x:v>
      </x:c>
      <x:c r="H100" s="60" t="n">
        <x:v>3.5</x:v>
      </x:c>
      <x:c r="I100" s="58" t="n">
        <x:v>0</x:v>
      </x:c>
      <x:c r="J100" s="59" t="str">
        <x:v>WATCH</x:v>
      </x:c>
      <x:c r="K100" s="59" t="str">
        <x:v>SG</x:v>
      </x:c>
      <x:c r="L100" s="62" t="str">
        <x:v>Camp/summer-depth watch entry; no reliable 2026-27 fantasy projection. Verify final NBA contract, roster status and role before draft use.</x:v>
      </x:c>
    </x:row>
    <x:row r="101" ht="20" customHeight="1">
      <x:c r="A101" s="59" t="n">
        <x:v>96</x:v>
      </x:c>
      <x:c r="B101" s="59" t="n">
        <x:v>483</x:v>
      </x:c>
      <x:c r="C101" s="59" t="str">
        <x:v>D.J. Steward</x:v>
      </x:c>
      <x:c r="D101" s="59" t="str">
        <x:v>POR</x:v>
      </x:c>
      <x:c r="E101" s="58"/>
      <x:c r="F101" s="60"/>
      <x:c r="G101" s="60" t="n">
        <x:v>0</x:v>
      </x:c>
      <x:c r="H101" s="60" t="n">
        <x:v>3.5</x:v>
      </x:c>
      <x:c r="I101" s="58" t="n">
        <x:v>0</x:v>
      </x:c>
      <x:c r="J101" s="59" t="str">
        <x:v>WATCH</x:v>
      </x:c>
      <x:c r="K101" s="59" t="str">
        <x:v>SG</x:v>
      </x:c>
      <x:c r="L101" s="62" t="str">
        <x:v>Camp/summer-depth watch entry; no reliable 2026-27 fantasy projection. Verify final NBA contract, roster status and role before draft use.</x:v>
      </x:c>
    </x:row>
    <x:row r="102" ht="20" customHeight="1">
      <x:c r="A102" s="59" t="n">
        <x:v>97</x:v>
      </x:c>
      <x:c r="B102" s="59" t="n">
        <x:v>498</x:v>
      </x:c>
      <x:c r="C102" s="59" t="str">
        <x:v>Donovan Atwell</x:v>
      </x:c>
      <x:c r="D102" s="59" t="str">
        <x:v>CHI</x:v>
      </x:c>
      <x:c r="E102" s="58"/>
      <x:c r="F102" s="60"/>
      <x:c r="G102" s="60" t="n">
        <x:v>0</x:v>
      </x:c>
      <x:c r="H102" s="60" t="n">
        <x:v>3.5</x:v>
      </x:c>
      <x:c r="I102" s="58" t="n">
        <x:v>0</x:v>
      </x:c>
      <x:c r="J102" s="59" t="str">
        <x:v>WATCH</x:v>
      </x:c>
      <x:c r="K102" s="59" t="str">
        <x:v>SG</x:v>
      </x:c>
      <x:c r="L102" s="62" t="str">
        <x:v>Camp/summer-depth watch entry; no reliable 2026-27 fantasy projection. Verify final NBA contract, roster status and role before draft use.</x:v>
      </x:c>
    </x:row>
    <x:row r="103" ht="20" customHeight="1">
      <x:c r="A103" s="59" t="n">
        <x:v>98</x:v>
      </x:c>
      <x:c r="B103" s="59" t="n">
        <x:v>511</x:v>
      </x:c>
      <x:c r="C103" s="59" t="str">
        <x:v>Fletcher Loyer</x:v>
      </x:c>
      <x:c r="D103" s="59" t="str">
        <x:v>LAC</x:v>
      </x:c>
      <x:c r="E103" s="58"/>
      <x:c r="F103" s="60"/>
      <x:c r="G103" s="60" t="n">
        <x:v>0</x:v>
      </x:c>
      <x:c r="H103" s="60" t="n">
        <x:v>3.5</x:v>
      </x:c>
      <x:c r="I103" s="58" t="n">
        <x:v>0</x:v>
      </x:c>
      <x:c r="J103" s="59" t="str">
        <x:v>WATCH</x:v>
      </x:c>
      <x:c r="K103" s="59" t="str">
        <x:v>SG</x:v>
      </x:c>
      <x:c r="L103" s="62" t="str">
        <x:v>Camp/summer-depth watch entry; no reliable 2026-27 fantasy projection. Verify final NBA contract, roster status and role before draft use.</x:v>
      </x:c>
    </x:row>
    <x:row r="104" ht="20" customHeight="1">
      <x:c r="A104" s="59" t="n">
        <x:v>99</x:v>
      </x:c>
      <x:c r="B104" s="59" t="n">
        <x:v>527</x:v>
      </x:c>
      <x:c r="C104" s="59" t="str">
        <x:v>Isaac McKneely</x:v>
      </x:c>
      <x:c r="D104" s="59" t="str">
        <x:v>ATL</x:v>
      </x:c>
      <x:c r="E104" s="58"/>
      <x:c r="F104" s="60"/>
      <x:c r="G104" s="60" t="n">
        <x:v>0</x:v>
      </x:c>
      <x:c r="H104" s="60" t="n">
        <x:v>3.5</x:v>
      </x:c>
      <x:c r="I104" s="58" t="n">
        <x:v>0</x:v>
      </x:c>
      <x:c r="J104" s="59" t="str">
        <x:v>WATCH</x:v>
      </x:c>
      <x:c r="K104" s="59" t="str">
        <x:v>SG</x:v>
      </x:c>
      <x:c r="L104" s="62" t="str">
        <x:v>Camp/summer-depth watch entry; no reliable 2026-27 fantasy projection. Verify final NBA contract, roster status and role before draft use.</x:v>
      </x:c>
    </x:row>
    <x:row r="105" ht="20" customHeight="1">
      <x:c r="A105" s="59" t="n">
        <x:v>100</x:v>
      </x:c>
      <x:c r="B105" s="59" t="n">
        <x:v>542</x:v>
      </x:c>
      <x:c r="C105" s="59" t="str">
        <x:v>Jaden Springer</x:v>
      </x:c>
      <x:c r="D105" s="59" t="str">
        <x:v>DAL</x:v>
      </x:c>
      <x:c r="E105" s="58"/>
      <x:c r="F105" s="60"/>
      <x:c r="G105" s="60" t="n">
        <x:v>0</x:v>
      </x:c>
      <x:c r="H105" s="60" t="n">
        <x:v>3.5</x:v>
      </x:c>
      <x:c r="I105" s="58" t="n">
        <x:v>0</x:v>
      </x:c>
      <x:c r="J105" s="59" t="str">
        <x:v>WATCH</x:v>
      </x:c>
      <x:c r="K105" s="59" t="str">
        <x:v>SG</x:v>
      </x:c>
      <x:c r="L105" s="62" t="str">
        <x:v>Camp/summer-depth watch entry; no reliable 2026-27 fantasy projection. Verify final NBA contract, roster status and role before draft use.</x:v>
      </x:c>
    </x:row>
    <x:row r="106" ht="20" customHeight="1">
      <x:c r="A106" s="59" t="n">
        <x:v>101</x:v>
      </x:c>
      <x:c r="B106" s="59" t="n">
        <x:v>558</x:v>
      </x:c>
      <x:c r="C106" s="59" t="str">
        <x:v>John Camden</x:v>
      </x:c>
      <x:c r="D106" s="59" t="str">
        <x:v>WAS</x:v>
      </x:c>
      <x:c r="E106" s="58"/>
      <x:c r="F106" s="60"/>
      <x:c r="G106" s="60" t="n">
        <x:v>0</x:v>
      </x:c>
      <x:c r="H106" s="60" t="n">
        <x:v>3.5</x:v>
      </x:c>
      <x:c r="I106" s="58" t="n">
        <x:v>0</x:v>
      </x:c>
      <x:c r="J106" s="59" t="str">
        <x:v>WATCH</x:v>
      </x:c>
      <x:c r="K106" s="59" t="str">
        <x:v>SG</x:v>
      </x:c>
      <x:c r="L106" s="62" t="str">
        <x:v>Camp/summer-depth watch entry; no reliable 2026-27 fantasy projection. Verify final NBA contract, roster status and role before draft use.</x:v>
      </x:c>
    </x:row>
    <x:row r="107" ht="20" customHeight="1">
      <x:c r="A107" s="59" t="n">
        <x:v>102</x:v>
      </x:c>
      <x:c r="B107" s="59" t="n">
        <x:v>571</x:v>
      </x:c>
      <x:c r="C107" s="59" t="str">
        <x:v>Keon Johnson</x:v>
      </x:c>
      <x:c r="D107" s="59" t="str">
        <x:v>ORL</x:v>
      </x:c>
      <x:c r="E107" s="58"/>
      <x:c r="F107" s="60"/>
      <x:c r="G107" s="60" t="n">
        <x:v>0</x:v>
      </x:c>
      <x:c r="H107" s="60" t="n">
        <x:v>3.5</x:v>
      </x:c>
      <x:c r="I107" s="58" t="n">
        <x:v>0</x:v>
      </x:c>
      <x:c r="J107" s="59" t="str">
        <x:v>WATCH</x:v>
      </x:c>
      <x:c r="K107" s="59" t="str">
        <x:v>SG</x:v>
      </x:c>
      <x:c r="L107" s="62" t="str">
        <x:v>Camp/summer-depth watch entry; no reliable 2026-27 fantasy projection. Verify final NBA contract, roster status and role before draft use.</x:v>
      </x:c>
    </x:row>
    <x:row r="108" ht="20" customHeight="1">
      <x:c r="A108" s="59" t="n">
        <x:v>103</x:v>
      </x:c>
      <x:c r="B108" s="59" t="n">
        <x:v>574</x:v>
      </x:c>
      <x:c r="C108" s="59" t="str">
        <x:v>Kobe Johnson</x:v>
      </x:c>
      <x:c r="D108" s="59" t="str">
        <x:v>ATL</x:v>
      </x:c>
      <x:c r="E108" s="58"/>
      <x:c r="F108" s="60"/>
      <x:c r="G108" s="60" t="n">
        <x:v>0</x:v>
      </x:c>
      <x:c r="H108" s="60" t="n">
        <x:v>3.5</x:v>
      </x:c>
      <x:c r="I108" s="58" t="n">
        <x:v>0</x:v>
      </x:c>
      <x:c r="J108" s="59" t="str">
        <x:v>WATCH</x:v>
      </x:c>
      <x:c r="K108" s="59" t="str">
        <x:v>SG</x:v>
      </x:c>
      <x:c r="L108" s="62" t="str">
        <x:v>Camp/summer-depth watch entry; no reliable 2026-27 fantasy projection. Verify final NBA contract, roster status and role before draft use.</x:v>
      </x:c>
    </x:row>
    <x:row r="109" ht="20" customHeight="1">
      <x:c r="A109" s="59" t="n">
        <x:v>104</x:v>
      </x:c>
      <x:c r="B109" s="59" t="n">
        <x:v>586</x:v>
      </x:c>
      <x:c r="C109" s="59" t="str">
        <x:v>Lester Quinones</x:v>
      </x:c>
      <x:c r="D109" s="59" t="str">
        <x:v>ORL</x:v>
      </x:c>
      <x:c r="E109" s="58"/>
      <x:c r="F109" s="60"/>
      <x:c r="G109" s="60" t="n">
        <x:v>0</x:v>
      </x:c>
      <x:c r="H109" s="60" t="n">
        <x:v>3.5</x:v>
      </x:c>
      <x:c r="I109" s="58" t="n">
        <x:v>0</x:v>
      </x:c>
      <x:c r="J109" s="59" t="str">
        <x:v>WATCH</x:v>
      </x:c>
      <x:c r="K109" s="59" t="str">
        <x:v>SG</x:v>
      </x:c>
      <x:c r="L109" s="62" t="str">
        <x:v>Camp/summer-depth watch entry; no reliable 2026-27 fantasy projection. Verify final NBA contract, roster status and role before draft use.</x:v>
      </x:c>
    </x:row>
    <x:row r="110" ht="20" customHeight="1">
      <x:c r="A110" s="59" t="n">
        <x:v>105</x:v>
      </x:c>
      <x:c r="B110" s="59" t="n">
        <x:v>600</x:v>
      </x:c>
      <x:c r="C110" s="59" t="str">
        <x:v>Matthew Murrell</x:v>
      </x:c>
      <x:c r="D110" s="59" t="str">
        <x:v>DEN</x:v>
      </x:c>
      <x:c r="E110" s="59"/>
      <x:c r="F110" s="59"/>
      <x:c r="G110" s="59" t="n">
        <x:v>0</x:v>
      </x:c>
      <x:c r="H110" s="59" t="n">
        <x:v>3.5</x:v>
      </x:c>
      <x:c r="I110" s="59" t="n">
        <x:v>0</x:v>
      </x:c>
      <x:c r="J110" s="59" t="str">
        <x:v>WATCH</x:v>
      </x:c>
      <x:c r="K110" s="59" t="str">
        <x:v>SG</x:v>
      </x:c>
      <x:c r="L110" s="62" t="str">
        <x:v>Camp/summer-depth watch entry; no reliable 2026-27 fantasy projection. Verify final NBA contract, roster status and role before draft use.</x:v>
      </x:c>
    </x:row>
  </x:sheetData>
  <x:mergeCells>
    <x:mergeCell ref="A1:K1"/>
    <x:mergeCell ref="A2:K3"/>
  </x:mergeCells>
  <x:conditionalFormatting sqref="J6:J23">
    <x:cfRule type="expression" dxfId="4" priority="1">
      <x:formula>OR(J6="HIGH",J6="IR / RETURN")</x:formula>
    </x:cfRule>
    <x:cfRule type="expression" dxfId="5" priority="2">
      <x:formula>OR(J6="MEDIUM",J6="CONTRACT")</x:formula>
    </x:cfRule>
  </x:conditionalFormatting>
  <x:conditionalFormatting sqref="A6:L109">
    <x:cfRule type="expression" dxfId="18" priority="3">
      <x:formula>MOD(ROW(),2)=0</x:formula>
    </x:cfRule>
  </x:conditionalFormatting>
  <x:conditionalFormatting sqref="J6:J109">
    <x:cfRule type="expression" dxfId="19" priority="4">
      <x:formula>$J6="WATCH"</x:formula>
    </x:cfRule>
  </x:conditionalFormatting>
  <x:conditionalFormatting sqref="A6:L110">
    <x:cfRule type="expression" dxfId="29" priority="5">
      <x:formula>MOD(ROW(),2)=0</x:formula>
    </x:cfRule>
  </x:conditionalFormatting>
  <x:conditionalFormatting sqref="J6:J110">
    <x:cfRule type="expression" dxfId="30" priority="6">
      <x:formula>$J6="WATCH"</x:formula>
    </x:cfRule>
  </x:conditionalFormatting>
  <x:pageMargins left="0.7" right="0.7" top="0.75" bottom="0.75" header="0.3" footer="0.3"/>
  <x:tableParts count="1">
    <x:tablePart xmlns:r="http://schemas.openxmlformats.org/officeDocument/2006/relationships" r:id="R3c67733826bc4406"/>
  </x:tableParts>
</x:worksheet>
</file>

<file path=xl/worksheets/sheet5.xml><?xml version="1.0" encoding="utf-8"?>
<x:worksheet xmlns:x="http://schemas.openxmlformats.org/spreadsheetml/2006/main">
  <x:sheetFormatPr defaultRowHeight="15"/>
  <x:cols>
    <x:col min="1" max="1" width="10" hidden="0" customWidth="1"/>
    <x:col min="2" max="2" width="9" hidden="0" customWidth="1"/>
    <x:col min="3" max="3" width="24" hidden="0" customWidth="1"/>
    <x:col min="4" max="4" width="8" hidden="0" customWidth="1"/>
    <x:col min="5" max="5" width="11" hidden="0" customWidth="1"/>
    <x:col min="6" max="6" width="13" hidden="0" customWidth="1"/>
    <x:col min="7" max="7" width="11" hidden="0" customWidth="1"/>
    <x:col min="8" max="8" width="11" hidden="0" customWidth="1"/>
    <x:col min="9" max="9" width="11" hidden="0" customWidth="1"/>
    <x:col min="10" max="10" width="13" hidden="0" customWidth="1"/>
    <x:col min="11" max="11" width="16" hidden="0" customWidth="1"/>
    <x:col min="12" max="12" width="52" hidden="0" customWidth="1"/>
  </x:cols>
  <x:sheetData>
    <x:row r="1" ht="30" customHeight="1">
      <x:c r="A1" s="88" t="str">
        <x:v>SF | POSITIONAL DRAFT PRIORITY — 600 PLAYER MASTER</x:v>
      </x:c>
      <x:c r="B1" s="88"/>
      <x:c r="C1" s="88"/>
      <x:c r="D1" s="88"/>
      <x:c r="E1" s="88"/>
      <x:c r="F1" s="88"/>
      <x:c r="G1" s="88"/>
      <x:c r="H1" s="88"/>
      <x:c r="I1" s="88"/>
      <x:c r="J1" s="88"/>
      <x:c r="K1" s="88"/>
      <x:c r="L1" s="89"/>
    </x:row>
    <x:row r="2" ht="23" customHeight="1">
      <x:c r="A2" s="90" t="str">
        <x:v>Draft-day refresh Oct. 10, 2026 • full 600-player master • top 150 refreshed with current projections and live availability context</x:v>
      </x:c>
      <x:c r="B2" s="90"/>
      <x:c r="C2" s="90"/>
      <x:c r="D2" s="90"/>
      <x:c r="E2" s="90"/>
      <x:c r="F2" s="90"/>
      <x:c r="G2" s="90"/>
      <x:c r="H2" s="90"/>
      <x:c r="I2" s="90"/>
      <x:c r="J2" s="90"/>
      <x:c r="K2" s="90"/>
      <x:c r="L2" s="91"/>
    </x:row>
    <x:row r="3" ht="23" customHeight="1">
      <x:c r="A3" s="42"/>
      <x:c r="B3" s="42"/>
      <x:c r="C3" s="42"/>
      <x:c r="D3" s="42"/>
      <x:c r="E3" s="42"/>
      <x:c r="F3" s="42"/>
      <x:c r="G3" s="42"/>
      <x:c r="H3" s="42"/>
      <x:c r="I3" s="42"/>
      <x:c r="J3" s="42"/>
      <x:c r="K3" s="42"/>
      <x:c r="L3" s="7"/>
    </x:row>
    <x:row r="5" ht="36" customHeight="1">
      <x:c r="A5" s="44" t="str">
        <x:v>Pos. rank</x:v>
      </x:c>
      <x:c r="B5" s="44" t="str">
        <x:v>Overall</x:v>
      </x:c>
      <x:c r="C5" s="44" t="str">
        <x:v>Player</x:v>
      </x:c>
      <x:c r="D5" s="44" t="str">
        <x:v>Team</x:v>
      </x:c>
      <x:c r="E5" s="44" t="str">
        <x:v>2025-26 GP</x:v>
      </x:c>
      <x:c r="F5" s="44" t="str">
        <x:v>2025-26 FP/G</x:v>
      </x:c>
      <x:c r="G5" s="44" t="str">
        <x:v>2026 low</x:v>
      </x:c>
      <x:c r="H5" s="44" t="str">
        <x:v>2026 high</x:v>
      </x:c>
      <x:c r="I5" s="44" t="str">
        <x:v>Planning GP</x:v>
      </x:c>
      <x:c r="J5" s="44" t="str">
        <x:v>Risk</x:v>
      </x:c>
      <x:c r="K5" s="44" t="str">
        <x:v>Source position tags</x:v>
      </x:c>
      <x:c r="L5" s="44" t="str">
        <x:v>Draft rationale</x:v>
      </x:c>
    </x:row>
    <x:row r="6" ht="20" customHeight="1">
      <x:c r="A6" s="59" t="n">
        <x:v>1</x:v>
      </x:c>
      <x:c r="B6" s="59" t="n">
        <x:v>7</x:v>
      </x:c>
      <x:c r="C6" s="59" t="str">
        <x:v>Jayson Tatum</x:v>
      </x:c>
      <x:c r="D6" s="59" t="str">
        <x:v>BOS</x:v>
      </x:c>
      <x:c r="E6" s="58" t="n">
        <x:v>16</x:v>
      </x:c>
      <x:c r="F6" s="60" t="n">
        <x:v>42.150000000000006</x:v>
      </x:c>
      <x:c r="G6" s="60" t="n">
        <x:v>42.7508360124095</x:v>
      </x:c>
      <x:c r="H6" s="60" t="n">
        <x:v>53.7508360124095</x:v>
      </x:c>
      <x:c r="I6" s="58" t="n">
        <x:v>74</x:v>
      </x:c>
      <x:c r="J6" s="59" t="str">
        <x:v>MEDIUM</x:v>
      </x:c>
      <x:c r="K6" s="59" t="str">
        <x:v>SF/PF</x:v>
      </x:c>
      <x:c r="L6" s="62" t="str">
        <x:v>Boston's central scorer again; 16-game 2025-26 sample is not a full-season baseline.</x:v>
      </x:c>
    </x:row>
    <x:row r="7" ht="20" customHeight="1">
      <x:c r="A7" s="59" t="n">
        <x:v>2</x:v>
      </x:c>
      <x:c r="B7" s="59" t="n">
        <x:v>15</x:v>
      </x:c>
      <x:c r="C7" s="59" t="str">
        <x:v>Cooper Flagg</x:v>
      </x:c>
      <x:c r="D7" s="59" t="str">
        <x:v>DAL</x:v>
      </x:c>
      <x:c r="E7" s="58" t="n">
        <x:v>70</x:v>
      </x:c>
      <x:c r="F7" s="60" t="n">
        <x:v>39</x:v>
      </x:c>
      <x:c r="G7" s="60" t="n">
        <x:v>40.332371397136114</x:v>
      </x:c>
      <x:c r="H7" s="60" t="n">
        <x:v>47.332371397136114</x:v>
      </x:c>
      <x:c r="I7" s="58" t="n">
        <x:v>75</x:v>
      </x:c>
      <x:c r="J7" s="59" t="str">
        <x:v>STANDARD</x:v>
      </x:c>
      <x:c r="K7" s="59" t="str">
        <x:v>PF/SF/SG</x:v>
      </x:c>
      <x:c r="L7" s="62" t="str">
        <x:v>Second-year growth case; slight upside adjustment, with a wider range than established stars.</x:v>
      </x:c>
    </x:row>
    <x:row r="8" ht="20" customHeight="1">
      <x:c r="A8" s="59" t="n">
        <x:v>3</x:v>
      </x:c>
      <x:c r="B8" s="59" t="n">
        <x:v>23</x:v>
      </x:c>
      <x:c r="C8" s="59" t="str">
        <x:v>Kevin Durant</x:v>
      </x:c>
      <x:c r="D8" s="59" t="str">
        <x:v>HOU</x:v>
      </x:c>
      <x:c r="E8" s="58" t="n">
        <x:v>78</x:v>
      </x:c>
      <x:c r="F8" s="60" t="n">
        <x:v>43.85</x:v>
      </x:c>
      <x:c r="G8" s="60" t="n">
        <x:v>36.59241362908904</x:v>
      </x:c>
      <x:c r="H8" s="60" t="n">
        <x:v>47.59241362908904</x:v>
      </x:c>
      <x:c r="I8" s="58" t="n">
        <x:v>75</x:v>
      </x:c>
      <x:c r="J8" s="59" t="str">
        <x:v>MEDIUM</x:v>
      </x:c>
      <x:c r="K8" s="59" t="str">
        <x:v>PF/SF/SG</x:v>
      </x:c>
      <x:c r="L8" s="62" t="str">
        <x:v>Good efficiency keeps value high; use a realistic veteran games assumption.</x:v>
      </x:c>
    </x:row>
    <x:row r="9" ht="20" customHeight="1">
      <x:c r="A9" s="59" t="n">
        <x:v>4</x:v>
      </x:c>
      <x:c r="B9" s="59" t="n">
        <x:v>25</x:v>
      </x:c>
      <x:c r="C9" s="59" t="str">
        <x:v>Kawhi Leonard</x:v>
      </x:c>
      <x:c r="D9" s="59" t="str">
        <x:v>TOR</x:v>
      </x:c>
      <x:c r="E9" s="58" t="n">
        <x:v>65</x:v>
      </x:c>
      <x:c r="F9" s="60" t="n">
        <x:v>50.1</x:v>
      </x:c>
      <x:c r="G9" s="60" t="n">
        <x:v>35.12243727702595</x:v>
      </x:c>
      <x:c r="H9" s="60" t="n">
        <x:v>51.12243727702595</x:v>
      </x:c>
      <x:c r="I9" s="58" t="n">
        <x:v>69</x:v>
      </x:c>
      <x:c r="J9" s="59" t="str">
        <x:v>HIGH</x:v>
      </x:c>
      <x:c r="K9" s="59" t="str">
        <x:v>PF/SF/SG</x:v>
      </x:c>
      <x:c r="L9" s="62" t="str">
        <x:v>Toronto role is viable; major availability discount despite strong last-season efficiency.</x:v>
      </x:c>
    </x:row>
    <x:row r="10" ht="20" customHeight="1">
      <x:c r="A10" s="59" t="n">
        <x:v>5</x:v>
      </x:c>
      <x:c r="B10" s="59" t="n">
        <x:v>29</x:v>
      </x:c>
      <x:c r="C10" s="59" t="str">
        <x:v>Deni Avdija</x:v>
      </x:c>
      <x:c r="D10" s="59" t="str">
        <x:v>POR</x:v>
      </x:c>
      <x:c r="E10" s="58" t="n">
        <x:v>66</x:v>
      </x:c>
      <x:c r="F10" s="60" t="n">
        <x:v>44.65</x:v>
      </x:c>
      <x:c r="G10" s="60" t="n">
        <x:v>38.24076788794661</x:v>
      </x:c>
      <x:c r="H10" s="60" t="n">
        <x:v>45.24076788794661</x:v>
      </x:c>
      <x:c r="I10" s="58" t="n">
        <x:v>75</x:v>
      </x:c>
      <x:c r="J10" s="59" t="str">
        <x:v>STANDARD</x:v>
      </x:c>
      <x:c r="K10" s="59" t="str">
        <x:v>PF/SF/SG</x:v>
      </x:c>
      <x:c r="L10" s="62" t="str">
        <x:v>Morant and Lillard compete for creation; price below last year's peak role.</x:v>
      </x:c>
    </x:row>
    <x:row r="11" ht="20" customHeight="1">
      <x:c r="A11" s="59" t="n">
        <x:v>6</x:v>
      </x:c>
      <x:c r="B11" s="59" t="n">
        <x:v>36</x:v>
      </x:c>
      <x:c r="C11" s="59" t="str">
        <x:v>Franz Wagner</x:v>
      </x:c>
      <x:c r="D11" s="59" t="str">
        <x:v>ORL</x:v>
      </x:c>
      <x:c r="E11" s="58" t="n">
        <x:v>34</x:v>
      </x:c>
      <x:c r="F11" s="60" t="n">
        <x:v>36.9</x:v>
      </x:c>
      <x:c r="G11" s="60" t="n">
        <x:v>35.37097885595281</x:v>
      </x:c>
      <x:c r="H11" s="60" t="n">
        <x:v>46.37097885595281</x:v>
      </x:c>
      <x:c r="I11" s="58" t="n">
        <x:v>72</x:v>
      </x:c>
      <x:c r="J11" s="59" t="str">
        <x:v>MEDIUM</x:v>
      </x:c>
      <x:c r="K11" s="59" t="str">
        <x:v>PF/SF</x:v>
      </x:c>
      <x:c r="L11" s="62" t="str">
        <x:v>High-end forward option; games and shooting efficiency are the main draft checks.</x:v>
      </x:c>
    </x:row>
    <x:row r="12" ht="20" customHeight="1">
      <x:c r="A12" s="59" t="n">
        <x:v>7</x:v>
      </x:c>
      <x:c r="B12" s="59" t="n">
        <x:v>38</x:v>
      </x:c>
      <x:c r="C12" s="59" t="str">
        <x:v>LeBron James</x:v>
      </x:c>
      <x:c r="D12" s="59" t="str">
        <x:v>PHI</x:v>
      </x:c>
      <x:c r="E12" s="58" t="n">
        <x:v>60</x:v>
      </x:c>
      <x:c r="F12" s="60" t="n">
        <x:v>40.8</x:v>
      </x:c>
      <x:c r="G12" s="60" t="n">
        <x:v>36.02937009718815</x:v>
      </x:c>
      <x:c r="H12" s="60" t="n">
        <x:v>47.02937009718815</x:v>
      </x:c>
      <x:c r="I12" s="58" t="n">
        <x:v>68</x:v>
      </x:c>
      <x:c r="J12" s="59" t="str">
        <x:v>MEDIUM</x:v>
      </x:c>
      <x:c r="K12" s="59" t="str">
        <x:v>SF/PF</x:v>
      </x:c>
      <x:c r="L12" s="62" t="str">
        <x:v>Philadelphia's crowded offense and veteran workload call for a discount from name value.</x:v>
      </x:c>
    </x:row>
    <x:row r="13" ht="20" customHeight="1">
      <x:c r="A13" s="59" t="n">
        <x:v>8</x:v>
      </x:c>
      <x:c r="B13" s="59" t="n">
        <x:v>44</x:v>
      </x:c>
      <x:c r="C13" s="59" t="str">
        <x:v>Jalen Williams</x:v>
      </x:c>
      <x:c r="D13" s="59" t="str">
        <x:v>OKC</x:v>
      </x:c>
      <x:c r="E13" s="58" t="n">
        <x:v>33</x:v>
      </x:c>
      <x:c r="F13" s="60" t="n">
        <x:v>33.50000000000001</x:v>
      </x:c>
      <x:c r="G13" s="60" t="n">
        <x:v>32.84265546405642</x:v>
      </x:c>
      <x:c r="H13" s="60" t="n">
        <x:v>43.84265546405642</x:v>
      </x:c>
      <x:c r="I13" s="58" t="n">
        <x:v>74</x:v>
      </x:c>
      <x:c r="J13" s="59" t="str">
        <x:v>MEDIUM</x:v>
      </x:c>
      <x:c r="K13" s="59" t="str">
        <x:v>PF/SF/SG</x:v>
      </x:c>
      <x:c r="L13" s="62" t="str">
        <x:v>Bounce-back upside; use a realistic health and role range.</x:v>
      </x:c>
    </x:row>
    <x:row r="14" ht="20" customHeight="1">
      <x:c r="A14" s="59" t="n">
        <x:v>9</x:v>
      </x:c>
      <x:c r="B14" s="59" t="n">
        <x:v>46</x:v>
      </x:c>
      <x:c r="C14" s="59" t="str">
        <x:v>Trey Murphy III</x:v>
      </x:c>
      <x:c r="D14" s="59" t="str">
        <x:v>NOP</x:v>
      </x:c>
      <x:c r="E14" s="58" t="n">
        <x:v>66</x:v>
      </x:c>
      <x:c r="F14" s="60" t="n">
        <x:v>40.099999999999994</x:v>
      </x:c>
      <x:c r="G14" s="60" t="n">
        <x:v>34.501773671187266</x:v>
      </x:c>
      <x:c r="H14" s="60" t="n">
        <x:v>41.501773671187266</x:v>
      </x:c>
      <x:c r="I14" s="58" t="n">
        <x:v>73</x:v>
      </x:c>
      <x:c r="J14" s="59" t="str">
        <x:v>STANDARD</x:v>
      </x:c>
      <x:c r="K14" s="59" t="str">
        <x:v>PF/SF/SG</x:v>
      </x:c>
      <x:c r="L14" s="62" t="str">
        <x:v>Three-point efficiency is useful; projected below a very strong prior season.</x:v>
      </x:c>
    </x:row>
    <x:row r="15" ht="20" customHeight="1">
      <x:c r="A15" s="59" t="n">
        <x:v>10</x:v>
      </x:c>
      <x:c r="B15" s="59" t="n">
        <x:v>56</x:v>
      </x:c>
      <x:c r="C15" s="59" t="str">
        <x:v>AJ Dybantsa</x:v>
      </x:c>
      <x:c r="D15" s="59" t="str">
        <x:v>WAS</x:v>
      </x:c>
      <x:c r="E15" s="58" t="n">
        <x:v>0</x:v>
      </x:c>
      <x:c r="F15" s="60"/>
      <x:c r="G15" s="60" t="n">
        <x:v>30.905029652262478</x:v>
      </x:c>
      <x:c r="H15" s="60" t="n">
        <x:v>41.90502965226248</x:v>
      </x:c>
      <x:c r="I15" s="58" t="n">
        <x:v>75</x:v>
      </x:c>
      <x:c r="J15" s="59" t="str">
        <x:v>MEDIUM</x:v>
      </x:c>
      <x:c r="K15" s="59" t="str">
        <x:v>SF</x:v>
      </x:c>
      <x:c r="L15" s="62" t="str">
        <x:v>Washington has established stars; wide rookie range and no guaranteed immediate No. 1 role.</x:v>
      </x:c>
    </x:row>
    <x:row r="16" ht="20" customHeight="1">
      <x:c r="A16" s="59" t="n">
        <x:v>11</x:v>
      </x:c>
      <x:c r="B16" s="59" t="n">
        <x:v>57</x:v>
      </x:c>
      <x:c r="C16" s="59" t="str">
        <x:v>Michael Porter Jr.</x:v>
      </x:c>
      <x:c r="D16" s="59" t="str">
        <x:v>BKN</x:v>
      </x:c>
      <x:c r="E16" s="58" t="n">
        <x:v>52</x:v>
      </x:c>
      <x:c r="F16" s="60" t="n">
        <x:v>41.650000000000006</x:v>
      </x:c>
      <x:c r="G16" s="60" t="n">
        <x:v>30.387792120633705</x:v>
      </x:c>
      <x:c r="H16" s="60" t="n">
        <x:v>41.387792120633705</x:v>
      </x:c>
      <x:c r="I16" s="58" t="n">
        <x:v>74</x:v>
      </x:c>
      <x:c r="J16" s="59" t="str">
        <x:v>MEDIUM</x:v>
      </x:c>
      <x:c r="K16" s="59" t="str">
        <x:v>SF/PF</x:v>
      </x:c>
      <x:c r="L16" s="62" t="str">
        <x:v>Efficient scoring target at the right price; avoid paying for his 2025-26 peak.</x:v>
      </x:c>
    </x:row>
    <x:row r="17" ht="20" customHeight="1">
      <x:c r="A17" s="59" t="n">
        <x:v>12</x:v>
      </x:c>
      <x:c r="B17" s="59" t="n">
        <x:v>68</x:v>
      </x:c>
      <x:c r="C17" s="59" t="str">
        <x:v>RJ Barrett</x:v>
      </x:c>
      <x:c r="D17" s="59" t="str">
        <x:v>TOR</x:v>
      </x:c>
      <x:c r="E17" s="58" t="n">
        <x:v>57</x:v>
      </x:c>
      <x:c r="F17" s="60" t="n">
        <x:v>33.5</x:v>
      </x:c>
      <x:c r="G17" s="60" t="n">
        <x:v>30.44827009844724</x:v>
      </x:c>
      <x:c r="H17" s="60" t="n">
        <x:v>37.44827009844724</x:v>
      </x:c>
      <x:c r="I17" s="58" t="n">
        <x:v>72</x:v>
      </x:c>
      <x:c r="J17" s="59" t="str">
        <x:v>STANDARD</x:v>
      </x:c>
      <x:c r="K17" s="59" t="str">
        <x:v>PF/SF/SG</x:v>
      </x:c>
      <x:c r="L17" s="62" t="str">
        <x:v>Toronto has Kawhi; avoid treating previous scoring volume as a floor.</x:v>
      </x:c>
    </x:row>
    <x:row r="18" ht="20" customHeight="1">
      <x:c r="A18" s="59" t="n">
        <x:v>13</x:v>
      </x:c>
      <x:c r="B18" s="59" t="n">
        <x:v>70</x:v>
      </x:c>
      <x:c r="C18" s="59" t="str">
        <x:v>OG Anunoby</x:v>
      </x:c>
      <x:c r="D18" s="59" t="str">
        <x:v>NYK</x:v>
      </x:c>
      <x:c r="E18" s="58" t="n">
        <x:v>67</x:v>
      </x:c>
      <x:c r="F18" s="60" t="n">
        <x:v>32.449999999999996</x:v>
      </x:c>
      <x:c r="G18" s="60" t="n">
        <x:v>29.646866429566458</x:v>
      </x:c>
      <x:c r="H18" s="60" t="n">
        <x:v>36.64686642956646</x:v>
      </x:c>
      <x:c r="I18" s="58" t="n">
        <x:v>73</x:v>
      </x:c>
      <x:c r="J18" s="59" t="str">
        <x:v>STANDARD</x:v>
      </x:c>
      <x:c r="K18" s="59" t="str">
        <x:v>SF/PF</x:v>
      </x:c>
      <x:c r="L18" s="62" t="str">
        <x:v>Efficient supporting wing; useful depth, not an automatic category-league premium.</x:v>
      </x:c>
    </x:row>
    <x:row r="19" ht="20" customHeight="1">
      <x:c r="A19" s="59" t="n">
        <x:v>14</x:v>
      </x:c>
      <x:c r="B19" s="59" t="n">
        <x:v>73</x:v>
      </x:c>
      <x:c r="C19" s="59" t="str">
        <x:v>Paul George</x:v>
      </x:c>
      <x:c r="D19" s="59" t="str">
        <x:v>BOS</x:v>
      </x:c>
      <x:c r="E19" s="58" t="n">
        <x:v>37</x:v>
      </x:c>
      <x:c r="F19" s="60" t="n">
        <x:v>32.6</x:v>
      </x:c>
      <x:c r="G19" s="60" t="n">
        <x:v>25.83665906486535</x:v>
      </x:c>
      <x:c r="H19" s="60" t="n">
        <x:v>41.83665906486535</x:v>
      </x:c>
      <x:c r="I19" s="58" t="n">
        <x:v>63</x:v>
      </x:c>
      <x:c r="J19" s="59" t="str">
        <x:v>HIGH</x:v>
      </x:c>
      <x:c r="K19" s="59" t="str">
        <x:v>PF/SF</x:v>
      </x:c>
      <x:c r="L19" s="62" t="str">
        <x:v>Boston role supports value, but availability keeps him outside my core targets.</x:v>
      </x:c>
    </x:row>
    <x:row r="20" ht="20" customHeight="1">
      <x:c r="A20" s="59" t="n">
        <x:v>15</x:v>
      </x:c>
      <x:c r="B20" s="59" t="n">
        <x:v>79</x:v>
      </x:c>
      <x:c r="C20" s="59" t="str">
        <x:v>Josh Hart</x:v>
      </x:c>
      <x:c r="D20" s="59" t="str">
        <x:v>NYK</x:v>
      </x:c>
      <x:c r="E20" s="58" t="n">
        <x:v>66</x:v>
      </x:c>
      <x:c r="F20" s="60" t="n">
        <x:v>30.850000000000005</x:v>
      </x:c>
      <x:c r="G20" s="60" t="n">
        <x:v>28.9080099413437</x:v>
      </x:c>
      <x:c r="H20" s="60" t="n">
        <x:v>35.9080099413437</x:v>
      </x:c>
      <x:c r="I20" s="58" t="n">
        <x:v>73</x:v>
      </x:c>
      <x:c r="J20" s="59" t="str">
        <x:v>STANDARD</x:v>
      </x:c>
      <x:c r="K20" s="59" t="str">
        <x:v>SF/SG</x:v>
      </x:c>
      <x:c r="L20" s="62" t="str">
        <x:v>Rebounding wing useful for lineup balance; limited high-usage scoring ceiling.</x:v>
      </x:c>
    </x:row>
    <x:row r="21" ht="20" customHeight="1">
      <x:c r="A21" s="59" t="n">
        <x:v>16</x:v>
      </x:c>
      <x:c r="B21" s="59" t="n">
        <x:v>90</x:v>
      </x:c>
      <x:c r="C21" s="59" t="str">
        <x:v>Brandon Ingram</x:v>
      </x:c>
      <x:c r="D21" s="59" t="str">
        <x:v>LAC</x:v>
      </x:c>
      <x:c r="E21" s="58" t="n">
        <x:v>77</x:v>
      </x:c>
      <x:c r="F21" s="60" t="n">
        <x:v>36.20000000000001</x:v>
      </x:c>
      <x:c r="G21" s="60" t="n">
        <x:v>28.435330515759638</x:v>
      </x:c>
      <x:c r="H21" s="60" t="n">
        <x:v>44.43533051575964</x:v>
      </x:c>
      <x:c r="I21" s="58" t="n">
        <x:v>52</x:v>
      </x:c>
      <x:c r="J21" s="59" t="str">
        <x:v>HIGH</x:v>
      </x:c>
      <x:c r="K21" s="59" t="str">
        <x:v>SG/SF/PF</x:v>
      </x:c>
      <x:c r="L21" s="62" t="str">
        <x:v>Will miss the start of the season after heel surgery/partial Achilles tear; no firm return date.</x:v>
      </x:c>
    </x:row>
    <x:row r="22" ht="20" customHeight="1">
      <x:c r="A22" s="59" t="n">
        <x:v>17</x:v>
      </x:c>
      <x:c r="B22" s="59" t="n">
        <x:v>95</x:v>
      </x:c>
      <x:c r="C22" s="59" t="str">
        <x:v>DeMar DeRozan</x:v>
      </x:c>
      <x:c r="D22" s="59" t="str">
        <x:v>DEN</x:v>
      </x:c>
      <x:c r="E22" s="58" t="n">
        <x:v>77</x:v>
      </x:c>
      <x:c r="F22" s="60" t="n">
        <x:v>33.2</x:v>
      </x:c>
      <x:c r="G22" s="60" t="n">
        <x:v>26.64770597516781</x:v>
      </x:c>
      <x:c r="H22" s="60" t="n">
        <x:v>33.64770597516781</x:v>
      </x:c>
      <x:c r="I22" s="58" t="n">
        <x:v>77</x:v>
      </x:c>
      <x:c r="J22" s="59" t="str">
        <x:v>STANDARD</x:v>
      </x:c>
      <x:c r="K22" s="59" t="str">
        <x:v>PF/SF</x:v>
      </x:c>
      <x:c r="L22" s="62" t="str">
        <x:v>Denver role is less likely to reproduce a primary scoring workload.</x:v>
      </x:c>
    </x:row>
    <x:row r="23" ht="20" customHeight="1">
      <x:c r="A23" s="59" t="n">
        <x:v>18</x:v>
      </x:c>
      <x:c r="B23" s="59" t="n">
        <x:v>97</x:v>
      </x:c>
      <x:c r="C23" s="59" t="str">
        <x:v>Mikal Bridges</x:v>
      </x:c>
      <x:c r="D23" s="59" t="str">
        <x:v>NYK</x:v>
      </x:c>
      <x:c r="E23" s="58" t="n">
        <x:v>82</x:v>
      </x:c>
      <x:c r="F23" s="60" t="n">
        <x:v>30.150000000000006</x:v>
      </x:c>
      <x:c r="G23" s="60" t="n">
        <x:v>26.220184736367504</x:v>
      </x:c>
      <x:c r="H23" s="60" t="n">
        <x:v>33.2201847363675</x:v>
      </x:c>
      <x:c r="I23" s="58" t="n">
        <x:v>80</x:v>
      </x:c>
      <x:c r="J23" s="59" t="str">
        <x:v>STANDARD</x:v>
      </x:c>
      <x:c r="K23" s="59" t="str">
        <x:v>PF/SF/SG</x:v>
      </x:c>
      <x:c r="L23" s="62" t="str">
        <x:v>Availability helps depth value; don't mistake heavy minutes for elite per-game production.</x:v>
      </x:c>
    </x:row>
    <x:row r="24" ht="20" customHeight="1">
      <x:c r="A24" s="59" t="n">
        <x:v>19</x:v>
      </x:c>
      <x:c r="B24" s="59" t="n">
        <x:v>103</x:v>
      </x:c>
      <x:c r="C24" s="59" t="str">
        <x:v>Cedric Coward</x:v>
      </x:c>
      <x:c r="D24" s="59" t="str">
        <x:v>MEM</x:v>
      </x:c>
      <x:c r="E24" s="58" t="n">
        <x:v>62</x:v>
      </x:c>
      <x:c r="F24" s="60" t="n">
        <x:v>27.4</x:v>
      </x:c>
      <x:c r="G24" s="60" t="n">
        <x:v>25.285944978046405</x:v>
      </x:c>
      <x:c r="H24" s="60" t="n">
        <x:v>32.2859449780464</x:v>
      </x:c>
      <x:c r="I24" s="58" t="n">
        <x:v>74</x:v>
      </x:c>
      <x:c r="J24" s="59" t="str">
        <x:v>STANDARD</x:v>
      </x:c>
      <x:c r="K24" s="59" t="str">
        <x:v>SF/SG</x:v>
      </x:c>
      <x:c r="L24" s="62" t="str">
        <x:v>Memphis youth opportunity earns a modest upside adjustment; still speculative.</x:v>
      </x:c>
    </x:row>
    <x:row r="25" ht="20" customHeight="1">
      <x:c r="A25" s="59" t="n">
        <x:v>20</x:v>
      </x:c>
      <x:c r="B25" s="59" t="n">
        <x:v>105</x:v>
      </x:c>
      <x:c r="C25" s="59" t="str">
        <x:v>Jaden McDaniels</x:v>
      </x:c>
      <x:c r="D25" s="59" t="str">
        <x:v>MIN</x:v>
      </x:c>
      <x:c r="E25" s="58"/>
      <x:c r="F25" s="60"/>
      <x:c r="G25" s="60" t="n">
        <x:v>26.06936253610582</x:v>
      </x:c>
      <x:c r="H25" s="60" t="n">
        <x:v>33.06936253610582</x:v>
      </x:c>
      <x:c r="I25" s="58" t="n">
        <x:v>76</x:v>
      </x:c>
      <x:c r="J25" s="59" t="str">
        <x:v>DEEP</x:v>
      </x:c>
      <x:c r="K25" s="59" t="str">
        <x:v>PF/SF</x:v>
      </x:c>
      <x:c r="L25" s="62" t="str">
        <x:v>Deep-board candidate for a 10-team league; custom-format estimate emphasizes role, efficiency and rebounding. Recheck camp role and app eligibility before draft day.</x:v>
      </x:c>
    </x:row>
    <x:row r="26" ht="20" customHeight="1">
      <x:c r="A26" s="59" t="n">
        <x:v>21</x:v>
      </x:c>
      <x:c r="B26" s="59" t="n">
        <x:v>110</x:v>
      </x:c>
      <x:c r="C26" s="59" t="str">
        <x:v>Dillon Brooks</x:v>
      </x:c>
      <x:c r="D26" s="59" t="str">
        <x:v>PHX</x:v>
      </x:c>
      <x:c r="E26" s="58" t="n">
        <x:v>56</x:v>
      </x:c>
      <x:c r="F26" s="60" t="n">
        <x:v>29.199999999999996</x:v>
      </x:c>
      <x:c r="G26" s="60" t="n">
        <x:v>23.77121098373676</x:v>
      </x:c>
      <x:c r="H26" s="60" t="n">
        <x:v>30.77121098373676</x:v>
      </x:c>
      <x:c r="I26" s="58" t="n">
        <x:v>74</x:v>
      </x:c>
      <x:c r="J26" s="59" t="str">
        <x:v>STANDARD</x:v>
      </x:c>
      <x:c r="K26" s="59" t="str">
        <x:v>PF/SF/SG</x:v>
      </x:c>
      <x:c r="L26" s="62" t="str">
        <x:v>Late depth; no speculative ejection bonus is included.</x:v>
      </x:c>
    </x:row>
    <x:row r="27" ht="20" customHeight="1">
      <x:c r="A27" s="59" t="n">
        <x:v>22</x:v>
      </x:c>
      <x:c r="B27" s="59" t="n">
        <x:v>113</x:v>
      </x:c>
      <x:c r="C27" s="59" t="str">
        <x:v>Saddiq Bey</x:v>
      </x:c>
      <x:c r="D27" s="59" t="str">
        <x:v>NOP</x:v>
      </x:c>
      <x:c r="E27" s="58" t="n">
        <x:v>72</x:v>
      </x:c>
      <x:c r="F27" s="60" t="n">
        <x:v>34.199999999999996</x:v>
      </x:c>
      <x:c r="G27" s="60" t="n">
        <x:v>22.68461039473509</x:v>
      </x:c>
      <x:c r="H27" s="60" t="n">
        <x:v>29.68461039473509</x:v>
      </x:c>
      <x:c r="I27" s="58" t="n">
        <x:v>75</x:v>
      </x:c>
      <x:c r="J27" s="59" t="str">
        <x:v>STANDARD</x:v>
      </x:c>
      <x:c r="K27" s="59" t="str">
        <x:v>SF/PF</x:v>
      </x:c>
      <x:c r="L27" s="62" t="str">
        <x:v>Late wing option; prefer him only at a price below the higher-upside forwards.</x:v>
      </x:c>
    </x:row>
    <x:row r="28" ht="20" customHeight="1">
      <x:c r="A28" s="59" t="n">
        <x:v>23</x:v>
      </x:c>
      <x:c r="B28" s="59" t="n">
        <x:v>116</x:v>
      </x:c>
      <x:c r="C28" s="59" t="str">
        <x:v>Cameron Johnson</x:v>
      </x:c>
      <x:c r="D28" s="59" t="str">
        <x:v>DEN</x:v>
      </x:c>
      <x:c r="E28" s="58"/>
      <x:c r="F28" s="60"/>
      <x:c r="G28" s="60" t="n">
        <x:v>25.309796886901413</x:v>
      </x:c>
      <x:c r="H28" s="60" t="n">
        <x:v>32.30979688690141</x:v>
      </x:c>
      <x:c r="I28" s="58" t="n">
        <x:v>73</x:v>
      </x:c>
      <x:c r="J28" s="59" t="str">
        <x:v>DEEP</x:v>
      </x:c>
      <x:c r="K28" s="59" t="str">
        <x:v>PF/SF</x:v>
      </x:c>
      <x:c r="L28" s="62" t="str">
        <x:v>Deep-board candidate for a 10-team league; custom-format estimate emphasizes role, efficiency and rebounding. Recheck camp role and app eligibility before draft day.</x:v>
      </x:c>
    </x:row>
    <x:row r="29" ht="20" customHeight="1">
      <x:c r="A29" s="59" t="n">
        <x:v>24</x:v>
      </x:c>
      <x:c r="B29" s="59" t="n">
        <x:v>117</x:v>
      </x:c>
      <x:c r="C29" s="59" t="str">
        <x:v>Andrew Wiggins</x:v>
      </x:c>
      <x:c r="D29" s="59" t="str">
        <x:v>MIA</x:v>
      </x:c>
      <x:c r="E29" s="58"/>
      <x:c r="F29" s="60"/>
      <x:c r="G29" s="60" t="n">
        <x:v>27.674345446311243</x:v>
      </x:c>
      <x:c r="H29" s="60" t="n">
        <x:v>34.67434544631124</x:v>
      </x:c>
      <x:c r="I29" s="58" t="n">
        <x:v>73</x:v>
      </x:c>
      <x:c r="J29" s="59" t="str">
        <x:v>DEEP</x:v>
      </x:c>
      <x:c r="K29" s="59" t="str">
        <x:v>PF/SF/SG</x:v>
      </x:c>
      <x:c r="L29" s="62" t="str">
        <x:v>Deep-board candidate for a 10-team league; custom-format estimate emphasizes role, efficiency and rebounding. Recheck camp role and app eligibility before draft day.</x:v>
      </x:c>
    </x:row>
    <x:row r="30" ht="20" customHeight="1">
      <x:c r="A30" s="59" t="n">
        <x:v>25</x:v>
      </x:c>
      <x:c r="B30" s="59" t="n">
        <x:v>118</x:v>
      </x:c>
      <x:c r="C30" s="59" t="str">
        <x:v>Zaccharie Risacher</x:v>
      </x:c>
      <x:c r="D30" s="59" t="str">
        <x:v>ATL</x:v>
      </x:c>
      <x:c r="E30" s="58"/>
      <x:c r="F30" s="60"/>
      <x:c r="G30" s="60" t="n">
        <x:v>23.27</x:v>
      </x:c>
      <x:c r="H30" s="60" t="n">
        <x:v>30.27</x:v>
      </x:c>
      <x:c r="I30" s="58" t="n">
        <x:v>70</x:v>
      </x:c>
      <x:c r="J30" s="59" t="str">
        <x:v>DEEP</x:v>
      </x:c>
      <x:c r="K30" s="59" t="str">
        <x:v>SF/PF</x:v>
      </x:c>
      <x:c r="L30" s="62" t="str">
        <x:v>Deep-board candidate for a 10-team league; custom-format estimate emphasizes role, efficiency and rebounding. Recheck camp role and app eligibility before draft day.</x:v>
      </x:c>
    </x:row>
    <x:row r="31" ht="20" customHeight="1">
      <x:c r="A31" s="59" t="n">
        <x:v>26</x:v>
      </x:c>
      <x:c r="B31" s="59" t="n">
        <x:v>124</x:v>
      </x:c>
      <x:c r="C31" s="59" t="str">
        <x:v>Peyton Watson</x:v>
      </x:c>
      <x:c r="D31" s="59" t="str">
        <x:v>CLE</x:v>
      </x:c>
      <x:c r="E31" s="58" t="n">
        <x:v>54</x:v>
      </x:c>
      <x:c r="F31" s="60" t="n">
        <x:v>27.500000000000004</x:v>
      </x:c>
      <x:c r="G31" s="60" t="n">
        <x:v>21.899427004647787</x:v>
      </x:c>
      <x:c r="H31" s="60" t="n">
        <x:v>28.899427004647787</x:v>
      </x:c>
      <x:c r="I31" s="58" t="n">
        <x:v>75</x:v>
      </x:c>
      <x:c r="J31" s="59" t="str">
        <x:v>STANDARD</x:v>
      </x:c>
      <x:c r="K31" s="59" t="str">
        <x:v>SF/PF</x:v>
      </x:c>
      <x:c r="L31" s="62" t="str">
        <x:v>Cleveland role needs confirmation; defensive reputation alone is not enough.</x:v>
      </x:c>
    </x:row>
    <x:row r="32" ht="20" customHeight="1">
      <x:c r="A32" s="59" t="n">
        <x:v>27</x:v>
      </x:c>
      <x:c r="B32" s="59" t="n">
        <x:v>133</x:v>
      </x:c>
      <x:c r="C32" s="59" t="str">
        <x:v>Aaron Nesmith</x:v>
      </x:c>
      <x:c r="D32" s="59" t="str">
        <x:v>IND</x:v>
      </x:c>
      <x:c r="E32" s="58"/>
      <x:c r="F32" s="60"/>
      <x:c r="G32" s="60" t="n">
        <x:v>21.861256046537925</x:v>
      </x:c>
      <x:c r="H32" s="60" t="n">
        <x:v>28.861256046537925</x:v>
      </x:c>
      <x:c r="I32" s="58" t="n">
        <x:v>71</x:v>
      </x:c>
      <x:c r="J32" s="59" t="str">
        <x:v>DEEP</x:v>
      </x:c>
      <x:c r="K32" s="59" t="str">
        <x:v>PF/SF/SG</x:v>
      </x:c>
      <x:c r="L32" s="62" t="str">
        <x:v>Deep-board candidate for a 10-team league; custom-format estimate emphasizes role, efficiency and rebounding. Recheck camp role and app eligibility before draft day.</x:v>
      </x:c>
    </x:row>
    <x:row r="33" ht="20" customHeight="1">
      <x:c r="A33" s="59" t="n">
        <x:v>28</x:v>
      </x:c>
      <x:c r="B33" s="59" t="n">
        <x:v>136</x:v>
      </x:c>
      <x:c r="C33" s="59" t="str">
        <x:v>Ausar Thompson</x:v>
      </x:c>
      <x:c r="D33" s="59" t="str">
        <x:v>DET</x:v>
      </x:c>
      <x:c r="E33" s="58"/>
      <x:c r="F33" s="60"/>
      <x:c r="G33" s="60" t="n">
        <x:v>22.13</x:v>
      </x:c>
      <x:c r="H33" s="60" t="n">
        <x:v>29.13</x:v>
      </x:c>
      <x:c r="I33" s="58" t="n">
        <x:v>70</x:v>
      </x:c>
      <x:c r="J33" s="59" t="str">
        <x:v>DEEP</x:v>
      </x:c>
      <x:c r="K33" s="59" t="str">
        <x:v>SF/PF</x:v>
      </x:c>
      <x:c r="L33" s="62" t="str">
        <x:v>Deep-board candidate for a 10-team league; custom-format estimate emphasizes role, efficiency and rebounding. Recheck camp role and app eligibility before draft day.</x:v>
      </x:c>
    </x:row>
    <x:row r="34" ht="20" customHeight="1">
      <x:c r="A34" s="59" t="n">
        <x:v>29</x:v>
      </x:c>
      <x:c r="B34" s="59" t="n">
        <x:v>137</x:v>
      </x:c>
      <x:c r="C34" s="59" t="str">
        <x:v>Ace Bailey</x:v>
      </x:c>
      <x:c r="D34" s="59" t="str">
        <x:v>UTA</x:v>
      </x:c>
      <x:c r="E34" s="58"/>
      <x:c r="F34" s="60"/>
      <x:c r="G34" s="60" t="n">
        <x:v>21.586612864721488</x:v>
      </x:c>
      <x:c r="H34" s="60" t="n">
        <x:v>28.586612864721488</x:v>
      </x:c>
      <x:c r="I34" s="58" t="n">
        <x:v>75</x:v>
      </x:c>
      <x:c r="J34" s="59" t="str">
        <x:v>DEEP</x:v>
      </x:c>
      <x:c r="K34" s="59" t="str">
        <x:v>PF/SF</x:v>
      </x:c>
      <x:c r="L34" s="62" t="str">
        <x:v>Deep-board candidate for a 10-team league; custom-format estimate emphasizes role, efficiency and rebounding. Recheck camp role and app eligibility before draft day.</x:v>
      </x:c>
    </x:row>
    <x:row r="35" ht="20" customHeight="1">
      <x:c r="A35" s="59" t="n">
        <x:v>30</x:v>
      </x:c>
      <x:c r="B35" s="59" t="n">
        <x:v>138</x:v>
      </x:c>
      <x:c r="C35" s="59" t="str">
        <x:v>Tari Eason</x:v>
      </x:c>
      <x:c r="D35" s="59" t="str">
        <x:v>HOU</x:v>
      </x:c>
      <x:c r="E35" s="58"/>
      <x:c r="F35" s="60"/>
      <x:c r="G35" s="60" t="n">
        <x:v>22.02</x:v>
      </x:c>
      <x:c r="H35" s="60" t="n">
        <x:v>29.02</x:v>
      </x:c>
      <x:c r="I35" s="58" t="n">
        <x:v>70</x:v>
      </x:c>
      <x:c r="J35" s="59" t="str">
        <x:v>DEEP</x:v>
      </x:c>
      <x:c r="K35" s="59" t="str">
        <x:v>SF/PF</x:v>
      </x:c>
      <x:c r="L35" s="62" t="str">
        <x:v>Deep-board candidate for a 10-team league; custom-format estimate emphasizes role, efficiency and rebounding. Recheck camp role and app eligibility before draft day.</x:v>
      </x:c>
    </x:row>
    <x:row r="36" ht="20" customHeight="1">
      <x:c r="A36" s="59" t="n">
        <x:v>31</x:v>
      </x:c>
      <x:c r="B36" s="59" t="n">
        <x:v>140</x:v>
      </x:c>
      <x:c r="C36" s="59" t="str">
        <x:v>Jaime Jaquez Jr.</x:v>
      </x:c>
      <x:c r="D36" s="59" t="str">
        <x:v>MIL</x:v>
      </x:c>
      <x:c r="E36" s="58"/>
      <x:c r="F36" s="60"/>
      <x:c r="G36" s="60" t="n">
        <x:v>23.118132292205246</x:v>
      </x:c>
      <x:c r="H36" s="60" t="n">
        <x:v>30.118132292205246</x:v>
      </x:c>
      <x:c r="I36" s="58" t="n">
        <x:v>76</x:v>
      </x:c>
      <x:c r="J36" s="59" t="str">
        <x:v>DEEP</x:v>
      </x:c>
      <x:c r="K36" s="59" t="str">
        <x:v>PF/SF/SG</x:v>
      </x:c>
      <x:c r="L36" s="62" t="str">
        <x:v>Deep-board candidate for a 10-team league; custom-format estimate emphasizes role, efficiency and rebounding. Recheck camp role and app eligibility before draft day.</x:v>
      </x:c>
    </x:row>
    <x:row r="37" ht="20" customHeight="1">
      <x:c r="A37" s="59" t="n">
        <x:v>32</x:v>
      </x:c>
      <x:c r="B37" s="59" t="n">
        <x:v>146</x:v>
      </x:c>
      <x:c r="C37" s="59" t="str">
        <x:v>Toumani Camara</x:v>
      </x:c>
      <x:c r="D37" s="59" t="str">
        <x:v>POR</x:v>
      </x:c>
      <x:c r="E37" s="58"/>
      <x:c r="F37" s="60"/>
      <x:c r="G37" s="60" t="n">
        <x:v>21.45</x:v>
      </x:c>
      <x:c r="H37" s="60" t="n">
        <x:v>28.45</x:v>
      </x:c>
      <x:c r="I37" s="58" t="n">
        <x:v>70</x:v>
      </x:c>
      <x:c r="J37" s="59" t="str">
        <x:v>DEEP</x:v>
      </x:c>
      <x:c r="K37" s="59" t="str">
        <x:v>SF/PF</x:v>
      </x:c>
      <x:c r="L37" s="62" t="str">
        <x:v>Deep-board candidate for a 10-team league; custom-format estimate emphasizes role, efficiency and rebounding. Recheck camp role and app eligibility before draft day.</x:v>
      </x:c>
    </x:row>
    <x:row r="38" ht="20" customHeight="1">
      <x:c r="A38" s="59" t="n">
        <x:v>33</x:v>
      </x:c>
      <x:c r="B38" s="59" t="n">
        <x:v>149</x:v>
      </x:c>
      <x:c r="C38" s="59" t="str">
        <x:v>Herbert Jones</x:v>
      </x:c>
      <x:c r="D38" s="59" t="str">
        <x:v>NOP</x:v>
      </x:c>
      <x:c r="E38" s="58"/>
      <x:c r="F38" s="60"/>
      <x:c r="G38" s="60" t="n">
        <x:v>21.34</x:v>
      </x:c>
      <x:c r="H38" s="60" t="n">
        <x:v>28.34</x:v>
      </x:c>
      <x:c r="I38" s="58" t="n">
        <x:v>70</x:v>
      </x:c>
      <x:c r="J38" s="59" t="str">
        <x:v>DEEP</x:v>
      </x:c>
      <x:c r="K38" s="59" t="str">
        <x:v>SF/PF</x:v>
      </x:c>
      <x:c r="L38" s="62" t="str">
        <x:v>Deep-board candidate for a 10-team league; custom-format estimate emphasizes role, efficiency and rebounding. Recheck camp role and app eligibility before draft day.</x:v>
      </x:c>
    </x:row>
    <x:row r="39" ht="20" customHeight="1">
      <x:c r="A39" s="59" t="n">
        <x:v>34</x:v>
      </x:c>
      <x:c r="B39" s="59" t="n">
        <x:v>154</x:v>
      </x:c>
      <x:c r="C39" s="59" t="str">
        <x:v>Corey Kispert</x:v>
      </x:c>
      <x:c r="D39" s="59" t="str">
        <x:v>ATL</x:v>
      </x:c>
      <x:c r="E39" s="58"/>
      <x:c r="F39" s="60"/>
      <x:c r="G39" s="60" t="n">
        <x:v>20.77</x:v>
      </x:c>
      <x:c r="H39" s="60" t="n">
        <x:v>27.77</x:v>
      </x:c>
      <x:c r="I39" s="58" t="n">
        <x:v>70</x:v>
      </x:c>
      <x:c r="J39" s="59" t="str">
        <x:v>DEEP</x:v>
      </x:c>
      <x:c r="K39" s="59" t="str">
        <x:v>SG/SF</x:v>
      </x:c>
      <x:c r="L39" s="62" t="str">
        <x:v>Deep-board candidate for a 10-team league; custom-format estimate emphasizes role, efficiency and rebounding. Recheck camp role and app eligibility before draft day.</x:v>
      </x:c>
    </x:row>
    <x:row r="40" ht="20" customHeight="1">
      <x:c r="A40" s="59" t="n">
        <x:v>35</x:v>
      </x:c>
      <x:c r="B40" s="59" t="n">
        <x:v>159</x:v>
      </x:c>
      <x:c r="C40" s="59" t="str">
        <x:v>Jaylen Wells</x:v>
      </x:c>
      <x:c r="D40" s="59" t="str">
        <x:v>MEM</x:v>
      </x:c>
      <x:c r="E40" s="58"/>
      <x:c r="F40" s="60"/>
      <x:c r="G40" s="60" t="n">
        <x:v>19.74</x:v>
      </x:c>
      <x:c r="H40" s="60" t="n">
        <x:v>26.74</x:v>
      </x:c>
      <x:c r="I40" s="58" t="n">
        <x:v>70</x:v>
      </x:c>
      <x:c r="J40" s="59" t="str">
        <x:v>DEEP</x:v>
      </x:c>
      <x:c r="K40" s="59" t="str">
        <x:v>SG/SF</x:v>
      </x:c>
      <x:c r="L40" s="62" t="str">
        <x:v>Deep-board candidate for a 10-team league; custom-format estimate emphasizes role, efficiency and rebounding. Recheck camp role and app eligibility before draft day.</x:v>
      </x:c>
    </x:row>
    <x:row r="41" ht="20" customHeight="1">
      <x:c r="A41" s="59" t="n">
        <x:v>36</x:v>
      </x:c>
      <x:c r="B41" s="59" t="n">
        <x:v>162</x:v>
      </x:c>
      <x:c r="C41" s="59" t="str">
        <x:v>Sam Hauser</x:v>
      </x:c>
      <x:c r="D41" s="59" t="str">
        <x:v>BOS</x:v>
      </x:c>
      <x:c r="E41" s="58"/>
      <x:c r="F41" s="60"/>
      <x:c r="G41" s="60" t="n">
        <x:v>19.63</x:v>
      </x:c>
      <x:c r="H41" s="60" t="n">
        <x:v>26.63</x:v>
      </x:c>
      <x:c r="I41" s="58" t="n">
        <x:v>70</x:v>
      </x:c>
      <x:c r="J41" s="59" t="str">
        <x:v>DEEP</x:v>
      </x:c>
      <x:c r="K41" s="59" t="str">
        <x:v>SF/PF</x:v>
      </x:c>
      <x:c r="L41" s="62" t="str">
        <x:v>Deep-board candidate for a 10-team league; custom-format estimate emphasizes role, efficiency and rebounding. Recheck camp role and app eligibility before draft day.</x:v>
      </x:c>
    </x:row>
    <x:row r="42" ht="20" customHeight="1">
      <x:c r="A42" s="59" t="n">
        <x:v>37</x:v>
      </x:c>
      <x:c r="B42" s="59" t="n">
        <x:v>165</x:v>
      </x:c>
      <x:c r="C42" s="59" t="str">
        <x:v>De'Andre Hunter</x:v>
      </x:c>
      <x:c r="D42" s="59" t="str">
        <x:v>SAC</x:v>
      </x:c>
      <x:c r="E42" s="58"/>
      <x:c r="F42" s="60"/>
      <x:c r="G42" s="60" t="n">
        <x:v>19.63474139710055</x:v>
      </x:c>
      <x:c r="H42" s="60" t="n">
        <x:v>30.63474139710055</x:v>
      </x:c>
      <x:c r="I42" s="58" t="n">
        <x:v>68</x:v>
      </x:c>
      <x:c r="J42" s="59" t="str">
        <x:v>MEDIUM</x:v>
      </x:c>
      <x:c r="K42" s="59" t="str">
        <x:v>SF/PF</x:v>
      </x:c>
      <x:c r="L42" s="62" t="str">
        <x:v>Current public projection feed flags him OUT. Apply a modest short-term availability discount until status clears.</x:v>
      </x:c>
    </x:row>
    <x:row r="43" ht="20" customHeight="1">
      <x:c r="A43" s="59" t="n">
        <x:v>38</x:v>
      </x:c>
      <x:c r="B43" s="59" t="n">
        <x:v>166</x:v>
      </x:c>
      <x:c r="C43" s="59" t="str">
        <x:v>Jimmy Butler</x:v>
      </x:c>
      <x:c r="D43" s="59" t="str">
        <x:v>GSW</x:v>
      </x:c>
      <x:c r="E43" s="58" t="n">
        <x:v>38</x:v>
      </x:c>
      <x:c r="F43" s="60" t="n">
        <x:v>44.05</x:v>
      </x:c>
      <x:c r="G43" s="60" t="n">
        <x:v>33.66696742146069</x:v>
      </x:c>
      <x:c r="H43" s="60" t="n">
        <x:v>49.66696742146069</x:v>
      </x:c>
      <x:c r="I43" s="58" t="n">
        <x:v>28</x:v>
      </x:c>
      <x:c r="J43" s="59" t="str">
        <x:v>HIGH</x:v>
      </x:c>
      <x:c r="K43" s="59" t="str">
        <x:v>PF/SF/SG</x:v>
      </x:c>
      <x:c r="L43" s="62" t="str">
        <x:v>ACL rehab; current reporting points to a January-February return window. IR stash only at a deep discount.</x:v>
      </x:c>
    </x:row>
    <x:row r="44" ht="20" customHeight="1">
      <x:c r="A44" s="59" t="n">
        <x:v>39</x:v>
      </x:c>
      <x:c r="B44" s="59" t="n">
        <x:v>169</x:v>
      </x:c>
      <x:c r="C44" s="59" t="str">
        <x:v>Kelly Oubre Jr.</x:v>
      </x:c>
      <x:c r="D44" s="59" t="str">
        <x:v>IND</x:v>
      </x:c>
      <x:c r="E44" s="58"/>
      <x:c r="F44" s="60"/>
      <x:c r="G44" s="60" t="n">
        <x:v>19.46902301784475</x:v>
      </x:c>
      <x:c r="H44" s="60" t="n">
        <x:v>26.46902301784475</x:v>
      </x:c>
      <x:c r="I44" s="58" t="n">
        <x:v>73</x:v>
      </x:c>
      <x:c r="J44" s="59" t="str">
        <x:v>DEEP</x:v>
      </x:c>
      <x:c r="K44" s="59" t="str">
        <x:v>PF/SF/SG</x:v>
      </x:c>
      <x:c r="L44" s="62" t="str">
        <x:v>Deep-board candidate for a 10-team league; custom-format estimate emphasizes role, efficiency and rebounding. Recheck camp role and app eligibility before draft day.</x:v>
      </x:c>
    </x:row>
    <x:row r="45" ht="20" customHeight="1">
      <x:c r="A45" s="59" t="n">
        <x:v>40</x:v>
      </x:c>
      <x:c r="B45" s="59" t="n">
        <x:v>170</x:v>
      </x:c>
      <x:c r="C45" s="59" t="str">
        <x:v>Naji Marshall</x:v>
      </x:c>
      <x:c r="D45" s="59" t="str">
        <x:v>DAL</x:v>
      </x:c>
      <x:c r="E45" s="58" t="n">
        <x:v>74</x:v>
      </x:c>
      <x:c r="F45" s="60" t="n">
        <x:v>29</x:v>
      </x:c>
      <x:c r="G45" s="60" t="n">
        <x:v>20.515</x:v>
      </x:c>
      <x:c r="H45" s="60" t="n">
        <x:v>29.525</x:v>
      </x:c>
      <x:c r="I45" s="58" t="n">
        <x:v>60</x:v>
      </x:c>
      <x:c r="J45" s="59" t="str">
        <x:v>DEEP</x:v>
      </x:c>
      <x:c r="K45" s="59" t="str">
        <x:v>SF</x:v>
      </x:c>
      <x:c r="L45" s="62" t="str">
        <x:v>Deep-pool model: 2025-26 custom-score production shrunk toward a conservative 2026-27 role estimate; not a published projection.</x:v>
      </x:c>
    </x:row>
    <x:row r="46" ht="20" customHeight="1">
      <x:c r="A46" s="59" t="n">
        <x:v>41</x:v>
      </x:c>
      <x:c r="B46" s="59" t="n">
        <x:v>172</x:v>
      </x:c>
      <x:c r="C46" s="59" t="str">
        <x:v>Harrison Barnes</x:v>
      </x:c>
      <x:c r="D46" s="59" t="str">
        <x:v>SAS</x:v>
      </x:c>
      <x:c r="E46" s="58"/>
      <x:c r="F46" s="60"/>
      <x:c r="G46" s="60" t="n">
        <x:v>19.28</x:v>
      </x:c>
      <x:c r="H46" s="60" t="n">
        <x:v>26.28</x:v>
      </x:c>
      <x:c r="I46" s="58" t="n">
        <x:v>70</x:v>
      </x:c>
      <x:c r="J46" s="59" t="str">
        <x:v>DEEP</x:v>
      </x:c>
      <x:c r="K46" s="59" t="str">
        <x:v>SF/PF</x:v>
      </x:c>
      <x:c r="L46" s="62" t="str">
        <x:v>Deep-board candidate for a 10-team league; custom-format estimate emphasizes role, efficiency and rebounding. Recheck camp role and app eligibility before draft day.</x:v>
      </x:c>
    </x:row>
    <x:row r="47" ht="20" customHeight="1">
      <x:c r="A47" s="59" t="n">
        <x:v>42</x:v>
      </x:c>
      <x:c r="B47" s="59" t="n">
        <x:v>175</x:v>
      </x:c>
      <x:c r="C47" s="59" t="str">
        <x:v>Bilal Coulibaly</x:v>
      </x:c>
      <x:c r="D47" s="59" t="str">
        <x:v>WAS</x:v>
      </x:c>
      <x:c r="E47" s="58"/>
      <x:c r="F47" s="60"/>
      <x:c r="G47" s="60" t="n">
        <x:v>18.94</x:v>
      </x:c>
      <x:c r="H47" s="60" t="n">
        <x:v>25.94</x:v>
      </x:c>
      <x:c r="I47" s="58" t="n">
        <x:v>70</x:v>
      </x:c>
      <x:c r="J47" s="59" t="str">
        <x:v>DEEP</x:v>
      </x:c>
      <x:c r="K47" s="59" t="str">
        <x:v>SG/SF</x:v>
      </x:c>
      <x:c r="L47" s="62" t="str">
        <x:v>Deep-board candidate for a 10-team league; custom-format estimate emphasizes role, efficiency and rebounding. Recheck camp role and app eligibility before draft day.</x:v>
      </x:c>
    </x:row>
    <x:row r="48" ht="20" customHeight="1">
      <x:c r="A48" s="59" t="n">
        <x:v>43</x:v>
      </x:c>
      <x:c r="B48" s="59" t="n">
        <x:v>177</x:v>
      </x:c>
      <x:c r="C48" s="59" t="str">
        <x:v>Keldon Johnson</x:v>
      </x:c>
      <x:c r="D48" s="59" t="str">
        <x:v>SAS</x:v>
      </x:c>
      <x:c r="E48" s="58"/>
      <x:c r="F48" s="60"/>
      <x:c r="G48" s="60" t="n">
        <x:v>18.83</x:v>
      </x:c>
      <x:c r="H48" s="60" t="n">
        <x:v>25.83</x:v>
      </x:c>
      <x:c r="I48" s="58" t="n">
        <x:v>70</x:v>
      </x:c>
      <x:c r="J48" s="59" t="str">
        <x:v>DEEP</x:v>
      </x:c>
      <x:c r="K48" s="59" t="str">
        <x:v>SF/PF</x:v>
      </x:c>
      <x:c r="L48" s="62" t="str">
        <x:v>Deep-board candidate for a 10-team league; custom-format estimate emphasizes role, efficiency and rebounding. Recheck camp role and app eligibility before draft day.</x:v>
      </x:c>
    </x:row>
    <x:row r="49" ht="20" customHeight="1">
      <x:c r="A49" s="59" t="n">
        <x:v>44</x:v>
      </x:c>
      <x:c r="B49" s="59" t="n">
        <x:v>184</x:v>
      </x:c>
      <x:c r="C49" s="59" t="str">
        <x:v>Khris Middleton</x:v>
      </x:c>
      <x:c r="D49" s="59" t="str">
        <x:v>WAS</x:v>
      </x:c>
      <x:c r="E49" s="58"/>
      <x:c r="F49" s="60"/>
      <x:c r="G49" s="60" t="n">
        <x:v>18.49</x:v>
      </x:c>
      <x:c r="H49" s="60" t="n">
        <x:v>25.49</x:v>
      </x:c>
      <x:c r="I49" s="58" t="n">
        <x:v>70</x:v>
      </x:c>
      <x:c r="J49" s="59" t="str">
        <x:v>DEEP</x:v>
      </x:c>
      <x:c r="K49" s="59" t="str">
        <x:v>SF/PF</x:v>
      </x:c>
      <x:c r="L49" s="62" t="str">
        <x:v>Deep-board candidate for a 10-team league; custom-format estimate emphasizes role, efficiency and rebounding. Recheck camp role and app eligibility before draft day.</x:v>
      </x:c>
    </x:row>
    <x:row r="50" ht="20" customHeight="1">
      <x:c r="A50" s="59" t="n">
        <x:v>45</x:v>
      </x:c>
      <x:c r="B50" s="59" t="n">
        <x:v>206</x:v>
      </x:c>
      <x:c r="C50" s="59" t="str">
        <x:v>Cam Whitmore</x:v>
      </x:c>
      <x:c r="D50" s="59" t="str">
        <x:v>WAS</x:v>
      </x:c>
      <x:c r="E50" s="58"/>
      <x:c r="F50" s="60"/>
      <x:c r="G50" s="60" t="n">
        <x:v>16.66</x:v>
      </x:c>
      <x:c r="H50" s="60" t="n">
        <x:v>23.66</x:v>
      </x:c>
      <x:c r="I50" s="58" t="n">
        <x:v>70</x:v>
      </x:c>
      <x:c r="J50" s="59" t="str">
        <x:v>DEEP</x:v>
      </x:c>
      <x:c r="K50" s="59" t="str">
        <x:v>SF/PF</x:v>
      </x:c>
      <x:c r="L50" s="62" t="str">
        <x:v>Deep-board candidate for a 10-team league; custom-format estimate emphasizes role, efficiency and rebounding. Recheck camp role and app eligibility before draft day.</x:v>
      </x:c>
    </x:row>
    <x:row r="51" ht="20" customHeight="1">
      <x:c r="A51" s="59" t="n">
        <x:v>46</x:v>
      </x:c>
      <x:c r="B51" s="59" t="n">
        <x:v>211</x:v>
      </x:c>
      <x:c r="C51" s="59" t="str">
        <x:v>Julian Champagnie</x:v>
      </x:c>
      <x:c r="D51" s="59" t="str">
        <x:v>SAS</x:v>
      </x:c>
      <x:c r="E51" s="58" t="n">
        <x:v>82</x:v>
      </x:c>
      <x:c r="F51" s="60" t="n">
        <x:v>24.3</x:v>
      </x:c>
      <x:c r="G51" s="60" t="n">
        <x:v>17.615000000000002</x:v>
      </x:c>
      <x:c r="H51" s="60" t="n">
        <x:v>25.345</x:v>
      </x:c>
      <x:c r="I51" s="58" t="n">
        <x:v>60</x:v>
      </x:c>
      <x:c r="J51" s="59" t="str">
        <x:v>DEEP</x:v>
      </x:c>
      <x:c r="K51" s="59" t="str">
        <x:v>SF</x:v>
      </x:c>
      <x:c r="L51" s="62" t="str">
        <x:v>Deep-pool model: 2025-26 custom-score production shrunk toward a conservative 2026-27 role estimate; not a published projection.</x:v>
      </x:c>
    </x:row>
    <x:row r="52" ht="20" customHeight="1">
      <x:c r="A52" s="59" t="n">
        <x:v>47</x:v>
      </x:c>
      <x:c r="B52" s="59" t="n">
        <x:v>220</x:v>
      </x:c>
      <x:c r="C52" s="59" t="str">
        <x:v>Brice Sensabaugh</x:v>
      </x:c>
      <x:c r="D52" s="59" t="str">
        <x:v>UTA</x:v>
      </x:c>
      <x:c r="E52" s="58" t="n">
        <x:v>75</x:v>
      </x:c>
      <x:c r="F52" s="60" t="n">
        <x:v>23.65</x:v>
      </x:c>
      <x:c r="G52" s="60" t="n">
        <x:v>17.31</x:v>
      </x:c>
      <x:c r="H52" s="60" t="n">
        <x:v>24.91</x:v>
      </x:c>
      <x:c r="I52" s="58" t="n">
        <x:v>60</x:v>
      </x:c>
      <x:c r="J52" s="59" t="str">
        <x:v>DEEP</x:v>
      </x:c>
      <x:c r="K52" s="59" t="str">
        <x:v>SF</x:v>
      </x:c>
      <x:c r="L52" s="62" t="str">
        <x:v>Deep-pool model: 2025-26 custom-score production shrunk toward a conservative 2026-27 role estimate; not a published projection.</x:v>
      </x:c>
    </x:row>
    <x:row r="53" ht="20" customHeight="1">
      <x:c r="A53" s="59" t="n">
        <x:v>48</x:v>
      </x:c>
      <x:c r="B53" s="59" t="n">
        <x:v>237</x:v>
      </x:c>
      <x:c r="C53" s="59" t="str">
        <x:v>Justin Champagnie</x:v>
      </x:c>
      <x:c r="D53" s="59" t="str">
        <x:v>WAS</x:v>
      </x:c>
      <x:c r="E53" s="58" t="n">
        <x:v>69</x:v>
      </x:c>
      <x:c r="F53" s="60" t="n">
        <x:v>23.4</x:v>
      </x:c>
      <x:c r="G53" s="60" t="n">
        <x:v>16.21</x:v>
      </x:c>
      <x:c r="H53" s="60" t="n">
        <x:v>23.33</x:v>
      </x:c>
      <x:c r="I53" s="58" t="n">
        <x:v>60</x:v>
      </x:c>
      <x:c r="J53" s="59" t="str">
        <x:v>DEEP</x:v>
      </x:c>
      <x:c r="K53" s="59" t="str">
        <x:v>SF</x:v>
      </x:c>
      <x:c r="L53" s="62" t="str">
        <x:v>Deep-pool model: 2025-26 custom-score production shrunk toward a conservative 2026-27 role estimate; not a published projection.</x:v>
      </x:c>
    </x:row>
    <x:row r="54" ht="20" customHeight="1">
      <x:c r="A54" s="59" t="n">
        <x:v>49</x:v>
      </x:c>
      <x:c r="B54" s="59" t="n">
        <x:v>240</x:v>
      </x:c>
      <x:c r="C54" s="59" t="str">
        <x:v>Royce O'Neale</x:v>
      </x:c>
      <x:c r="D54" s="59" t="str">
        <x:v>CHA</x:v>
      </x:c>
      <x:c r="E54" s="58" t="n">
        <x:v>78</x:v>
      </x:c>
      <x:c r="F54" s="60" t="n">
        <x:v>22.05</x:v>
      </x:c>
      <x:c r="G54" s="60" t="n">
        <x:v>15.965</x:v>
      </x:c>
      <x:c r="H54" s="60" t="n">
        <x:v>22.974999999999998</x:v>
      </x:c>
      <x:c r="I54" s="58" t="n">
        <x:v>60</x:v>
      </x:c>
      <x:c r="J54" s="59" t="str">
        <x:v>DEEP</x:v>
      </x:c>
      <x:c r="K54" s="59" t="str">
        <x:v>SF</x:v>
      </x:c>
      <x:c r="L54" s="62" t="str">
        <x:v>Deep-pool model: 2025-26 custom-score production shrunk toward a conservative 2026-27 role estimate; not a published projection.</x:v>
      </x:c>
    </x:row>
    <x:row r="55" ht="20" customHeight="1">
      <x:c r="A55" s="59" t="n">
        <x:v>50</x:v>
      </x:c>
      <x:c r="B55" s="59" t="n">
        <x:v>243</x:v>
      </x:c>
      <x:c r="C55" s="59" t="str">
        <x:v>Derrick Jones Jr.</x:v>
      </x:c>
      <x:c r="D55" s="59" t="str">
        <x:v>LAC</x:v>
      </x:c>
      <x:c r="E55" s="58" t="n">
        <x:v>50</x:v>
      </x:c>
      <x:c r="F55" s="60" t="n">
        <x:v>21.8</x:v>
      </x:c>
      <x:c r="G55" s="60" t="n">
        <x:v>15.420000000000002</x:v>
      </x:c>
      <x:c r="H55" s="60" t="n">
        <x:v>22.42</x:v>
      </x:c>
      <x:c r="I55" s="58" t="n">
        <x:v>60</x:v>
      </x:c>
      <x:c r="J55" s="59" t="str">
        <x:v>DEEP</x:v>
      </x:c>
      <x:c r="K55" s="59" t="str">
        <x:v>SF</x:v>
      </x:c>
      <x:c r="L55" s="62" t="str">
        <x:v>Deep-pool model: 2025-26 custom-score production shrunk toward a conservative 2026-27 role estimate; not a published projection.</x:v>
      </x:c>
    </x:row>
    <x:row r="56" ht="20" customHeight="1">
      <x:c r="A56" s="59" t="n">
        <x:v>51</x:v>
      </x:c>
      <x:c r="B56" s="59" t="n">
        <x:v>258</x:v>
      </x:c>
      <x:c r="C56" s="59" t="str">
        <x:v>Jordan Miller</x:v>
      </x:c>
      <x:c r="D56" s="59" t="str">
        <x:v>LAC</x:v>
      </x:c>
      <x:c r="E56" s="58" t="n">
        <x:v>60</x:v>
      </x:c>
      <x:c r="F56" s="60" t="n">
        <x:v>20.35</x:v>
      </x:c>
      <x:c r="G56" s="60" t="n">
        <x:v>14.190000000000001</x:v>
      </x:c>
      <x:c r="H56" s="60" t="n">
        <x:v>21.19</x:v>
      </x:c>
      <x:c r="I56" s="58" t="n">
        <x:v>60</x:v>
      </x:c>
      <x:c r="J56" s="59" t="str">
        <x:v>DEEP</x:v>
      </x:c>
      <x:c r="K56" s="59" t="str">
        <x:v>SF</x:v>
      </x:c>
      <x:c r="L56" s="62" t="str">
        <x:v>Deep-pool model: 2025-26 custom-score production shrunk toward a conservative 2026-27 role estimate; not a published projection.</x:v>
      </x:c>
    </x:row>
    <x:row r="57" ht="20" customHeight="1">
      <x:c r="A57" s="59" t="n">
        <x:v>52</x:v>
      </x:c>
      <x:c r="B57" s="59" t="n">
        <x:v>263</x:v>
      </x:c>
      <x:c r="C57" s="59" t="str">
        <x:v>Gui Santos</x:v>
      </x:c>
      <x:c r="D57" s="59" t="str">
        <x:v>GSW</x:v>
      </x:c>
      <x:c r="E57" s="58" t="n">
        <x:v>68</x:v>
      </x:c>
      <x:c r="F57" s="60" t="n">
        <x:v>19.9</x:v>
      </x:c>
      <x:c r="G57" s="60" t="n">
        <x:v>13.739999999999998</x:v>
      </x:c>
      <x:c r="H57" s="60" t="n">
        <x:v>20.74</x:v>
      </x:c>
      <x:c r="I57" s="58" t="n">
        <x:v>60</x:v>
      </x:c>
      <x:c r="J57" s="59" t="str">
        <x:v>DEEP</x:v>
      </x:c>
      <x:c r="K57" s="59" t="str">
        <x:v>SF</x:v>
      </x:c>
      <x:c r="L57" s="62" t="str">
        <x:v>Deep-pool model: 2025-26 custom-score production shrunk toward a conservative 2026-27 role estimate; not a published projection.</x:v>
      </x:c>
    </x:row>
    <x:row r="58" ht="20" customHeight="1">
      <x:c r="A58" s="59" t="n">
        <x:v>53</x:v>
      </x:c>
      <x:c r="B58" s="59" t="n">
        <x:v>266</x:v>
      </x:c>
      <x:c r="C58" s="59" t="str">
        <x:v>Tristan Da Silva</x:v>
      </x:c>
      <x:c r="D58" s="59" t="str">
        <x:v>ORL</x:v>
      </x:c>
      <x:c r="E58" s="58" t="n">
        <x:v>77</x:v>
      </x:c>
      <x:c r="F58" s="60" t="n">
        <x:v>19.75</x:v>
      </x:c>
      <x:c r="G58" s="60" t="n">
        <x:v>13.54</x:v>
      </x:c>
      <x:c r="H58" s="60" t="n">
        <x:v>20.54</x:v>
      </x:c>
      <x:c r="I58" s="58" t="n">
        <x:v>60</x:v>
      </x:c>
      <x:c r="J58" s="59" t="str">
        <x:v>DEEP</x:v>
      </x:c>
      <x:c r="K58" s="59" t="str">
        <x:v>SF</x:v>
      </x:c>
      <x:c r="L58" s="62" t="str">
        <x:v>Deep-pool model: 2025-26 custom-score production shrunk toward a conservative 2026-27 role estimate; not a published projection.</x:v>
      </x:c>
    </x:row>
    <x:row r="59" ht="20" customHeight="1">
      <x:c r="A59" s="59" t="n">
        <x:v>54</x:v>
      </x:c>
      <x:c r="B59" s="59" t="n">
        <x:v>273</x:v>
      </x:c>
      <x:c r="C59" s="59" t="str">
        <x:v>Will Riley</x:v>
      </x:c>
      <x:c r="D59" s="59" t="str">
        <x:v>WAS</x:v>
      </x:c>
      <x:c r="E59" s="58" t="n">
        <x:v>74</x:v>
      </x:c>
      <x:c r="F59" s="60" t="n">
        <x:v>18.25</x:v>
      </x:c>
      <x:c r="G59" s="60" t="n">
        <x:v>13.079999999999998</x:v>
      </x:c>
      <x:c r="H59" s="60" t="n">
        <x:v>20.08</x:v>
      </x:c>
      <x:c r="I59" s="58" t="n">
        <x:v>64</x:v>
      </x:c>
      <x:c r="J59" s="59" t="str">
        <x:v>DEEP</x:v>
      </x:c>
      <x:c r="K59" s="59" t="str">
        <x:v>GF</x:v>
      </x:c>
      <x:c r="L59" s="62" t="str">
        <x:v>Deep-pool model: 2025-26 custom-score production shrunk toward a conservative 2026-27 role estimate; not a published projection.</x:v>
      </x:c>
    </x:row>
    <x:row r="60" ht="20" customHeight="1">
      <x:c r="A60" s="59" t="n">
        <x:v>55</x:v>
      </x:c>
      <x:c r="B60" s="59" t="n">
        <x:v>279</x:v>
      </x:c>
      <x:c r="C60" s="59" t="str">
        <x:v>Ron Holland II</x:v>
      </x:c>
      <x:c r="D60" s="59" t="str">
        <x:v>DET</x:v>
      </x:c>
      <x:c r="E60" s="58" t="n">
        <x:v>78</x:v>
      </x:c>
      <x:c r="F60" s="60" t="n">
        <x:v>17.35</x:v>
      </x:c>
      <x:c r="G60" s="60" t="n">
        <x:v>12.86</x:v>
      </x:c>
      <x:c r="H60" s="60" t="n">
        <x:v>19.86</x:v>
      </x:c>
      <x:c r="I60" s="58" t="n">
        <x:v>60</x:v>
      </x:c>
      <x:c r="J60" s="59" t="str">
        <x:v>DEEP</x:v>
      </x:c>
      <x:c r="K60" s="59" t="str">
        <x:v>SF</x:v>
      </x:c>
      <x:c r="L60" s="62" t="str">
        <x:v>Deep-pool model: 2025-26 custom-score production shrunk toward a conservative 2026-27 role estimate; not a published projection.</x:v>
      </x:c>
    </x:row>
    <x:row r="61" ht="20" customHeight="1">
      <x:c r="A61" s="59" t="n">
        <x:v>56</x:v>
      </x:c>
      <x:c r="B61" s="59" t="n">
        <x:v>281</x:v>
      </x:c>
      <x:c r="C61" s="59" t="str">
        <x:v>Cody Williams</x:v>
      </x:c>
      <x:c r="D61" s="59" t="str">
        <x:v>UTA</x:v>
      </x:c>
      <x:c r="E61" s="58" t="n">
        <x:v>67</x:v>
      </x:c>
      <x:c r="F61" s="60" t="n">
        <x:v>17.4</x:v>
      </x:c>
      <x:c r="G61" s="60" t="n">
        <x:v>12.670000000000002</x:v>
      </x:c>
      <x:c r="H61" s="60" t="n">
        <x:v>19.67</x:v>
      </x:c>
      <x:c r="I61" s="58" t="n">
        <x:v>64</x:v>
      </x:c>
      <x:c r="J61" s="59" t="str">
        <x:v>DEEP</x:v>
      </x:c>
      <x:c r="K61" s="59" t="str">
        <x:v>GF</x:v>
      </x:c>
      <x:c r="L61" s="62" t="str">
        <x:v>Deep-pool model: 2025-26 custom-score production shrunk toward a conservative 2026-27 role estimate; not a published projection.</x:v>
      </x:c>
    </x:row>
    <x:row r="62" ht="20" customHeight="1">
      <x:c r="A62" s="59" t="n">
        <x:v>57</x:v>
      </x:c>
      <x:c r="B62" s="59" t="n">
        <x:v>284</x:v>
      </x:c>
      <x:c r="C62" s="59" t="str">
        <x:v>Dailyn Swain</x:v>
      </x:c>
      <x:c r="D62" s="59" t="str">
        <x:v>CHI</x:v>
      </x:c>
      <x:c r="E62" s="58"/>
      <x:c r="F62" s="60"/>
      <x:c r="G62" s="60" t="n">
        <x:v>11.8</x:v>
      </x:c>
      <x:c r="H62" s="60" t="n">
        <x:v>20.98</x:v>
      </x:c>
      <x:c r="I62" s="58" t="n">
        <x:v>55</x:v>
      </x:c>
      <x:c r="J62" s="59" t="str">
        <x:v>VERY_DEEP</x:v>
      </x:c>
      <x:c r="K62" s="59" t="str">
        <x:v>SF</x:v>
      </x:c>
      <x:c r="L62" s="62" t="str">
        <x:v>Rookie/depth role estimate with a wide band and limited NBA evidence. Treat as a watch-list projection, not a published forecast.</x:v>
      </x:c>
    </x:row>
    <x:row r="63" ht="20" customHeight="1">
      <x:c r="A63" s="59" t="n">
        <x:v>58</x:v>
      </x:c>
      <x:c r="B63" s="59" t="n">
        <x:v>293</x:v>
      </x:c>
      <x:c r="C63" s="59" t="str">
        <x:v>Ziaire Williams</x:v>
      </x:c>
      <x:c r="D63" s="59" t="str">
        <x:v>LAL</x:v>
      </x:c>
      <x:c r="E63" s="58" t="n">
        <x:v>56</x:v>
      </x:c>
      <x:c r="F63" s="60" t="n">
        <x:v>18.55</x:v>
      </x:c>
      <x:c r="G63" s="60" t="n">
        <x:v>12.29</x:v>
      </x:c>
      <x:c r="H63" s="60" t="n">
        <x:v>19.29</x:v>
      </x:c>
      <x:c r="I63" s="58" t="n">
        <x:v>60</x:v>
      </x:c>
      <x:c r="J63" s="59" t="str">
        <x:v>DEEP</x:v>
      </x:c>
      <x:c r="K63" s="59" t="str">
        <x:v>SF</x:v>
      </x:c>
      <x:c r="L63" s="62" t="str">
        <x:v>Deep-pool model: 2025-26 custom-score production shrunk toward a conservative 2026-27 role estimate; not a published projection.</x:v>
      </x:c>
    </x:row>
    <x:row r="64" ht="20" customHeight="1">
      <x:c r="A64" s="59" t="n">
        <x:v>59</x:v>
      </x:c>
      <x:c r="B64" s="59" t="n">
        <x:v>312</x:v>
      </x:c>
      <x:c r="C64" s="59" t="str">
        <x:v>Max Strus</x:v>
      </x:c>
      <x:c r="D64" s="59" t="str">
        <x:v>CLE</x:v>
      </x:c>
      <x:c r="E64" s="58"/>
      <x:c r="F64" s="60"/>
      <x:c r="G64" s="60" t="n">
        <x:v>11.030000000000001</x:v>
      </x:c>
      <x:c r="H64" s="60" t="n">
        <x:v>27.03</x:v>
      </x:c>
      <x:c r="I64" s="58" t="n">
        <x:v>50</x:v>
      </x:c>
      <x:c r="J64" s="59" t="str">
        <x:v>HIGH</x:v>
      </x:c>
      <x:c r="K64" s="59" t="str">
        <x:v>SG/SF</x:v>
      </x:c>
      <x:c r="L64" s="62" t="str">
        <x:v>Partial plantar fascia tear; out at least four weeks and expected to miss the start of the season.</x:v>
      </x:c>
    </x:row>
    <x:row r="65" ht="20" customHeight="1">
      <x:c r="A65" s="59" t="n">
        <x:v>60</x:v>
      </x:c>
      <x:c r="B65" s="59" t="n">
        <x:v>316</x:v>
      </x:c>
      <x:c r="C65" s="59" t="str">
        <x:v>Leonard Miller</x:v>
      </x:c>
      <x:c r="D65" s="59" t="str">
        <x:v>CHI</x:v>
      </x:c>
      <x:c r="E65" s="58" t="n">
        <x:v>46</x:v>
      </x:c>
      <x:c r="F65" s="60" t="n">
        <x:v>16.9</x:v>
      </x:c>
      <x:c r="G65" s="60" t="n">
        <x:v>11.3</x:v>
      </x:c>
      <x:c r="H65" s="60" t="n">
        <x:v>18.3</x:v>
      </x:c>
      <x:c r="I65" s="58" t="n">
        <x:v>60</x:v>
      </x:c>
      <x:c r="J65" s="59" t="str">
        <x:v>DEEP</x:v>
      </x:c>
      <x:c r="K65" s="59" t="str">
        <x:v>SF</x:v>
      </x:c>
      <x:c r="L65" s="62" t="str">
        <x:v>Deep-pool model: 2025-26 custom-score production shrunk toward a conservative 2026-27 role estimate; not a published projection.</x:v>
      </x:c>
    </x:row>
    <x:row r="66" ht="20" customHeight="1">
      <x:c r="A66" s="59" t="n">
        <x:v>61</x:v>
      </x:c>
      <x:c r="B66" s="59" t="n">
        <x:v>319</x:v>
      </x:c>
      <x:c r="C66" s="59" t="str">
        <x:v>Blake Hinson</x:v>
      </x:c>
      <x:c r="D66" s="59" t="str">
        <x:v>UTA</x:v>
      </x:c>
      <x:c r="E66" s="58" t="n">
        <x:v>14</x:v>
      </x:c>
      <x:c r="F66" s="60" t="n">
        <x:v>21.2</x:v>
      </x:c>
      <x:c r="G66" s="60" t="n">
        <x:v>10.52</x:v>
      </x:c>
      <x:c r="H66" s="60" t="n">
        <x:v>18.7</x:v>
      </x:c>
      <x:c r="I66" s="58" t="n">
        <x:v>64</x:v>
      </x:c>
      <x:c r="J66" s="59" t="str">
        <x:v>VERY_DEEP</x:v>
      </x:c>
      <x:c r="K66" s="59" t="str">
        <x:v>SF</x:v>
      </x:c>
      <x:c r="L66" s="62" t="str">
        <x:v>Very-deep model estimate with limited sample/role certainty. Use as a search/watch-list value and refresh once final rotations are known.</x:v>
      </x:c>
    </x:row>
    <x:row r="67" ht="20" customHeight="1">
      <x:c r="A67" s="59" t="n">
        <x:v>62</x:v>
      </x:c>
      <x:c r="B67" s="59" t="n">
        <x:v>321</x:v>
      </x:c>
      <x:c r="C67" s="59" t="str">
        <x:v>Josh Minott</x:v>
      </x:c>
      <x:c r="D67" s="59" t="str">
        <x:v>BKN</x:v>
      </x:c>
      <x:c r="E67" s="58" t="n">
        <x:v>49</x:v>
      </x:c>
      <x:c r="F67" s="60" t="n">
        <x:v>16.9</x:v>
      </x:c>
      <x:c r="G67" s="60" t="n">
        <x:v>11</x:v>
      </x:c>
      <x:c r="H67" s="60" t="n">
        <x:v>18</x:v>
      </x:c>
      <x:c r="I67" s="58" t="n">
        <x:v>60</x:v>
      </x:c>
      <x:c r="J67" s="59" t="str">
        <x:v>DEEP</x:v>
      </x:c>
      <x:c r="K67" s="59" t="str">
        <x:v>SF</x:v>
      </x:c>
      <x:c r="L67" s="62" t="str">
        <x:v>Deep-pool model: 2025-26 custom-score production shrunk toward a conservative 2026-27 role estimate; not a published projection.</x:v>
      </x:c>
    </x:row>
    <x:row r="68" ht="20" customHeight="1">
      <x:c r="A68" s="59" t="n">
        <x:v>63</x:v>
      </x:c>
      <x:c r="B68" s="59" t="n">
        <x:v>327</x:v>
      </x:c>
      <x:c r="C68" s="59" t="str">
        <x:v>Simone Fontecchio</x:v>
      </x:c>
      <x:c r="D68" s="59" t="str">
        <x:v>MIA</x:v>
      </x:c>
      <x:c r="E68" s="58" t="n">
        <x:v>70</x:v>
      </x:c>
      <x:c r="F68" s="60" t="n">
        <x:v>16.55</x:v>
      </x:c>
      <x:c r="G68" s="60" t="n">
        <x:v>10.67</x:v>
      </x:c>
      <x:c r="H68" s="60" t="n">
        <x:v>17.67</x:v>
      </x:c>
      <x:c r="I68" s="58" t="n">
        <x:v>60</x:v>
      </x:c>
      <x:c r="J68" s="59" t="str">
        <x:v>DEEP</x:v>
      </x:c>
      <x:c r="K68" s="59" t="str">
        <x:v>SF</x:v>
      </x:c>
      <x:c r="L68" s="62" t="str">
        <x:v>Deep-pool model: 2025-26 custom-score production shrunk toward a conservative 2026-27 role estimate; not a published projection.</x:v>
      </x:c>
    </x:row>
    <x:row r="69" ht="20" customHeight="1">
      <x:c r="A69" s="59" t="n">
        <x:v>64</x:v>
      </x:c>
      <x:c r="B69" s="59" t="n">
        <x:v>328</x:v>
      </x:c>
      <x:c r="C69" s="59" t="str">
        <x:v>Jordan Walsh</x:v>
      </x:c>
      <x:c r="D69" s="59" t="str">
        <x:v>BOS</x:v>
      </x:c>
      <x:c r="E69" s="58" t="n">
        <x:v>68</x:v>
      </x:c>
      <x:c r="F69" s="60" t="n">
        <x:v>15.55</x:v>
      </x:c>
      <x:c r="G69" s="60" t="n">
        <x:v>10.65</x:v>
      </x:c>
      <x:c r="H69" s="60" t="n">
        <x:v>17.65</x:v>
      </x:c>
      <x:c r="I69" s="58" t="n">
        <x:v>60</x:v>
      </x:c>
      <x:c r="J69" s="59" t="str">
        <x:v>DEEP</x:v>
      </x:c>
      <x:c r="K69" s="59" t="str">
        <x:v>SF</x:v>
      </x:c>
      <x:c r="L69" s="62" t="str">
        <x:v>Deep-pool model: 2025-26 custom-score production shrunk toward a conservative 2026-27 role estimate; not a published projection.</x:v>
      </x:c>
    </x:row>
    <x:row r="70" ht="20" customHeight="1">
      <x:c r="A70" s="59" t="n">
        <x:v>65</x:v>
      </x:c>
      <x:c r="B70" s="59" t="n">
        <x:v>332</x:v>
      </x:c>
      <x:c r="C70" s="59" t="str">
        <x:v>Jamir Watkins</x:v>
      </x:c>
      <x:c r="D70" s="59" t="str">
        <x:v>WAS</x:v>
      </x:c>
      <x:c r="E70" s="58" t="n">
        <x:v>50</x:v>
      </x:c>
      <x:c r="F70" s="60" t="n">
        <x:v>17.4</x:v>
      </x:c>
      <x:c r="G70" s="60" t="n">
        <x:v>10.34</x:v>
      </x:c>
      <x:c r="H70" s="60" t="n">
        <x:v>17.34</x:v>
      </x:c>
      <x:c r="I70" s="58" t="n">
        <x:v>64</x:v>
      </x:c>
      <x:c r="J70" s="59" t="str">
        <x:v>DEEP</x:v>
      </x:c>
      <x:c r="K70" s="59" t="str">
        <x:v>SF</x:v>
      </x:c>
      <x:c r="L70" s="62" t="str">
        <x:v>Deep-pool model: 2025-26 custom-score production shrunk toward a conservative 2026-27 role estimate; not a published projection.</x:v>
      </x:c>
    </x:row>
    <x:row r="71" ht="20" customHeight="1">
      <x:c r="A71" s="59" t="n">
        <x:v>66</x:v>
      </x:c>
      <x:c r="B71" s="59" t="n">
        <x:v>338</x:v>
      </x:c>
      <x:c r="C71" s="59" t="str">
        <x:v>Ryan Dunn</x:v>
      </x:c>
      <x:c r="D71" s="59" t="str">
        <x:v>PHX</x:v>
      </x:c>
      <x:c r="E71" s="58" t="n">
        <x:v>70</x:v>
      </x:c>
      <x:c r="F71" s="60" t="n">
        <x:v>15.95</x:v>
      </x:c>
      <x:c r="G71" s="60" t="n">
        <x:v>10.26</x:v>
      </x:c>
      <x:c r="H71" s="60" t="n">
        <x:v>17.259999999999998</x:v>
      </x:c>
      <x:c r="I71" s="58" t="n">
        <x:v>60</x:v>
      </x:c>
      <x:c r="J71" s="59" t="str">
        <x:v>DEEP</x:v>
      </x:c>
      <x:c r="K71" s="59" t="str">
        <x:v>SF</x:v>
      </x:c>
      <x:c r="L71" s="62" t="str">
        <x:v>Deep-pool model: 2025-26 custom-score production shrunk toward a conservative 2026-27 role estimate; not a published projection.</x:v>
      </x:c>
    </x:row>
    <x:row r="72" ht="20" customHeight="1">
      <x:c r="A72" s="59" t="n">
        <x:v>67</x:v>
      </x:c>
      <x:c r="B72" s="59" t="n">
        <x:v>340</x:v>
      </x:c>
      <x:c r="C72" s="59" t="str">
        <x:v>Ousmane Dieng</x:v>
      </x:c>
      <x:c r="D72" s="59" t="str">
        <x:v>MIL</x:v>
      </x:c>
      <x:c r="E72" s="58" t="n">
        <x:v>57</x:v>
      </x:c>
      <x:c r="F72" s="60" t="n">
        <x:v>14.35</x:v>
      </x:c>
      <x:c r="G72" s="60" t="n">
        <x:v>10.17</x:v>
      </x:c>
      <x:c r="H72" s="60" t="n">
        <x:v>17.17</x:v>
      </x:c>
      <x:c r="I72" s="58" t="n">
        <x:v>60</x:v>
      </x:c>
      <x:c r="J72" s="59" t="str">
        <x:v>DEEP</x:v>
      </x:c>
      <x:c r="K72" s="59" t="str">
        <x:v>SF</x:v>
      </x:c>
      <x:c r="L72" s="62" t="str">
        <x:v>Deep-pool model: 2025-26 custom-score production shrunk toward a conservative 2026-27 role estimate; not a published projection.</x:v>
      </x:c>
    </x:row>
    <x:row r="73" ht="20" customHeight="1">
      <x:c r="A73" s="59" t="n">
        <x:v>68</x:v>
      </x:c>
      <x:c r="B73" s="59" t="n">
        <x:v>344</x:v>
      </x:c>
      <x:c r="C73" s="59" t="str">
        <x:v>Nikola Jovic</x:v>
      </x:c>
      <x:c r="D73" s="59" t="str">
        <x:v>MIA</x:v>
      </x:c>
      <x:c r="E73" s="58" t="n">
        <x:v>47</x:v>
      </x:c>
      <x:c r="F73" s="60" t="n">
        <x:v>13.9</x:v>
      </x:c>
      <x:c r="G73" s="60" t="n">
        <x:v>10.06</x:v>
      </x:c>
      <x:c r="H73" s="60" t="n">
        <x:v>17.060000000000002</x:v>
      </x:c>
      <x:c r="I73" s="58" t="n">
        <x:v>60</x:v>
      </x:c>
      <x:c r="J73" s="59" t="str">
        <x:v>DEEP</x:v>
      </x:c>
      <x:c r="K73" s="59" t="str">
        <x:v>SF</x:v>
      </x:c>
      <x:c r="L73" s="62" t="str">
        <x:v>Deep-pool model: 2025-26 custom-score production shrunk toward a conservative 2026-27 role estimate; not a published projection.</x:v>
      </x:c>
    </x:row>
    <x:row r="74" ht="20" customHeight="1">
      <x:c r="A74" s="59" t="n">
        <x:v>69</x:v>
      </x:c>
      <x:c r="B74" s="59" t="n">
        <x:v>345</x:v>
      </x:c>
      <x:c r="C74" s="59" t="str">
        <x:v>Ben Sheppard</x:v>
      </x:c>
      <x:c r="D74" s="59" t="str">
        <x:v>IND</x:v>
      </x:c>
      <x:c r="E74" s="58" t="n">
        <x:v>65</x:v>
      </x:c>
      <x:c r="F74" s="60" t="n">
        <x:v>15.25</x:v>
      </x:c>
      <x:c r="G74" s="60" t="n">
        <x:v>10.02</x:v>
      </x:c>
      <x:c r="H74" s="60" t="n">
        <x:v>17.02</x:v>
      </x:c>
      <x:c r="I74" s="58" t="n">
        <x:v>60</x:v>
      </x:c>
      <x:c r="J74" s="59" t="str">
        <x:v>DEEP</x:v>
      </x:c>
      <x:c r="K74" s="59" t="str">
        <x:v>SF</x:v>
      </x:c>
      <x:c r="L74" s="62" t="str">
        <x:v>Deep-pool model: 2025-26 custom-score production shrunk toward a conservative 2026-27 role estimate; not a published projection.</x:v>
      </x:c>
    </x:row>
    <x:row r="75" ht="20" customHeight="1">
      <x:c r="A75" s="59" t="n">
        <x:v>70</x:v>
      </x:c>
      <x:c r="B75" s="59" t="n">
        <x:v>346</x:v>
      </x:c>
      <x:c r="C75" s="59" t="str">
        <x:v>Spencer Jones</x:v>
      </x:c>
      <x:c r="D75" s="59" t="str">
        <x:v>DEN</x:v>
      </x:c>
      <x:c r="E75" s="58" t="n">
        <x:v>64</x:v>
      </x:c>
      <x:c r="F75" s="60" t="n">
        <x:v>14.95</x:v>
      </x:c>
      <x:c r="G75" s="60" t="n">
        <x:v>9.88</x:v>
      </x:c>
      <x:c r="H75" s="60" t="n">
        <x:v>16.880000000000003</x:v>
      </x:c>
      <x:c r="I75" s="58" t="n">
        <x:v>60</x:v>
      </x:c>
      <x:c r="J75" s="59" t="str">
        <x:v>DEEP</x:v>
      </x:c>
      <x:c r="K75" s="59" t="str">
        <x:v>SF</x:v>
      </x:c>
      <x:c r="L75" s="62" t="str">
        <x:v>Deep-pool model: 2025-26 custom-score production shrunk toward a conservative 2026-27 role estimate; not a published projection.</x:v>
      </x:c>
    </x:row>
    <x:row r="76" ht="20" customHeight="1">
      <x:c r="A76" s="59" t="n">
        <x:v>71</x:v>
      </x:c>
      <x:c r="B76" s="59" t="n">
        <x:v>348</x:v>
      </x:c>
      <x:c r="C76" s="59" t="str">
        <x:v>Tyler Burton</x:v>
      </x:c>
      <x:c r="D76" s="59" t="str">
        <x:v>MEM</x:v>
      </x:c>
      <x:c r="E76" s="58" t="n">
        <x:v>12</x:v>
      </x:c>
      <x:c r="F76" s="60" t="n">
        <x:v>19.35</x:v>
      </x:c>
      <x:c r="G76" s="60" t="n">
        <x:v>9.515</x:v>
      </x:c>
      <x:c r="H76" s="60" t="n">
        <x:v>16.925</x:v>
      </x:c>
      <x:c r="I76" s="58" t="n">
        <x:v>64</x:v>
      </x:c>
      <x:c r="J76" s="59" t="str">
        <x:v>VERY_DEEP</x:v>
      </x:c>
      <x:c r="K76" s="59" t="str">
        <x:v>SF</x:v>
      </x:c>
      <x:c r="L76" s="62" t="str">
        <x:v>Very-deep model estimate with limited sample/role certainty. Use as a search/watch-list value and refresh once final rotations are known.</x:v>
      </x:c>
    </x:row>
    <x:row r="77" ht="20" customHeight="1">
      <x:c r="A77" s="59" t="n">
        <x:v>72</x:v>
      </x:c>
      <x:c r="B77" s="59" t="n">
        <x:v>355</x:v>
      </x:c>
      <x:c r="C77" s="59" t="str">
        <x:v>Keon Ellis</x:v>
      </x:c>
      <x:c r="D77" s="59" t="str">
        <x:v>BKN</x:v>
      </x:c>
      <x:c r="E77" s="58" t="n">
        <x:v>72</x:v>
      </x:c>
      <x:c r="F77" s="60" t="n">
        <x:v>14.2</x:v>
      </x:c>
      <x:c r="G77" s="60" t="n">
        <x:v>9.5</x:v>
      </x:c>
      <x:c r="H77" s="60" t="n">
        <x:v>16.5</x:v>
      </x:c>
      <x:c r="I77" s="58" t="n">
        <x:v>60</x:v>
      </x:c>
      <x:c r="J77" s="59" t="str">
        <x:v>DEEP</x:v>
      </x:c>
      <x:c r="K77" s="59" t="str">
        <x:v>SF</x:v>
      </x:c>
      <x:c r="L77" s="62" t="str">
        <x:v>Deep-pool model: 2025-26 custom-score production shrunk toward a conservative 2026-27 role estimate; not a published projection.</x:v>
      </x:c>
    </x:row>
    <x:row r="78" ht="20" customHeight="1">
      <x:c r="A78" s="59" t="n">
        <x:v>73</x:v>
      </x:c>
      <x:c r="B78" s="59" t="n">
        <x:v>372</x:v>
      </x:c>
      <x:c r="C78" s="59" t="str">
        <x:v>Sion James</x:v>
      </x:c>
      <x:c r="D78" s="59" t="str">
        <x:v>CHA</x:v>
      </x:c>
      <x:c r="E78" s="58" t="n">
        <x:v>82</x:v>
      </x:c>
      <x:c r="F78" s="60" t="n">
        <x:v>13.7</x:v>
      </x:c>
      <x:c r="G78" s="60" t="n">
        <x:v>8.35</x:v>
      </x:c>
      <x:c r="H78" s="60" t="n">
        <x:v>15.35</x:v>
      </x:c>
      <x:c r="I78" s="58" t="n">
        <x:v>60</x:v>
      </x:c>
      <x:c r="J78" s="59" t="str">
        <x:v>DEEP</x:v>
      </x:c>
      <x:c r="K78" s="59" t="str">
        <x:v>SF</x:v>
      </x:c>
      <x:c r="L78" s="62" t="str">
        <x:v>Deep-pool model: 2025-26 custom-score production shrunk toward a conservative 2026-27 role estimate; not a published projection.</x:v>
      </x:c>
    </x:row>
    <x:row r="79" ht="20" customHeight="1">
      <x:c r="A79" s="59" t="n">
        <x:v>74</x:v>
      </x:c>
      <x:c r="B79" s="59" t="n">
        <x:v>375</x:v>
      </x:c>
      <x:c r="C79" s="59" t="str">
        <x:v>John Poulakidas</x:v>
      </x:c>
      <x:c r="D79" s="59" t="str">
        <x:v>DAL</x:v>
      </x:c>
      <x:c r="E79" s="58" t="n">
        <x:v>13</x:v>
      </x:c>
      <x:c r="F79" s="60" t="n">
        <x:v>15.65</x:v>
      </x:c>
      <x:c r="G79" s="60" t="n">
        <x:v>8.04</x:v>
      </x:c>
      <x:c r="H79" s="60" t="n">
        <x:v>15.04</x:v>
      </x:c>
      <x:c r="I79" s="58" t="n">
        <x:v>64</x:v>
      </x:c>
      <x:c r="J79" s="59" t="str">
        <x:v>VERY_DEEP</x:v>
      </x:c>
      <x:c r="K79" s="59" t="str">
        <x:v>GF</x:v>
      </x:c>
      <x:c r="L79" s="62" t="str">
        <x:v>Very-deep model estimate with limited sample/role certainty. Use as a search/watch-list value and refresh once final rotations are known.</x:v>
      </x:c>
    </x:row>
    <x:row r="80" ht="20" customHeight="1">
      <x:c r="A80" s="59" t="n">
        <x:v>75</x:v>
      </x:c>
      <x:c r="B80" s="59" t="n">
        <x:v>381</x:v>
      </x:c>
      <x:c r="C80" s="59" t="str">
        <x:v>Isaiah Evans</x:v>
      </x:c>
      <x:c r="D80" s="59" t="str">
        <x:v>MIN</x:v>
      </x:c>
      <x:c r="E80" s="58"/>
      <x:c r="F80" s="60"/>
      <x:c r="G80" s="60" t="n">
        <x:v>8.2</x:v>
      </x:c>
      <x:c r="H80" s="60" t="n">
        <x:v>15.2</x:v>
      </x:c>
      <x:c r="I80" s="58" t="n">
        <x:v>55</x:v>
      </x:c>
      <x:c r="J80" s="59" t="str">
        <x:v>VERY_DEEP</x:v>
      </x:c>
      <x:c r="K80" s="59" t="str">
        <x:v>SF</x:v>
      </x:c>
      <x:c r="L80" s="62" t="str">
        <x:v>Rookie/depth role estimate with a wide band and limited NBA evidence. Treat as a watch-list projection, not a published forecast.</x:v>
      </x:c>
    </x:row>
    <x:row r="81" ht="20" customHeight="1">
      <x:c r="A81" s="59" t="n">
        <x:v>76</x:v>
      </x:c>
      <x:c r="B81" s="59" t="n">
        <x:v>386</x:v>
      </x:c>
      <x:c r="C81" s="59" t="str">
        <x:v>Julian Strawther</x:v>
      </x:c>
      <x:c r="D81" s="59" t="str">
        <x:v>DEN</x:v>
      </x:c>
      <x:c r="E81" s="58" t="n">
        <x:v>57</x:v>
      </x:c>
      <x:c r="F81" s="60" t="n">
        <x:v>12.4</x:v>
      </x:c>
      <x:c r="G81" s="60" t="n">
        <x:v>7.6899999999999995</x:v>
      </x:c>
      <x:c r="H81" s="60" t="n">
        <x:v>14.69</x:v>
      </x:c>
      <x:c r="I81" s="58" t="n">
        <x:v>60</x:v>
      </x:c>
      <x:c r="J81" s="59" t="str">
        <x:v>DEEP</x:v>
      </x:c>
      <x:c r="K81" s="59" t="str">
        <x:v>SF</x:v>
      </x:c>
      <x:c r="L81" s="62" t="str">
        <x:v>Deep-pool model: 2025-26 custom-score production shrunk toward a conservative 2026-27 role estimate; not a published projection.</x:v>
      </x:c>
    </x:row>
    <x:row r="82" ht="20" customHeight="1">
      <x:c r="A82" s="59" t="n">
        <x:v>77</x:v>
      </x:c>
      <x:c r="B82" s="59" t="n">
        <x:v>389</x:v>
      </x:c>
      <x:c r="C82" s="59" t="str">
        <x:v>Drake Powell</x:v>
      </x:c>
      <x:c r="D82" s="59" t="str">
        <x:v>BKN</x:v>
      </x:c>
      <x:c r="E82" s="58" t="n">
        <x:v>63</x:v>
      </x:c>
      <x:c r="F82" s="60" t="n">
        <x:v>11.2</x:v>
      </x:c>
      <x:c r="G82" s="60" t="n">
        <x:v>7.35</x:v>
      </x:c>
      <x:c r="H82" s="60" t="n">
        <x:v>14.35</x:v>
      </x:c>
      <x:c r="I82" s="58" t="n">
        <x:v>64</x:v>
      </x:c>
      <x:c r="J82" s="59" t="str">
        <x:v>DEEP</x:v>
      </x:c>
      <x:c r="K82" s="59" t="str">
        <x:v>GF</x:v>
      </x:c>
      <x:c r="L82" s="62" t="str">
        <x:v>Deep-pool model: 2025-26 custom-score production shrunk toward a conservative 2026-27 role estimate; not a published projection.</x:v>
      </x:c>
    </x:row>
    <x:row r="83" ht="20" customHeight="1">
      <x:c r="A83" s="59" t="n">
        <x:v>78</x:v>
      </x:c>
      <x:c r="B83" s="59" t="n">
        <x:v>399</x:v>
      </x:c>
      <x:c r="C83" s="59" t="str">
        <x:v>Hugo Gonzalez</x:v>
      </x:c>
      <x:c r="D83" s="59" t="str">
        <x:v>BOS</x:v>
      </x:c>
      <x:c r="E83" s="58" t="n">
        <x:v>74</x:v>
      </x:c>
      <x:c r="F83" s="60" t="n">
        <x:v>10.7</x:v>
      </x:c>
      <x:c r="G83" s="60" t="n">
        <x:v>6.83</x:v>
      </x:c>
      <x:c r="H83" s="60" t="n">
        <x:v>13.83</x:v>
      </x:c>
      <x:c r="I83" s="58" t="n">
        <x:v>64</x:v>
      </x:c>
      <x:c r="J83" s="59" t="str">
        <x:v>DEEP</x:v>
      </x:c>
      <x:c r="K83" s="59" t="str">
        <x:v>GF</x:v>
      </x:c>
      <x:c r="L83" s="62" t="str">
        <x:v>Deep-pool model: 2025-26 custom-score production shrunk toward a conservative 2026-27 role estimate; not a published projection.</x:v>
      </x:c>
    </x:row>
    <x:row r="84" ht="20" customHeight="1">
      <x:c r="A84" s="59" t="n">
        <x:v>79</x:v>
      </x:c>
      <x:c r="B84" s="59" t="n">
        <x:v>404</x:v>
      </x:c>
      <x:c r="C84" s="59" t="str">
        <x:v>Payton Sandfort</x:v>
      </x:c>
      <x:c r="D84" s="59" t="str">
        <x:v>OKC</x:v>
      </x:c>
      <x:c r="E84" s="58" t="n">
        <x:v>4</x:v>
      </x:c>
      <x:c r="F84" s="60" t="n">
        <x:v>13.8</x:v>
      </x:c>
      <x:c r="G84" s="60" t="n">
        <x:v>6.4</x:v>
      </x:c>
      <x:c r="H84" s="60" t="n">
        <x:v>13.4</x:v>
      </x:c>
      <x:c r="I84" s="58" t="n">
        <x:v>64</x:v>
      </x:c>
      <x:c r="J84" s="59" t="str">
        <x:v>VERY_DEEP</x:v>
      </x:c>
      <x:c r="K84" s="59" t="str">
        <x:v>SF</x:v>
      </x:c>
      <x:c r="L84" s="62" t="str">
        <x:v>Very-deep model estimate with limited sample/role certainty. Use as a search/watch-list value and refresh once final rotations are known.</x:v>
      </x:c>
    </x:row>
    <x:row r="85" ht="20" customHeight="1">
      <x:c r="A85" s="59" t="n">
        <x:v>80</x:v>
      </x:c>
      <x:c r="B85" s="59" t="n">
        <x:v>414</x:v>
      </x:c>
      <x:c r="C85" s="59" t="str">
        <x:v>Jamal Cain</x:v>
      </x:c>
      <x:c r="D85" s="59" t="str">
        <x:v>ORL</x:v>
      </x:c>
      <x:c r="E85" s="58" t="n">
        <x:v>40</x:v>
      </x:c>
      <x:c r="F85" s="60" t="n">
        <x:v>11.1</x:v>
      </x:c>
      <x:c r="G85" s="60" t="n">
        <x:v>5.800000000000001</x:v>
      </x:c>
      <x:c r="H85" s="60" t="n">
        <x:v>12.8</x:v>
      </x:c>
      <x:c r="I85" s="58" t="n">
        <x:v>60</x:v>
      </x:c>
      <x:c r="J85" s="59" t="str">
        <x:v>DEEP</x:v>
      </x:c>
      <x:c r="K85" s="59" t="str">
        <x:v>SF</x:v>
      </x:c>
      <x:c r="L85" s="62" t="str">
        <x:v>Deep-pool model: 2025-26 custom-score production shrunk toward a conservative 2026-27 role estimate; not a published projection.</x:v>
      </x:c>
    </x:row>
    <x:row r="86" ht="20" customHeight="1">
      <x:c r="A86" s="59" t="n">
        <x:v>81</x:v>
      </x:c>
      <x:c r="B86" s="59" t="n">
        <x:v>427</x:v>
      </x:c>
      <x:c r="C86" s="59" t="str">
        <x:v>Jabari Walker</x:v>
      </x:c>
      <x:c r="D86" s="59" t="str">
        <x:v>PHI</x:v>
      </x:c>
      <x:c r="E86" s="58" t="n">
        <x:v>64</x:v>
      </x:c>
      <x:c r="F86" s="60" t="n">
        <x:v>11.25</x:v>
      </x:c>
      <x:c r="G86" s="60" t="n">
        <x:v>5.1899999999999995</x:v>
      </x:c>
      <x:c r="H86" s="60" t="n">
        <x:v>12.19</x:v>
      </x:c>
      <x:c r="I86" s="58" t="n">
        <x:v>42</x:v>
      </x:c>
      <x:c r="J86" s="59" t="str">
        <x:v>VERY_DEEP</x:v>
      </x:c>
      <x:c r="K86" s="59" t="str">
        <x:v>SF</x:v>
      </x:c>
      <x:c r="L86" s="62" t="str">
        <x:v>Very-deep roster candidate. Non-guaranteed status and role uncertainty are discounted; verify final roster before draft use.</x:v>
      </x:c>
    </x:row>
    <x:row r="87" ht="20" customHeight="1">
      <x:c r="A87" s="59" t="n">
        <x:v>82</x:v>
      </x:c>
      <x:c r="B87" s="59" t="n">
        <x:v>428</x:v>
      </x:c>
      <x:c r="C87" s="59" t="str">
        <x:v>Liam McNeeley</x:v>
      </x:c>
      <x:c r="D87" s="59" t="str">
        <x:v>CHA</x:v>
      </x:c>
      <x:c r="E87" s="58" t="n">
        <x:v>31</x:v>
      </x:c>
      <x:c r="F87" s="60" t="n">
        <x:v>9.25</x:v>
      </x:c>
      <x:c r="G87" s="60" t="n">
        <x:v>5</x:v>
      </x:c>
      <x:c r="H87" s="60" t="n">
        <x:v>12</x:v>
      </x:c>
      <x:c r="I87" s="58" t="n">
        <x:v>64</x:v>
      </x:c>
      <x:c r="J87" s="59" t="str">
        <x:v>DEEP</x:v>
      </x:c>
      <x:c r="K87" s="59" t="str">
        <x:v>SF</x:v>
      </x:c>
      <x:c r="L87" s="62" t="str">
        <x:v>Deep-pool model: 2025-26 custom-score production shrunk toward a conservative 2026-27 role estimate; not a published projection.</x:v>
      </x:c>
    </x:row>
    <x:row r="88" ht="20" customHeight="1">
      <x:c r="A88" s="59" t="n">
        <x:v>83</x:v>
      </x:c>
      <x:c r="B88" s="59" t="n">
        <x:v>429</x:v>
      </x:c>
      <x:c r="C88" s="59" t="str">
        <x:v>Caleb Martin</x:v>
      </x:c>
      <x:c r="D88" s="59" t="str">
        <x:v>DAL</x:v>
      </x:c>
      <x:c r="E88" s="58" t="n">
        <x:v>58</x:v>
      </x:c>
      <x:c r="F88" s="60" t="n">
        <x:v>10.05</x:v>
      </x:c>
      <x:c r="G88" s="60" t="n">
        <x:v>5.119999999999999</x:v>
      </x:c>
      <x:c r="H88" s="60" t="n">
        <x:v>12.12</x:v>
      </x:c>
      <x:c r="I88" s="58" t="n">
        <x:v>42</x:v>
      </x:c>
      <x:c r="J88" s="59" t="str">
        <x:v>VERY_DEEP</x:v>
      </x:c>
      <x:c r="K88" s="59" t="str">
        <x:v>SF</x:v>
      </x:c>
      <x:c r="L88" s="62" t="str">
        <x:v>Very-deep roster candidate. Non-guaranteed status and role uncertainty are discounted; verify final roster before draft use.</x:v>
      </x:c>
    </x:row>
    <x:row r="89" ht="20" customHeight="1">
      <x:c r="A89" s="59" t="n">
        <x:v>84</x:v>
      </x:c>
      <x:c r="B89" s="59" t="n">
        <x:v>432</x:v>
      </x:c>
      <x:c r="C89" s="59" t="str">
        <x:v>Aaron Nkrumah</x:v>
      </x:c>
      <x:c r="D89" s="59" t="str">
        <x:v>DEN</x:v>
      </x:c>
      <x:c r="E89" s="58"/>
      <x:c r="F89" s="60"/>
      <x:c r="G89" s="60" t="n">
        <x:v>0</x:v>
      </x:c>
      <x:c r="H89" s="60" t="n">
        <x:v>3.5</x:v>
      </x:c>
      <x:c r="I89" s="58" t="n">
        <x:v>0</x:v>
      </x:c>
      <x:c r="J89" s="59" t="str">
        <x:v>WATCH</x:v>
      </x:c>
      <x:c r="K89" s="59" t="str">
        <x:v>GF</x:v>
      </x:c>
      <x:c r="L89" s="62" t="str">
        <x:v>Camp/summer-depth watch entry; no reliable 2026-27 fantasy projection. Verify final NBA contract, roster status and role before draft use.</x:v>
      </x:c>
    </x:row>
    <x:row r="90" ht="20" customHeight="1">
      <x:c r="A90" s="59" t="n">
        <x:v>85</x:v>
      </x:c>
      <x:c r="B90" s="59" t="n">
        <x:v>433</x:v>
      </x:c>
      <x:c r="C90" s="59" t="str">
        <x:v>Aaron Scott</x:v>
      </x:c>
      <x:c r="D90" s="59" t="str">
        <x:v>BKN</x:v>
      </x:c>
      <x:c r="E90" s="58"/>
      <x:c r="F90" s="60"/>
      <x:c r="G90" s="60" t="n">
        <x:v>0</x:v>
      </x:c>
      <x:c r="H90" s="60" t="n">
        <x:v>3.5</x:v>
      </x:c>
      <x:c r="I90" s="58" t="n">
        <x:v>0</x:v>
      </x:c>
      <x:c r="J90" s="59" t="str">
        <x:v>WATCH</x:v>
      </x:c>
      <x:c r="K90" s="59" t="str">
        <x:v>GF</x:v>
      </x:c>
      <x:c r="L90" s="62" t="str">
        <x:v>Camp/summer-depth watch entry; no reliable 2026-27 fantasy projection. Verify final NBA contract, roster status and role before draft use.</x:v>
      </x:c>
    </x:row>
    <x:row r="91" ht="20" customHeight="1">
      <x:c r="A91" s="59" t="n">
        <x:v>86</x:v>
      </x:c>
      <x:c r="B91" s="59" t="n">
        <x:v>438</x:v>
      </x:c>
      <x:c r="C91" s="59" t="str">
        <x:v>Alex Toohey</x:v>
      </x:c>
      <x:c r="D91" s="59" t="str">
        <x:v>GSW</x:v>
      </x:c>
      <x:c r="E91" s="58"/>
      <x:c r="F91" s="60"/>
      <x:c r="G91" s="60" t="n">
        <x:v>0</x:v>
      </x:c>
      <x:c r="H91" s="60" t="n">
        <x:v>3.5</x:v>
      </x:c>
      <x:c r="I91" s="58" t="n">
        <x:v>0</x:v>
      </x:c>
      <x:c r="J91" s="59" t="str">
        <x:v>WATCH</x:v>
      </x:c>
      <x:c r="K91" s="59" t="str">
        <x:v>SF</x:v>
      </x:c>
      <x:c r="L91" s="62" t="str">
        <x:v>Camp/summer-depth watch entry; no reliable 2026-27 fantasy projection. Verify final NBA contract, roster status and role before draft use.</x:v>
      </x:c>
    </x:row>
    <x:row r="92" ht="20" customHeight="1">
      <x:c r="A92" s="59" t="n">
        <x:v>87</x:v>
      </x:c>
      <x:c r="B92" s="59" t="n">
        <x:v>459</x:v>
      </x:c>
      <x:c r="C92" s="59" t="str">
        <x:v>Bryce Harris</x:v>
      </x:c>
      <x:c r="D92" s="59" t="str">
        <x:v>OKC</x:v>
      </x:c>
      <x:c r="E92" s="58"/>
      <x:c r="F92" s="60"/>
      <x:c r="G92" s="60" t="n">
        <x:v>0</x:v>
      </x:c>
      <x:c r="H92" s="60" t="n">
        <x:v>3.5</x:v>
      </x:c>
      <x:c r="I92" s="58" t="n">
        <x:v>0</x:v>
      </x:c>
      <x:c r="J92" s="59" t="str">
        <x:v>WATCH</x:v>
      </x:c>
      <x:c r="K92" s="59" t="str">
        <x:v>GF</x:v>
      </x:c>
      <x:c r="L92" s="62" t="str">
        <x:v>Camp/summer-depth watch entry; no reliable 2026-27 fantasy projection. Verify final NBA contract, roster status and role before draft use.</x:v>
      </x:c>
    </x:row>
    <x:row r="93" ht="20" customHeight="1">
      <x:c r="A93" s="59" t="n">
        <x:v>88</x:v>
      </x:c>
      <x:c r="B93" s="59" t="n">
        <x:v>461</x:v>
      </x:c>
      <x:c r="C93" s="59" t="str">
        <x:v>Bryce Thompson</x:v>
      </x:c>
      <x:c r="D93" s="59" t="str">
        <x:v>OKC</x:v>
      </x:c>
      <x:c r="E93" s="58"/>
      <x:c r="F93" s="60"/>
      <x:c r="G93" s="60" t="n">
        <x:v>0</x:v>
      </x:c>
      <x:c r="H93" s="60" t="n">
        <x:v>3.5</x:v>
      </x:c>
      <x:c r="I93" s="58" t="n">
        <x:v>0</x:v>
      </x:c>
      <x:c r="J93" s="59" t="str">
        <x:v>WATCH</x:v>
      </x:c>
      <x:c r="K93" s="59" t="str">
        <x:v>GF</x:v>
      </x:c>
      <x:c r="L93" s="62" t="str">
        <x:v>Camp/summer-depth watch entry; no reliable 2026-27 fantasy projection. Verify final NBA contract, roster status and role before draft use.</x:v>
      </x:c>
    </x:row>
    <x:row r="94" ht="20" customHeight="1">
      <x:c r="A94" s="59" t="n">
        <x:v>89</x:v>
      </x:c>
      <x:c r="B94" s="59" t="n">
        <x:v>462</x:v>
      </x:c>
      <x:c r="C94" s="59" t="str">
        <x:v>C.J. Elleby</x:v>
      </x:c>
      <x:c r="D94" s="59" t="str">
        <x:v>ORL</x:v>
      </x:c>
      <x:c r="E94" s="58"/>
      <x:c r="F94" s="60"/>
      <x:c r="G94" s="60" t="n">
        <x:v>0</x:v>
      </x:c>
      <x:c r="H94" s="60" t="n">
        <x:v>3.5</x:v>
      </x:c>
      <x:c r="I94" s="58" t="n">
        <x:v>0</x:v>
      </x:c>
      <x:c r="J94" s="59" t="str">
        <x:v>WATCH</x:v>
      </x:c>
      <x:c r="K94" s="59" t="str">
        <x:v>SF</x:v>
      </x:c>
      <x:c r="L94" s="62" t="str">
        <x:v>Camp/summer-depth watch entry; no reliable 2026-27 fantasy projection. Verify final NBA contract, roster status and role before draft use.</x:v>
      </x:c>
    </x:row>
    <x:row r="95" ht="20" customHeight="1">
      <x:c r="A95" s="59" t="n">
        <x:v>90</x:v>
      </x:c>
      <x:c r="B95" s="59" t="n">
        <x:v>463</x:v>
      </x:c>
      <x:c r="C95" s="59" t="str">
        <x:v>C.J. Gunn</x:v>
      </x:c>
      <x:c r="D95" s="59" t="str">
        <x:v>GSW</x:v>
      </x:c>
      <x:c r="E95" s="58"/>
      <x:c r="F95" s="60"/>
      <x:c r="G95" s="60" t="n">
        <x:v>0</x:v>
      </x:c>
      <x:c r="H95" s="60" t="n">
        <x:v>3.5</x:v>
      </x:c>
      <x:c r="I95" s="58" t="n">
        <x:v>0</x:v>
      </x:c>
      <x:c r="J95" s="59" t="str">
        <x:v>WATCH</x:v>
      </x:c>
      <x:c r="K95" s="59" t="str">
        <x:v>GF</x:v>
      </x:c>
      <x:c r="L95" s="62" t="str">
        <x:v>Camp/summer-depth watch entry; no reliable 2026-27 fantasy projection. Verify final NBA contract, roster status and role before draft use.</x:v>
      </x:c>
    </x:row>
    <x:row r="96" ht="20" customHeight="1">
      <x:c r="A96" s="59" t="n">
        <x:v>91</x:v>
      </x:c>
      <x:c r="B96" s="59" t="n">
        <x:v>466</x:v>
      </x:c>
      <x:c r="C96" s="59" t="str">
        <x:v>Cam Reddish</x:v>
      </x:c>
      <x:c r="D96" s="59" t="str">
        <x:v>ORL</x:v>
      </x:c>
      <x:c r="E96" s="58"/>
      <x:c r="F96" s="60"/>
      <x:c r="G96" s="60" t="n">
        <x:v>0</x:v>
      </x:c>
      <x:c r="H96" s="60" t="n">
        <x:v>3.5</x:v>
      </x:c>
      <x:c r="I96" s="58" t="n">
        <x:v>0</x:v>
      </x:c>
      <x:c r="J96" s="59" t="str">
        <x:v>WATCH</x:v>
      </x:c>
      <x:c r="K96" s="59" t="str">
        <x:v>GF</x:v>
      </x:c>
      <x:c r="L96" s="62" t="str">
        <x:v>Camp/summer-depth watch entry; no reliable 2026-27 fantasy projection. Verify final NBA contract, roster status and role before draft use.</x:v>
      </x:c>
    </x:row>
    <x:row r="97" ht="20" customHeight="1">
      <x:c r="A97" s="59" t="n">
        <x:v>92</x:v>
      </x:c>
      <x:c r="B97" s="59" t="n">
        <x:v>477</x:v>
      </x:c>
      <x:c r="C97" s="59" t="str">
        <x:v>Chris Bell</x:v>
      </x:c>
      <x:c r="D97" s="59" t="str">
        <x:v>NOP</x:v>
      </x:c>
      <x:c r="E97" s="58"/>
      <x:c r="F97" s="60"/>
      <x:c r="G97" s="60" t="n">
        <x:v>0</x:v>
      </x:c>
      <x:c r="H97" s="60" t="n">
        <x:v>3.5</x:v>
      </x:c>
      <x:c r="I97" s="58" t="n">
        <x:v>0</x:v>
      </x:c>
      <x:c r="J97" s="59" t="str">
        <x:v>WATCH</x:v>
      </x:c>
      <x:c r="K97" s="59" t="str">
        <x:v>GF</x:v>
      </x:c>
      <x:c r="L97" s="62" t="str">
        <x:v>Camp/summer-depth watch entry; no reliable 2026-27 fantasy projection. Verify final NBA contract, roster status and role before draft use.</x:v>
      </x:c>
    </x:row>
    <x:row r="98" ht="20" customHeight="1">
      <x:c r="A98" s="59" t="n">
        <x:v>93</x:v>
      </x:c>
      <x:c r="B98" s="59" t="n">
        <x:v>478</x:v>
      </x:c>
      <x:c r="C98" s="59" t="str">
        <x:v>Chris Ledlum</x:v>
      </x:c>
      <x:c r="D98" s="59" t="str">
        <x:v>HOU</x:v>
      </x:c>
      <x:c r="E98" s="58"/>
      <x:c r="F98" s="60"/>
      <x:c r="G98" s="60" t="n">
        <x:v>0</x:v>
      </x:c>
      <x:c r="H98" s="60" t="n">
        <x:v>3.5</x:v>
      </x:c>
      <x:c r="I98" s="58" t="n">
        <x:v>0</x:v>
      </x:c>
      <x:c r="J98" s="59" t="str">
        <x:v>WATCH</x:v>
      </x:c>
      <x:c r="K98" s="59" t="str">
        <x:v>GF</x:v>
      </x:c>
      <x:c r="L98" s="62" t="str">
        <x:v>Camp/summer-depth watch entry; no reliable 2026-27 fantasy projection. Verify final NBA contract, roster status and role before draft use.</x:v>
      </x:c>
    </x:row>
    <x:row r="99" ht="20" customHeight="1">
      <x:c r="A99" s="59" t="n">
        <x:v>94</x:v>
      </x:c>
      <x:c r="B99" s="59" t="n">
        <x:v>482</x:v>
      </x:c>
      <x:c r="C99" s="59" t="str">
        <x:v>Corey Stephenson</x:v>
      </x:c>
      <x:c r="D99" s="59" t="str">
        <x:v>DET</x:v>
      </x:c>
      <x:c r="E99" s="58"/>
      <x:c r="F99" s="60"/>
      <x:c r="G99" s="60" t="n">
        <x:v>0</x:v>
      </x:c>
      <x:c r="H99" s="60" t="n">
        <x:v>3.5</x:v>
      </x:c>
      <x:c r="I99" s="58" t="n">
        <x:v>0</x:v>
      </x:c>
      <x:c r="J99" s="59" t="str">
        <x:v>WATCH</x:v>
      </x:c>
      <x:c r="K99" s="59" t="str">
        <x:v>GF</x:v>
      </x:c>
      <x:c r="L99" s="62" t="str">
        <x:v>Camp/summer-depth watch entry; no reliable 2026-27 fantasy projection. Verify final NBA contract, roster status and role before draft use.</x:v>
      </x:c>
    </x:row>
    <x:row r="100" ht="20" customHeight="1">
      <x:c r="A100" s="59" t="n">
        <x:v>95</x:v>
      </x:c>
      <x:c r="B100" s="59" t="n">
        <x:v>485</x:v>
      </x:c>
      <x:c r="C100" s="59" t="str">
        <x:v>Damari Monsanto</x:v>
      </x:c>
      <x:c r="D100" s="59" t="str">
        <x:v>WAS</x:v>
      </x:c>
      <x:c r="E100" s="58"/>
      <x:c r="F100" s="60"/>
      <x:c r="G100" s="60" t="n">
        <x:v>0</x:v>
      </x:c>
      <x:c r="H100" s="60" t="n">
        <x:v>3.5</x:v>
      </x:c>
      <x:c r="I100" s="58" t="n">
        <x:v>0</x:v>
      </x:c>
      <x:c r="J100" s="59" t="str">
        <x:v>WATCH</x:v>
      </x:c>
      <x:c r="K100" s="59" t="str">
        <x:v>GF</x:v>
      </x:c>
      <x:c r="L100" s="62" t="str">
        <x:v>Camp/summer-depth watch entry; no reliable 2026-27 fantasy projection. Verify final NBA contract, roster status and role before draft use.</x:v>
      </x:c>
    </x:row>
    <x:row r="101" ht="20" customHeight="1">
      <x:c r="A101" s="59" t="n">
        <x:v>96</x:v>
      </x:c>
      <x:c r="B101" s="59" t="n">
        <x:v>495</x:v>
      </x:c>
      <x:c r="C101" s="59" t="str">
        <x:v>Devon Higgs</x:v>
      </x:c>
      <x:c r="D101" s="59" t="str">
        <x:v>ATL</x:v>
      </x:c>
      <x:c r="E101" s="58"/>
      <x:c r="F101" s="60"/>
      <x:c r="G101" s="60" t="n">
        <x:v>0</x:v>
      </x:c>
      <x:c r="H101" s="60" t="n">
        <x:v>3.5</x:v>
      </x:c>
      <x:c r="I101" s="58" t="n">
        <x:v>0</x:v>
      </x:c>
      <x:c r="J101" s="59" t="str">
        <x:v>WATCH</x:v>
      </x:c>
      <x:c r="K101" s="59" t="str">
        <x:v>GF</x:v>
      </x:c>
      <x:c r="L101" s="62" t="str">
        <x:v>Camp/summer-depth watch entry; no reliable 2026-27 fantasy projection. Verify final NBA contract, roster status and role before draft use.</x:v>
      </x:c>
    </x:row>
    <x:row r="102" ht="20" customHeight="1">
      <x:c r="A102" s="59" t="n">
        <x:v>97</x:v>
      </x:c>
      <x:c r="B102" s="59" t="n">
        <x:v>506</x:v>
      </x:c>
      <x:c r="C102" s="59" t="str">
        <x:v>Elijah Mahi</x:v>
      </x:c>
      <x:c r="D102" s="59" t="str">
        <x:v>OKC</x:v>
      </x:c>
      <x:c r="E102" s="58"/>
      <x:c r="F102" s="60"/>
      <x:c r="G102" s="60" t="n">
        <x:v>0</x:v>
      </x:c>
      <x:c r="H102" s="60" t="n">
        <x:v>3.5</x:v>
      </x:c>
      <x:c r="I102" s="58" t="n">
        <x:v>0</x:v>
      </x:c>
      <x:c r="J102" s="59" t="str">
        <x:v>WATCH</x:v>
      </x:c>
      <x:c r="K102" s="59" t="str">
        <x:v>GF</x:v>
      </x:c>
      <x:c r="L102" s="62" t="str">
        <x:v>Camp/summer-depth watch entry; no reliable 2026-27 fantasy projection. Verify final NBA contract, roster status and role before draft use.</x:v>
      </x:c>
    </x:row>
    <x:row r="103" ht="20" customHeight="1">
      <x:c r="A103" s="59" t="n">
        <x:v>98</x:v>
      </x:c>
      <x:c r="B103" s="59" t="n">
        <x:v>513</x:v>
      </x:c>
      <x:c r="C103" s="59" t="str">
        <x:v>Frankie Fidler</x:v>
      </x:c>
      <x:c r="D103" s="59" t="str">
        <x:v>POR</x:v>
      </x:c>
      <x:c r="E103" s="58"/>
      <x:c r="F103" s="60"/>
      <x:c r="G103" s="60" t="n">
        <x:v>0</x:v>
      </x:c>
      <x:c r="H103" s="60" t="n">
        <x:v>3.5</x:v>
      </x:c>
      <x:c r="I103" s="58" t="n">
        <x:v>0</x:v>
      </x:c>
      <x:c r="J103" s="59" t="str">
        <x:v>WATCH</x:v>
      </x:c>
      <x:c r="K103" s="59" t="str">
        <x:v>GF</x:v>
      </x:c>
      <x:c r="L103" s="62" t="str">
        <x:v>Camp/summer-depth watch entry; no reliable 2026-27 fantasy projection. Verify final NBA contract, roster status and role before draft use.</x:v>
      </x:c>
    </x:row>
    <x:row r="104" ht="20" customHeight="1">
      <x:c r="A104" s="59" t="n">
        <x:v>99</x:v>
      </x:c>
      <x:c r="B104" s="59" t="n">
        <x:v>519</x:v>
      </x:c>
      <x:c r="C104" s="59" t="str">
        <x:v>Hank Morgan</x:v>
      </x:c>
      <x:c r="D104" s="59" t="str">
        <x:v>BOS</x:v>
      </x:c>
      <x:c r="E104" s="58"/>
      <x:c r="F104" s="60"/>
      <x:c r="G104" s="60" t="n">
        <x:v>0</x:v>
      </x:c>
      <x:c r="H104" s="60" t="n">
        <x:v>3.5</x:v>
      </x:c>
      <x:c r="I104" s="58" t="n">
        <x:v>0</x:v>
      </x:c>
      <x:c r="J104" s="59" t="str">
        <x:v>WATCH</x:v>
      </x:c>
      <x:c r="K104" s="59" t="str">
        <x:v>GF</x:v>
      </x:c>
      <x:c r="L104" s="62" t="str">
        <x:v>Camp/summer-depth watch entry; no reliable 2026-27 fantasy projection. Verify final NBA contract, roster status and role before draft use.</x:v>
      </x:c>
    </x:row>
    <x:row r="105" ht="20" customHeight="1">
      <x:c r="A105" s="59" t="n">
        <x:v>100</x:v>
      </x:c>
      <x:c r="B105" s="59" t="n">
        <x:v>523</x:v>
      </x:c>
      <x:c r="C105" s="59" t="str">
        <x:v>Hyunjung Lee</x:v>
      </x:c>
      <x:c r="D105" s="59" t="str">
        <x:v>SAS</x:v>
      </x:c>
      <x:c r="E105" s="58"/>
      <x:c r="F105" s="60"/>
      <x:c r="G105" s="60" t="n">
        <x:v>0</x:v>
      </x:c>
      <x:c r="H105" s="60" t="n">
        <x:v>3.5</x:v>
      </x:c>
      <x:c r="I105" s="58" t="n">
        <x:v>0</x:v>
      </x:c>
      <x:c r="J105" s="59" t="str">
        <x:v>WATCH</x:v>
      </x:c>
      <x:c r="K105" s="59" t="str">
        <x:v>GF</x:v>
      </x:c>
      <x:c r="L105" s="62" t="str">
        <x:v>Camp/summer-depth watch entry; no reliable 2026-27 fantasy projection. Verify final NBA contract, roster status and role before draft use.</x:v>
      </x:c>
    </x:row>
    <x:row r="106" ht="20" customHeight="1">
      <x:c r="A106" s="59" t="n">
        <x:v>101</x:v>
      </x:c>
      <x:c r="B106" s="59" t="n">
        <x:v>530</x:v>
      </x:c>
      <x:c r="C106" s="59" t="str">
        <x:v>J'Vonne Hadley</x:v>
      </x:c>
      <x:c r="D106" s="59" t="str">
        <x:v>MIA</x:v>
      </x:c>
      <x:c r="E106" s="58"/>
      <x:c r="F106" s="60"/>
      <x:c r="G106" s="60" t="n">
        <x:v>0</x:v>
      </x:c>
      <x:c r="H106" s="60" t="n">
        <x:v>3.5</x:v>
      </x:c>
      <x:c r="I106" s="58" t="n">
        <x:v>0</x:v>
      </x:c>
      <x:c r="J106" s="59" t="str">
        <x:v>WATCH</x:v>
      </x:c>
      <x:c r="K106" s="59" t="str">
        <x:v>GF</x:v>
      </x:c>
      <x:c r="L106" s="62" t="str">
        <x:v>Camp/summer-depth watch entry; no reliable 2026-27 fantasy projection. Verify final NBA contract, roster status and role before draft use.</x:v>
      </x:c>
    </x:row>
    <x:row r="107" ht="20" customHeight="1">
      <x:c r="A107" s="59" t="n">
        <x:v>102</x:v>
      </x:c>
      <x:c r="B107" s="59" t="n">
        <x:v>531</x:v>
      </x:c>
      <x:c r="C107" s="59" t="str">
        <x:v>JJ Harper</x:v>
      </x:c>
      <x:c r="D107" s="59" t="str">
        <x:v>PHI</x:v>
      </x:c>
      <x:c r="E107" s="58"/>
      <x:c r="F107" s="60"/>
      <x:c r="G107" s="60" t="n">
        <x:v>0</x:v>
      </x:c>
      <x:c r="H107" s="60" t="n">
        <x:v>3.5</x:v>
      </x:c>
      <x:c r="I107" s="58" t="n">
        <x:v>0</x:v>
      </x:c>
      <x:c r="J107" s="59" t="str">
        <x:v>WATCH</x:v>
      </x:c>
      <x:c r="K107" s="59" t="str">
        <x:v>GF</x:v>
      </x:c>
      <x:c r="L107" s="62" t="str">
        <x:v>Camp/summer-depth watch entry; no reliable 2026-27 fantasy projection. Verify final NBA contract, roster status and role before draft use.</x:v>
      </x:c>
    </x:row>
    <x:row r="108" ht="20" customHeight="1">
      <x:c r="A108" s="59" t="n">
        <x:v>103</x:v>
      </x:c>
      <x:c r="B108" s="59" t="n">
        <x:v>534</x:v>
      </x:c>
      <x:c r="C108" s="59" t="str">
        <x:v>Jabri Abdur-Rahim</x:v>
      </x:c>
      <x:c r="D108" s="59" t="str">
        <x:v>OKC</x:v>
      </x:c>
      <x:c r="E108" s="58"/>
      <x:c r="F108" s="60"/>
      <x:c r="G108" s="60" t="n">
        <x:v>0</x:v>
      </x:c>
      <x:c r="H108" s="60" t="n">
        <x:v>3.5</x:v>
      </x:c>
      <x:c r="I108" s="58" t="n">
        <x:v>0</x:v>
      </x:c>
      <x:c r="J108" s="59" t="str">
        <x:v>WATCH</x:v>
      </x:c>
      <x:c r="K108" s="59" t="str">
        <x:v>GF</x:v>
      </x:c>
      <x:c r="L108" s="62" t="str">
        <x:v>Camp/summer-depth watch entry; no reliable 2026-27 fantasy projection. Verify final NBA contract, roster status and role before draft use.</x:v>
      </x:c>
    </x:row>
    <x:row r="109" ht="20" customHeight="1">
      <x:c r="A109" s="59" t="n">
        <x:v>104</x:v>
      </x:c>
      <x:c r="B109" s="59" t="n">
        <x:v>541</x:v>
      </x:c>
      <x:c r="C109" s="59" t="str">
        <x:v>Jaden Henley</x:v>
      </x:c>
      <x:c r="D109" s="59" t="str">
        <x:v>DET</x:v>
      </x:c>
      <x:c r="E109" s="58"/>
      <x:c r="F109" s="60"/>
      <x:c r="G109" s="60" t="n">
        <x:v>0</x:v>
      </x:c>
      <x:c r="H109" s="60" t="n">
        <x:v>3.5</x:v>
      </x:c>
      <x:c r="I109" s="58" t="n">
        <x:v>0</x:v>
      </x:c>
      <x:c r="J109" s="59" t="str">
        <x:v>WATCH</x:v>
      </x:c>
      <x:c r="K109" s="59" t="str">
        <x:v>GF</x:v>
      </x:c>
      <x:c r="L109" s="62" t="str">
        <x:v>Camp/summer-depth watch entry; no reliable 2026-27 fantasy projection. Verify final NBA contract, roster status and role before draft use.</x:v>
      </x:c>
    </x:row>
    <x:row r="110" ht="20" customHeight="1">
      <x:c r="A110" s="59" t="n">
        <x:v>105</x:v>
      </x:c>
      <x:c r="B110" s="59" t="n">
        <x:v>545</x:v>
      </x:c>
      <x:c r="C110" s="59" t="str">
        <x:v>Jalen Bridges</x:v>
      </x:c>
      <x:c r="D110" s="59" t="str">
        <x:v>POR</x:v>
      </x:c>
      <x:c r="E110" s="58"/>
      <x:c r="F110" s="60"/>
      <x:c r="G110" s="60" t="n">
        <x:v>0</x:v>
      </x:c>
      <x:c r="H110" s="60" t="n">
        <x:v>3.5</x:v>
      </x:c>
      <x:c r="I110" s="58" t="n">
        <x:v>0</x:v>
      </x:c>
      <x:c r="J110" s="59" t="str">
        <x:v>WATCH</x:v>
      </x:c>
      <x:c r="K110" s="59" t="str">
        <x:v>SF</x:v>
      </x:c>
      <x:c r="L110" s="62" t="str">
        <x:v>Camp/summer-depth watch entry; no reliable 2026-27 fantasy projection. Verify final NBA contract, roster status and role before draft use.</x:v>
      </x:c>
    </x:row>
    <x:row r="111" ht="20" customHeight="1">
      <x:c r="A111" s="59" t="n">
        <x:v>106</x:v>
      </x:c>
      <x:c r="B111" s="59" t="n">
        <x:v>546</x:v>
      </x:c>
      <x:c r="C111" s="59" t="str">
        <x:v>Jalen Celestine</x:v>
      </x:c>
      <x:c r="D111" s="59" t="str">
        <x:v>TOR</x:v>
      </x:c>
      <x:c r="E111" s="58"/>
      <x:c r="F111" s="60"/>
      <x:c r="G111" s="60" t="n">
        <x:v>0</x:v>
      </x:c>
      <x:c r="H111" s="60" t="n">
        <x:v>3.5</x:v>
      </x:c>
      <x:c r="I111" s="58" t="n">
        <x:v>0</x:v>
      </x:c>
      <x:c r="J111" s="59" t="str">
        <x:v>WATCH</x:v>
      </x:c>
      <x:c r="K111" s="59" t="str">
        <x:v>GF</x:v>
      </x:c>
      <x:c r="L111" s="62" t="str">
        <x:v>Camp/summer-depth watch entry; no reliable 2026-27 fantasy projection. Verify final NBA contract, roster status and role before draft use.</x:v>
      </x:c>
    </x:row>
    <x:row r="112" ht="20" customHeight="1">
      <x:c r="A112" s="59" t="n">
        <x:v>107</x:v>
      </x:c>
      <x:c r="B112" s="59" t="n">
        <x:v>554</x:v>
      </x:c>
      <x:c r="C112" s="59" t="str">
        <x:v>Jaylen Martin</x:v>
      </x:c>
      <x:c r="D112" s="59" t="str">
        <x:v>POR</x:v>
      </x:c>
      <x:c r="E112" s="58"/>
      <x:c r="F112" s="60"/>
      <x:c r="G112" s="60" t="n">
        <x:v>0</x:v>
      </x:c>
      <x:c r="H112" s="60" t="n">
        <x:v>3.5</x:v>
      </x:c>
      <x:c r="I112" s="58" t="n">
        <x:v>0</x:v>
      </x:c>
      <x:c r="J112" s="59" t="str">
        <x:v>WATCH</x:v>
      </x:c>
      <x:c r="K112" s="59" t="str">
        <x:v>GF</x:v>
      </x:c>
      <x:c r="L112" s="62" t="str">
        <x:v>Camp/summer-depth watch entry; no reliable 2026-27 fantasy projection. Verify final NBA contract, roster status and role before draft use.</x:v>
      </x:c>
    </x:row>
    <x:row r="113" ht="20" customHeight="1">
      <x:c r="A113" s="59" t="n">
        <x:v>108</x:v>
      </x:c>
      <x:c r="B113" s="59" t="n">
        <x:v>559</x:v>
      </x:c>
      <x:c r="C113" s="59" t="str">
        <x:v>John Ukomadu</x:v>
      </x:c>
      <x:c r="D113" s="59" t="str">
        <x:v>BKN</x:v>
      </x:c>
      <x:c r="E113" s="58"/>
      <x:c r="F113" s="60"/>
      <x:c r="G113" s="60" t="n">
        <x:v>0</x:v>
      </x:c>
      <x:c r="H113" s="60" t="n">
        <x:v>3.5</x:v>
      </x:c>
      <x:c r="I113" s="58" t="n">
        <x:v>0</x:v>
      </x:c>
      <x:c r="J113" s="59" t="str">
        <x:v>WATCH</x:v>
      </x:c>
      <x:c r="K113" s="59" t="str">
        <x:v>GF</x:v>
      </x:c>
      <x:c r="L113" s="62" t="str">
        <x:v>Camp/summer-depth watch entry; no reliable 2026-27 fantasy projection. Verify final NBA contract, roster status and role before draft use.</x:v>
      </x:c>
    </x:row>
    <x:row r="114" ht="20" customHeight="1">
      <x:c r="A114" s="59" t="n">
        <x:v>109</x:v>
      </x:c>
      <x:c r="B114" s="59" t="n">
        <x:v>564</x:v>
      </x:c>
      <x:c r="C114" s="59" t="str">
        <x:v>Jordan Riley</x:v>
      </x:c>
      <x:c r="D114" s="59" t="str">
        <x:v>NOP</x:v>
      </x:c>
      <x:c r="E114" s="58"/>
      <x:c r="F114" s="60"/>
      <x:c r="G114" s="60" t="n">
        <x:v>0</x:v>
      </x:c>
      <x:c r="H114" s="60" t="n">
        <x:v>3.5</x:v>
      </x:c>
      <x:c r="I114" s="58" t="n">
        <x:v>0</x:v>
      </x:c>
      <x:c r="J114" s="59" t="str">
        <x:v>WATCH</x:v>
      </x:c>
      <x:c r="K114" s="59" t="str">
        <x:v>GF</x:v>
      </x:c>
      <x:c r="L114" s="62" t="str">
        <x:v>Camp/summer-depth watch entry; no reliable 2026-27 fantasy projection. Verify final NBA contract, roster status and role before draft use.</x:v>
      </x:c>
    </x:row>
    <x:row r="115" ht="20" customHeight="1">
      <x:c r="A115" s="59" t="n">
        <x:v>110</x:v>
      </x:c>
      <x:c r="B115" s="59" t="n">
        <x:v>565</x:v>
      </x:c>
      <x:c r="C115" s="59" t="str">
        <x:v>Josh Dix</x:v>
      </x:c>
      <x:c r="D115" s="59" t="str">
        <x:v>OKC</x:v>
      </x:c>
      <x:c r="E115" s="58"/>
      <x:c r="F115" s="60"/>
      <x:c r="G115" s="60" t="n">
        <x:v>0</x:v>
      </x:c>
      <x:c r="H115" s="60" t="n">
        <x:v>3.5</x:v>
      </x:c>
      <x:c r="I115" s="58" t="n">
        <x:v>0</x:v>
      </x:c>
      <x:c r="J115" s="59" t="str">
        <x:v>WATCH</x:v>
      </x:c>
      <x:c r="K115" s="59" t="str">
        <x:v>GF</x:v>
      </x:c>
      <x:c r="L115" s="62" t="str">
        <x:v>Camp/summer-depth watch entry; no reliable 2026-27 fantasy projection. Verify final NBA contract, roster status and role before draft use.</x:v>
      </x:c>
    </x:row>
    <x:row r="116" ht="20" customHeight="1">
      <x:c r="A116" s="59" t="n">
        <x:v>111</x:v>
      </x:c>
      <x:c r="B116" s="59" t="n">
        <x:v>570</x:v>
      </x:c>
      <x:c r="C116" s="59" t="str">
        <x:v>Kendall Brown</x:v>
      </x:c>
      <x:c r="D116" s="59" t="str">
        <x:v>MIA</x:v>
      </x:c>
      <x:c r="E116" s="58"/>
      <x:c r="F116" s="60"/>
      <x:c r="G116" s="60" t="n">
        <x:v>0</x:v>
      </x:c>
      <x:c r="H116" s="60" t="n">
        <x:v>3.5</x:v>
      </x:c>
      <x:c r="I116" s="58" t="n">
        <x:v>0</x:v>
      </x:c>
      <x:c r="J116" s="59" t="str">
        <x:v>WATCH</x:v>
      </x:c>
      <x:c r="K116" s="59" t="str">
        <x:v>SF</x:v>
      </x:c>
      <x:c r="L116" s="62" t="str">
        <x:v>Camp/summer-depth watch entry; no reliable 2026-27 fantasy projection. Verify final NBA contract, roster status and role before draft use.</x:v>
      </x:c>
    </x:row>
    <x:row r="117" ht="20" customHeight="1">
      <x:c r="A117" s="59" t="n">
        <x:v>112</x:v>
      </x:c>
      <x:c r="B117" s="59" t="n">
        <x:v>573</x:v>
      </x:c>
      <x:c r="C117" s="59" t="str">
        <x:v>Keyshawn Hall</x:v>
      </x:c>
      <x:c r="D117" s="59" t="str">
        <x:v>MIA</x:v>
      </x:c>
      <x:c r="E117" s="58"/>
      <x:c r="F117" s="60"/>
      <x:c r="G117" s="60" t="n">
        <x:v>0</x:v>
      </x:c>
      <x:c r="H117" s="60" t="n">
        <x:v>3.5</x:v>
      </x:c>
      <x:c r="I117" s="58" t="n">
        <x:v>0</x:v>
      </x:c>
      <x:c r="J117" s="59" t="str">
        <x:v>WATCH</x:v>
      </x:c>
      <x:c r="K117" s="59" t="str">
        <x:v>GF</x:v>
      </x:c>
      <x:c r="L117" s="62" t="str">
        <x:v>Camp/summer-depth watch entry; no reliable 2026-27 fantasy projection. Verify final NBA contract, roster status and role before draft use.</x:v>
      </x:c>
    </x:row>
    <x:row r="118" ht="20" customHeight="1">
      <x:c r="A118" s="59" t="n">
        <x:v>113</x:v>
      </x:c>
      <x:c r="B118" s="59" t="n">
        <x:v>575</x:v>
      </x:c>
      <x:c r="C118" s="59" t="str">
        <x:v>Kobe Knox</x:v>
      </x:c>
      <x:c r="D118" s="59" t="str">
        <x:v>ATL</x:v>
      </x:c>
      <x:c r="E118" s="58"/>
      <x:c r="F118" s="60"/>
      <x:c r="G118" s="60" t="n">
        <x:v>0</x:v>
      </x:c>
      <x:c r="H118" s="60" t="n">
        <x:v>3.5</x:v>
      </x:c>
      <x:c r="I118" s="58" t="n">
        <x:v>0</x:v>
      </x:c>
      <x:c r="J118" s="59" t="str">
        <x:v>WATCH</x:v>
      </x:c>
      <x:c r="K118" s="59" t="str">
        <x:v>GF</x:v>
      </x:c>
      <x:c r="L118" s="62" t="str">
        <x:v>Camp/summer-depth watch entry; no reliable 2026-27 fantasy projection. Verify final NBA contract, roster status and role before draft use.</x:v>
      </x:c>
    </x:row>
    <x:row r="119" ht="20" customHeight="1">
      <x:c r="A119" s="59" t="n">
        <x:v>114</x:v>
      </x:c>
      <x:c r="B119" s="59" t="n">
        <x:v>576</x:v>
      </x:c>
      <x:c r="C119" s="59" t="str">
        <x:v>Kobe Stewart</x:v>
      </x:c>
      <x:c r="D119" s="59" t="str">
        <x:v>MIL</x:v>
      </x:c>
      <x:c r="E119" s="58"/>
      <x:c r="F119" s="60"/>
      <x:c r="G119" s="60" t="n">
        <x:v>0</x:v>
      </x:c>
      <x:c r="H119" s="60" t="n">
        <x:v>3.5</x:v>
      </x:c>
      <x:c r="I119" s="58" t="n">
        <x:v>0</x:v>
      </x:c>
      <x:c r="J119" s="59" t="str">
        <x:v>WATCH</x:v>
      </x:c>
      <x:c r="K119" s="59" t="str">
        <x:v>GF</x:v>
      </x:c>
      <x:c r="L119" s="62" t="str">
        <x:v>Camp/summer-depth watch entry; no reliable 2026-27 fantasy projection. Verify final NBA contract, roster status and role before draft use.</x:v>
      </x:c>
    </x:row>
    <x:row r="120" ht="20" customHeight="1">
      <x:c r="A120" s="59" t="n">
        <x:v>115</x:v>
      </x:c>
      <x:c r="B120" s="59" t="n">
        <x:v>581</x:v>
      </x:c>
      <x:c r="C120" s="59" t="str">
        <x:v>Lajae Jones</x:v>
      </x:c>
      <x:c r="D120" s="59" t="str">
        <x:v>GSW</x:v>
      </x:c>
      <x:c r="E120" s="58"/>
      <x:c r="F120" s="60"/>
      <x:c r="G120" s="60" t="n">
        <x:v>0</x:v>
      </x:c>
      <x:c r="H120" s="60" t="n">
        <x:v>3.5</x:v>
      </x:c>
      <x:c r="I120" s="58" t="n">
        <x:v>0</x:v>
      </x:c>
      <x:c r="J120" s="59" t="str">
        <x:v>WATCH</x:v>
      </x:c>
      <x:c r="K120" s="59" t="str">
        <x:v>GF</x:v>
      </x:c>
      <x:c r="L120" s="62" t="str">
        <x:v>Camp/summer-depth watch entry; no reliable 2026-27 fantasy projection. Verify final NBA contract, roster status and role before draft use.</x:v>
      </x:c>
    </x:row>
    <x:row r="121" ht="20" customHeight="1">
      <x:c r="A121" s="59" t="n">
        <x:v>116</x:v>
      </x:c>
      <x:c r="B121" s="59" t="n">
        <x:v>582</x:v>
      </x:c>
      <x:c r="C121" s="59" t="str">
        <x:v>Lamar Wilkerson</x:v>
      </x:c>
      <x:c r="D121" s="59" t="str">
        <x:v>OKC</x:v>
      </x:c>
      <x:c r="E121" s="58"/>
      <x:c r="F121" s="60"/>
      <x:c r="G121" s="60" t="n">
        <x:v>0</x:v>
      </x:c>
      <x:c r="H121" s="60" t="n">
        <x:v>3.5</x:v>
      </x:c>
      <x:c r="I121" s="58" t="n">
        <x:v>0</x:v>
      </x:c>
      <x:c r="J121" s="59" t="str">
        <x:v>WATCH</x:v>
      </x:c>
      <x:c r="K121" s="59" t="str">
        <x:v>GF</x:v>
      </x:c>
      <x:c r="L121" s="62" t="str">
        <x:v>Camp/summer-depth watch entry; no reliable 2026-27 fantasy projection. Verify final NBA contract, roster status and role before draft use.</x:v>
      </x:c>
    </x:row>
    <x:row r="122" ht="20" customHeight="1">
      <x:c r="A122" s="59" t="n">
        <x:v>117</x:v>
      </x:c>
      <x:c r="B122" s="59" t="n">
        <x:v>599</x:v>
      </x:c>
      <x:c r="C122" s="59" t="str">
        <x:v>Matthew Cleveland</x:v>
      </x:c>
      <x:c r="D122" s="59" t="str">
        <x:v>UTA</x:v>
      </x:c>
      <x:c r="E122" s="59"/>
      <x:c r="F122" s="59"/>
      <x:c r="G122" s="59" t="n">
        <x:v>0</x:v>
      </x:c>
      <x:c r="H122" s="59" t="n">
        <x:v>3.5</x:v>
      </x:c>
      <x:c r="I122" s="59" t="n">
        <x:v>0</x:v>
      </x:c>
      <x:c r="J122" s="59" t="str">
        <x:v>WATCH</x:v>
      </x:c>
      <x:c r="K122" s="59" t="str">
        <x:v>GF</x:v>
      </x:c>
      <x:c r="L122" s="62" t="str">
        <x:v>Camp/summer-depth watch entry; no reliable 2026-27 fantasy projection. Verify final NBA contract, roster status and role before draft use.</x:v>
      </x:c>
    </x:row>
  </x:sheetData>
  <x:mergeCells>
    <x:mergeCell ref="A1:K1"/>
    <x:mergeCell ref="A2:K3"/>
  </x:mergeCells>
  <x:conditionalFormatting sqref="J6:J28">
    <x:cfRule type="expression" dxfId="6" priority="1">
      <x:formula>OR(J6="HIGH",J6="IR / RETURN")</x:formula>
    </x:cfRule>
    <x:cfRule type="expression" dxfId="7" priority="2">
      <x:formula>OR(J6="MEDIUM",J6="CONTRACT")</x:formula>
    </x:cfRule>
  </x:conditionalFormatting>
  <x:conditionalFormatting sqref="A6:L121">
    <x:cfRule type="expression" dxfId="20" priority="3">
      <x:formula>MOD(ROW(),2)=0</x:formula>
    </x:cfRule>
  </x:conditionalFormatting>
  <x:conditionalFormatting sqref="J6:J121">
    <x:cfRule type="expression" dxfId="21" priority="4">
      <x:formula>$J6="WATCH"</x:formula>
    </x:cfRule>
  </x:conditionalFormatting>
  <x:conditionalFormatting sqref="A6:L122">
    <x:cfRule type="expression" dxfId="31" priority="5">
      <x:formula>MOD(ROW(),2)=0</x:formula>
    </x:cfRule>
  </x:conditionalFormatting>
  <x:conditionalFormatting sqref="J6:J122">
    <x:cfRule type="expression" dxfId="32" priority="6">
      <x:formula>$J6="WATCH"</x:formula>
    </x:cfRule>
  </x:conditionalFormatting>
  <x:pageMargins left="0.7" right="0.7" top="0.75" bottom="0.75" header="0.3" footer="0.3"/>
  <x:tableParts count="1">
    <x:tablePart xmlns:r="http://schemas.openxmlformats.org/officeDocument/2006/relationships" r:id="R277f7db3e10945bd"/>
  </x:tableParts>
</x:worksheet>
</file>

<file path=xl/worksheets/sheet6.xml><?xml version="1.0" encoding="utf-8"?>
<x:worksheet xmlns:x="http://schemas.openxmlformats.org/spreadsheetml/2006/main">
  <x:sheetFormatPr defaultRowHeight="15"/>
  <x:cols>
    <x:col min="1" max="1" width="10" hidden="0" customWidth="1"/>
    <x:col min="2" max="2" width="9" hidden="0" customWidth="1"/>
    <x:col min="3" max="3" width="24" hidden="0" customWidth="1"/>
    <x:col min="4" max="4" width="8" hidden="0" customWidth="1"/>
    <x:col min="5" max="5" width="11" hidden="0" customWidth="1"/>
    <x:col min="6" max="6" width="13" hidden="0" customWidth="1"/>
    <x:col min="7" max="7" width="11" hidden="0" customWidth="1"/>
    <x:col min="8" max="8" width="11" hidden="0" customWidth="1"/>
    <x:col min="9" max="9" width="11" hidden="0" customWidth="1"/>
    <x:col min="10" max="10" width="13" hidden="0" customWidth="1"/>
    <x:col min="11" max="11" width="16" hidden="0" customWidth="1"/>
    <x:col min="12" max="12" width="52" hidden="0" customWidth="1"/>
  </x:cols>
  <x:sheetData>
    <x:row r="1" ht="30" customHeight="1">
      <x:c r="A1" s="88" t="str">
        <x:v>PF | POSITIONAL DRAFT PRIORITY — 600 PLAYER MASTER</x:v>
      </x:c>
      <x:c r="B1" s="88"/>
      <x:c r="C1" s="88"/>
      <x:c r="D1" s="88"/>
      <x:c r="E1" s="88"/>
      <x:c r="F1" s="88"/>
      <x:c r="G1" s="88"/>
      <x:c r="H1" s="88"/>
      <x:c r="I1" s="88"/>
      <x:c r="J1" s="88"/>
      <x:c r="K1" s="88"/>
      <x:c r="L1" s="89"/>
    </x:row>
    <x:row r="2" ht="23" customHeight="1">
      <x:c r="A2" s="90" t="str">
        <x:v>Draft-day refresh Oct. 10, 2026 • full 600-player master • top 150 refreshed with current projections and live availability context</x:v>
      </x:c>
      <x:c r="B2" s="90"/>
      <x:c r="C2" s="90"/>
      <x:c r="D2" s="90"/>
      <x:c r="E2" s="90"/>
      <x:c r="F2" s="90"/>
      <x:c r="G2" s="90"/>
      <x:c r="H2" s="90"/>
      <x:c r="I2" s="90"/>
      <x:c r="J2" s="90"/>
      <x:c r="K2" s="90"/>
      <x:c r="L2" s="91"/>
    </x:row>
    <x:row r="3" ht="23" customHeight="1">
      <x:c r="A3" s="42"/>
      <x:c r="B3" s="42"/>
      <x:c r="C3" s="42"/>
      <x:c r="D3" s="42"/>
      <x:c r="E3" s="42"/>
      <x:c r="F3" s="42"/>
      <x:c r="G3" s="42"/>
      <x:c r="H3" s="42"/>
      <x:c r="I3" s="42"/>
      <x:c r="J3" s="42"/>
      <x:c r="K3" s="42"/>
      <x:c r="L3" s="7"/>
    </x:row>
    <x:row r="5" ht="36" customHeight="1">
      <x:c r="A5" s="44" t="str">
        <x:v>Pos. rank</x:v>
      </x:c>
      <x:c r="B5" s="44" t="str">
        <x:v>Overall</x:v>
      </x:c>
      <x:c r="C5" s="44" t="str">
        <x:v>Player</x:v>
      </x:c>
      <x:c r="D5" s="44" t="str">
        <x:v>Team</x:v>
      </x:c>
      <x:c r="E5" s="44" t="str">
        <x:v>2025-26 GP</x:v>
      </x:c>
      <x:c r="F5" s="44" t="str">
        <x:v>2025-26 FP/G</x:v>
      </x:c>
      <x:c r="G5" s="44" t="str">
        <x:v>2026 low</x:v>
      </x:c>
      <x:c r="H5" s="44" t="str">
        <x:v>2026 high</x:v>
      </x:c>
      <x:c r="I5" s="44" t="str">
        <x:v>Planning GP</x:v>
      </x:c>
      <x:c r="J5" s="44" t="str">
        <x:v>Risk</x:v>
      </x:c>
      <x:c r="K5" s="44" t="str">
        <x:v>Source position tags</x:v>
      </x:c>
      <x:c r="L5" s="44" t="str">
        <x:v>Draft rationale</x:v>
      </x:c>
    </x:row>
    <x:row r="6" ht="20" customHeight="1">
      <x:c r="A6" s="59" t="n">
        <x:v>1</x:v>
      </x:c>
      <x:c r="B6" s="59" t="n">
        <x:v>4</x:v>
      </x:c>
      <x:c r="C6" s="59" t="str">
        <x:v>Giannis Antetokounmpo</x:v>
      </x:c>
      <x:c r="D6" s="59" t="str">
        <x:v>MIA</x:v>
      </x:c>
      <x:c r="E6" s="58" t="n">
        <x:v>36</x:v>
      </x:c>
      <x:c r="F6" s="60" t="n">
        <x:v>54.849999999999994</x:v>
      </x:c>
      <x:c r="G6" s="60" t="n">
        <x:v>57.382894323493865</x:v>
      </x:c>
      <x:c r="H6" s="60" t="n">
        <x:v>68.38289432349387</x:v>
      </x:c>
      <x:c r="I6" s="58" t="n">
        <x:v>73</x:v>
      </x:c>
      <x:c r="J6" s="59" t="str">
        <x:v>MEDIUM</x:v>
      </x:c>
      <x:c r="K6" s="59" t="str">
        <x:v>PF/C</x:v>
      </x:c>
      <x:c r="L6" s="62" t="str">
        <x:v>Miami move; huge per-game ceiling. Temper minutes and games assumptions after 36-game season.</x:v>
      </x:c>
    </x:row>
    <x:row r="7" ht="20" customHeight="1">
      <x:c r="A7" s="59" t="n">
        <x:v>2</x:v>
      </x:c>
      <x:c r="B7" s="59" t="n">
        <x:v>10</x:v>
      </x:c>
      <x:c r="C7" s="59" t="str">
        <x:v>Jalen Johnson</x:v>
      </x:c>
      <x:c r="D7" s="59" t="str">
        <x:v>ATL</x:v>
      </x:c>
      <x:c r="E7" s="58" t="n">
        <x:v>72</x:v>
      </x:c>
      <x:c r="F7" s="60" t="n">
        <x:v>47.95000000000001</x:v>
      </x:c>
      <x:c r="G7" s="60" t="n">
        <x:v>42.372139640271136</x:v>
      </x:c>
      <x:c r="H7" s="60" t="n">
        <x:v>49.372139640271136</x:v>
      </x:c>
      <x:c r="I7" s="58" t="n">
        <x:v>75</x:v>
      </x:c>
      <x:c r="J7" s="59" t="str">
        <x:v>STANDARD</x:v>
      </x:c>
      <x:c r="K7" s="59" t="str">
        <x:v>PF/SF</x:v>
      </x:c>
      <x:c r="L7" s="62" t="str">
        <x:v>Strong all-around production; slight growth preference over the consensus input.</x:v>
      </x:c>
    </x:row>
    <x:row r="8" ht="20" customHeight="1">
      <x:c r="A8" s="59" t="n">
        <x:v>3</x:v>
      </x:c>
      <x:c r="B8" s="59" t="n">
        <x:v>17</x:v>
      </x:c>
      <x:c r="C8" s="59" t="str">
        <x:v>Anthony Davis</x:v>
      </x:c>
      <x:c r="D8" s="59" t="str">
        <x:v>WAS</x:v>
      </x:c>
      <x:c r="E8" s="58" t="n">
        <x:v>20</x:v>
      </x:c>
      <x:c r="F8" s="60" t="n">
        <x:v>45.14999999999999</x:v>
      </x:c>
      <x:c r="G8" s="60" t="n">
        <x:v>40.63243152213333</x:v>
      </x:c>
      <x:c r="H8" s="60" t="n">
        <x:v>51.63243152213333</x:v>
      </x:c>
      <x:c r="I8" s="58" t="n">
        <x:v>66</x:v>
      </x:c>
      <x:c r="J8" s="59" t="str">
        <x:v>MEDIUM</x:v>
      </x:c>
      <x:c r="K8" s="59" t="str">
        <x:v>PF/C</x:v>
      </x:c>
      <x:c r="L8" s="62" t="str">
        <x:v>Healthy in camp and productive in preseason debut. Availability history still warrants a modest games discount.</x:v>
      </x:c>
    </x:row>
    <x:row r="9" ht="20" customHeight="1">
      <x:c r="A9" s="59" t="n">
        <x:v>4</x:v>
      </x:c>
      <x:c r="B9" s="59" t="n">
        <x:v>20</x:v>
      </x:c>
      <x:c r="C9" s="59" t="str">
        <x:v>Evan Mobley</x:v>
      </x:c>
      <x:c r="D9" s="59" t="str">
        <x:v>CLE</x:v>
      </x:c>
      <x:c r="E9" s="58" t="n">
        <x:v>65</x:v>
      </x:c>
      <x:c r="F9" s="60" t="n">
        <x:v>40.75</x:v>
      </x:c>
      <x:c r="G9" s="60" t="n">
        <x:v>39.600207802188834</x:v>
      </x:c>
      <x:c r="H9" s="60" t="n">
        <x:v>46.600207802188834</x:v>
      </x:c>
      <x:c r="I9" s="58" t="n">
        <x:v>72</x:v>
      </x:c>
      <x:c r="J9" s="59" t="str">
        <x:v>STANDARD</x:v>
      </x:c>
      <x:c r="K9" s="59" t="str">
        <x:v>PF/C</x:v>
      </x:c>
      <x:c r="L9" s="62" t="str">
        <x:v>Efficient big-man production without needing a huge scoring load.</x:v>
      </x:c>
    </x:row>
    <x:row r="10" ht="20" customHeight="1">
      <x:c r="A10" s="59" t="n">
        <x:v>5</x:v>
      </x:c>
      <x:c r="B10" s="59" t="n">
        <x:v>21</x:v>
      </x:c>
      <x:c r="C10" s="59" t="str">
        <x:v>Paolo Banchero</x:v>
      </x:c>
      <x:c r="D10" s="59" t="str">
        <x:v>ORL</x:v>
      </x:c>
      <x:c r="E10" s="58" t="n">
        <x:v>72</x:v>
      </x:c>
      <x:c r="F10" s="60" t="n">
        <x:v>41.099999999999994</x:v>
      </x:c>
      <x:c r="G10" s="60" t="n">
        <x:v>39.169358078089516</x:v>
      </x:c>
      <x:c r="H10" s="60" t="n">
        <x:v>46.169358078089516</x:v>
      </x:c>
      <x:c r="I10" s="58" t="n">
        <x:v>74</x:v>
      </x:c>
      <x:c r="J10" s="59" t="str">
        <x:v>STANDARD</x:v>
      </x:c>
      <x:c r="K10" s="59" t="str">
        <x:v>PF/SF</x:v>
      </x:c>
      <x:c r="L10" s="62" t="str">
        <x:v>Balanced forward target; missed shots and free throws can cap his fantasy efficiency.</x:v>
      </x:c>
    </x:row>
    <x:row r="11" ht="20" customHeight="1">
      <x:c r="A11" s="59" t="n">
        <x:v>6</x:v>
      </x:c>
      <x:c r="B11" s="59" t="n">
        <x:v>24</x:v>
      </x:c>
      <x:c r="C11" s="59" t="str">
        <x:v>Scottie Barnes</x:v>
      </x:c>
      <x:c r="D11" s="59" t="str">
        <x:v>TOR</x:v>
      </x:c>
      <x:c r="E11" s="58" t="n">
        <x:v>80</x:v>
      </x:c>
      <x:c r="F11" s="60" t="n">
        <x:v>41.5</x:v>
      </x:c>
      <x:c r="G11" s="60" t="n">
        <x:v>38.29776942962483</x:v>
      </x:c>
      <x:c r="H11" s="60" t="n">
        <x:v>45.29776942962483</x:v>
      </x:c>
      <x:c r="I11" s="58" t="n">
        <x:v>75</x:v>
      </x:c>
      <x:c r="J11" s="59" t="str">
        <x:v>STANDARD</x:v>
      </x:c>
      <x:c r="K11" s="59" t="str">
        <x:v>C/PF/SF/SG</x:v>
      </x:c>
      <x:c r="L11" s="62" t="str">
        <x:v>Versatile production; do not assume every offensive category rises with Kawhi present.</x:v>
      </x:c>
    </x:row>
    <x:row r="12" ht="20" customHeight="1">
      <x:c r="A12" s="59" t="n">
        <x:v>7</x:v>
      </x:c>
      <x:c r="B12" s="59" t="n">
        <x:v>34</x:v>
      </x:c>
      <x:c r="C12" s="59" t="str">
        <x:v>Pascal Siakam</x:v>
      </x:c>
      <x:c r="D12" s="59" t="str">
        <x:v>IND</x:v>
      </x:c>
      <x:c r="E12" s="58" t="n">
        <x:v>62</x:v>
      </x:c>
      <x:c r="F12" s="60" t="n">
        <x:v>40.900000000000006</x:v>
      </x:c>
      <x:c r="G12" s="60" t="n">
        <x:v>37.69797349367399</x:v>
      </x:c>
      <x:c r="H12" s="60" t="n">
        <x:v>44.69797349367399</x:v>
      </x:c>
      <x:c r="I12" s="58" t="n">
        <x:v>76</x:v>
      </x:c>
      <x:c r="J12" s="59" t="str">
        <x:v>STANDARD</x:v>
      </x:c>
      <x:c r="K12" s="59" t="str">
        <x:v>C/PF/SF</x:v>
      </x:c>
      <x:c r="L12" s="62" t="str">
        <x:v>Steady multi-category production; Haliburton's return supports a more balanced offense.</x:v>
      </x:c>
    </x:row>
    <x:row r="13" ht="20" customHeight="1">
      <x:c r="A13" s="59" t="n">
        <x:v>8</x:v>
      </x:c>
      <x:c r="B13" s="59" t="n">
        <x:v>35</x:v>
      </x:c>
      <x:c r="C13" s="59" t="str">
        <x:v>Zion Williamson</x:v>
      </x:c>
      <x:c r="D13" s="59" t="str">
        <x:v>NOP</x:v>
      </x:c>
      <x:c r="E13" s="58" t="n">
        <x:v>62</x:v>
      </x:c>
      <x:c r="F13" s="60" t="n">
        <x:v>40.150000000000006</x:v>
      </x:c>
      <x:c r="G13" s="60" t="n">
        <x:v>34.353321033881954</x:v>
      </x:c>
      <x:c r="H13" s="60" t="n">
        <x:v>50.353321033881954</x:v>
      </x:c>
      <x:c r="I13" s="58" t="n">
        <x:v>69</x:v>
      </x:c>
      <x:c r="J13" s="59" t="str">
        <x:v>HIGH</x:v>
      </x:c>
      <x:c r="K13" s="59" t="str">
        <x:v>C/PF</x:v>
      </x:c>
      <x:c r="L13" s="62" t="str">
        <x:v>Efficient scoring helps; no 70-game assumption and no discounting free-throw misses.</x:v>
      </x:c>
    </x:row>
    <x:row r="14" ht="20" customHeight="1">
      <x:c r="A14" s="59" t="n">
        <x:v>9</x:v>
      </x:c>
      <x:c r="B14" s="59" t="n">
        <x:v>43</x:v>
      </x:c>
      <x:c r="C14" s="59" t="str">
        <x:v>Lauri Markkanen</x:v>
      </x:c>
      <x:c r="D14" s="59" t="str">
        <x:v>UTA</x:v>
      </x:c>
      <x:c r="E14" s="58" t="n">
        <x:v>42</x:v>
      </x:c>
      <x:c r="F14" s="60" t="n">
        <x:v>47.199999999999996</x:v>
      </x:c>
      <x:c r="G14" s="60" t="n">
        <x:v>34.573016325760626</x:v>
      </x:c>
      <x:c r="H14" s="60" t="n">
        <x:v>45.573016325760626</x:v>
      </x:c>
      <x:c r="I14" s="58" t="n">
        <x:v>74</x:v>
      </x:c>
      <x:c r="J14" s="59" t="str">
        <x:v>MEDIUM</x:v>
      </x:c>
      <x:c r="K14" s="59" t="str">
        <x:v>SF/PF</x:v>
      </x:c>
      <x:c r="L14" s="62" t="str">
        <x:v>Utah has more mouths to feed; do not assume last season's scoring repeats.</x:v>
      </x:c>
    </x:row>
    <x:row r="15" ht="20" customHeight="1">
      <x:c r="A15" s="59" t="n">
        <x:v>10</x:v>
      </x:c>
      <x:c r="B15" s="59" t="n">
        <x:v>49</x:v>
      </x:c>
      <x:c r="C15" s="59" t="str">
        <x:v>Cameron Boozer</x:v>
      </x:c>
      <x:c r="D15" s="59" t="str">
        <x:v>MEM</x:v>
      </x:c>
      <x:c r="E15" s="58" t="n">
        <x:v>0</x:v>
      </x:c>
      <x:c r="F15" s="60"/>
      <x:c r="G15" s="60" t="n">
        <x:v>32.48484279687031</x:v>
      </x:c>
      <x:c r="H15" s="60" t="n">
        <x:v>43.48484279687031</x:v>
      </x:c>
      <x:c r="I15" s="58" t="n">
        <x:v>75</x:v>
      </x:c>
      <x:c r="J15" s="59" t="str">
        <x:v>MEDIUM</x:v>
      </x:c>
      <x:c r="K15" s="59" t="str">
        <x:v>PF</x:v>
      </x:c>
      <x:c r="L15" s="62" t="str">
        <x:v>Rookie rebound/scoring profile fits; wide range and no NBA historical baseline.</x:v>
      </x:c>
    </x:row>
    <x:row r="16" ht="20" customHeight="1">
      <x:c r="A16" s="59" t="n">
        <x:v>11</x:v>
      </x:c>
      <x:c r="B16" s="59" t="n">
        <x:v>54</x:v>
      </x:c>
      <x:c r="C16" s="59" t="str">
        <x:v>Julius Randle</x:v>
      </x:c>
      <x:c r="D16" s="59" t="str">
        <x:v>BKN</x:v>
      </x:c>
      <x:c r="E16" s="58" t="n">
        <x:v>79</x:v>
      </x:c>
      <x:c r="F16" s="60" t="n">
        <x:v>40.2</x:v>
      </x:c>
      <x:c r="G16" s="60" t="n">
        <x:v>33.07429383170308</x:v>
      </x:c>
      <x:c r="H16" s="60" t="n">
        <x:v>40.07429383170308</x:v>
      </x:c>
      <x:c r="I16" s="58" t="n">
        <x:v>75</x:v>
      </x:c>
      <x:c r="J16" s="59" t="str">
        <x:v>STANDARD</x:v>
      </x:c>
      <x:c r="K16" s="59" t="str">
        <x:v>PF</x:v>
      </x:c>
      <x:c r="L16" s="62" t="str">
        <x:v>Brooklyn role matters, but missed shots and turnovers limit the premium.</x:v>
      </x:c>
    </x:row>
    <x:row r="17" ht="20" customHeight="1">
      <x:c r="A17" s="59" t="n">
        <x:v>12</x:v>
      </x:c>
      <x:c r="B17" s="59" t="n">
        <x:v>59</x:v>
      </x:c>
      <x:c r="C17" s="59" t="str">
        <x:v>Jaren Jackson Jr.</x:v>
      </x:c>
      <x:c r="D17" s="59" t="str">
        <x:v>UTA</x:v>
      </x:c>
      <x:c r="E17" s="58" t="n">
        <x:v>48</x:v>
      </x:c>
      <x:c r="F17" s="60" t="n">
        <x:v>33.400000000000006</x:v>
      </x:c>
      <x:c r="G17" s="60" t="n">
        <x:v>29.649664874855333</x:v>
      </x:c>
      <x:c r="H17" s="60" t="n">
        <x:v>40.64966487485533</x:v>
      </x:c>
      <x:c r="I17" s="58" t="n">
        <x:v>70</x:v>
      </x:c>
      <x:c r="J17" s="59" t="str">
        <x:v>MEDIUM</x:v>
      </x:c>
      <x:c r="K17" s="59" t="str">
        <x:v>PF/C</x:v>
      </x:c>
      <x:c r="L17" s="62" t="str">
        <x:v>Utah role and recovery require caution; blocks alone do not justify an early pick here.</x:v>
      </x:c>
    </x:row>
    <x:row r="18" ht="20" customHeight="1">
      <x:c r="A18" s="59" t="n">
        <x:v>13</x:v>
      </x:c>
      <x:c r="B18" s="59" t="n">
        <x:v>60</x:v>
      </x:c>
      <x:c r="C18" s="59" t="str">
        <x:v>Caleb Wilson</x:v>
      </x:c>
      <x:c r="D18" s="59" t="str">
        <x:v>CHI</x:v>
      </x:c>
      <x:c r="E18" s="58" t="n">
        <x:v>0</x:v>
      </x:c>
      <x:c r="F18" s="60"/>
      <x:c r="G18" s="60" t="n">
        <x:v>30.086012160787128</x:v>
      </x:c>
      <x:c r="H18" s="60" t="n">
        <x:v>41.08601216078713</x:v>
      </x:c>
      <x:c r="I18" s="58" t="n">
        <x:v>75</x:v>
      </x:c>
      <x:c r="J18" s="59" t="str">
        <x:v>MEDIUM</x:v>
      </x:c>
      <x:c r="K18" s="59" t="str">
        <x:v>PF/SF</x:v>
      </x:c>
      <x:c r="L18" s="62" t="str">
        <x:v>Rookie forward with broad uncertainty; production is an assumption, not proven NBA output.</x:v>
      </x:c>
    </x:row>
    <x:row r="19" ht="20" customHeight="1">
      <x:c r="A19" s="59" t="n">
        <x:v>14</x:v>
      </x:c>
      <x:c r="B19" s="59" t="n">
        <x:v>77</x:v>
      </x:c>
      <x:c r="C19" s="59" t="str">
        <x:v>John Collins</x:v>
      </x:c>
      <x:c r="D19" s="59" t="str">
        <x:v>DET</x:v>
      </x:c>
      <x:c r="E19" s="58" t="n">
        <x:v>69</x:v>
      </x:c>
      <x:c r="F19" s="60" t="n">
        <x:v>27.15</x:v>
      </x:c>
      <x:c r="G19" s="60" t="n">
        <x:v>29.21426884281979</x:v>
      </x:c>
      <x:c r="H19" s="60" t="n">
        <x:v>36.21426884281979</x:v>
      </x:c>
      <x:c r="I19" s="58" t="n">
        <x:v>73</x:v>
      </x:c>
      <x:c r="J19" s="59" t="str">
        <x:v>STANDARD</x:v>
      </x:c>
      <x:c r="K19" s="59" t="str">
        <x:v>PF/C</x:v>
      </x:c>
      <x:c r="L19" s="62" t="str">
        <x:v>Detroit depth option; role and minutes must support the projection.</x:v>
      </x:c>
    </x:row>
    <x:row r="20" ht="20" customHeight="1">
      <x:c r="A20" s="59" t="n">
        <x:v>15</x:v>
      </x:c>
      <x:c r="B20" s="59" t="n">
        <x:v>78</x:v>
      </x:c>
      <x:c r="C20" s="59" t="str">
        <x:v>Miles Bridges</x:v>
      </x:c>
      <x:c r="D20" s="59" t="str">
        <x:v>PHX</x:v>
      </x:c>
      <x:c r="E20" s="58" t="n">
        <x:v>77</x:v>
      </x:c>
      <x:c r="F20" s="60" t="n">
        <x:v>31.600000000000005</x:v>
      </x:c>
      <x:c r="G20" s="60" t="n">
        <x:v>28.926687746383124</x:v>
      </x:c>
      <x:c r="H20" s="60" t="n">
        <x:v>35.926687746383124</x:v>
      </x:c>
      <x:c r="I20" s="58" t="n">
        <x:v>75</x:v>
      </x:c>
      <x:c r="J20" s="59" t="str">
        <x:v>STANDARD</x:v>
      </x:c>
      <x:c r="K20" s="59" t="str">
        <x:v>SF/PF</x:v>
      </x:c>
      <x:c r="L20" s="62" t="str">
        <x:v>Phoenix forward depth; compare his total production with efficient centers at the same draft price.</x:v>
      </x:c>
    </x:row>
    <x:row r="21" ht="20" customHeight="1">
      <x:c r="A21" s="59" t="n">
        <x:v>16</x:v>
      </x:c>
      <x:c r="B21" s="59" t="n">
        <x:v>94</x:v>
      </x:c>
      <x:c r="C21" s="59" t="str">
        <x:v>Aaron Gordon</x:v>
      </x:c>
      <x:c r="D21" s="59" t="str">
        <x:v>DEN</x:v>
      </x:c>
      <x:c r="E21" s="58" t="n">
        <x:v>36</x:v>
      </x:c>
      <x:c r="F21" s="60" t="n">
        <x:v>32.400000000000006</x:v>
      </x:c>
      <x:c r="G21" s="60" t="n">
        <x:v>25.21795356184974</x:v>
      </x:c>
      <x:c r="H21" s="60" t="n">
        <x:v>36.21795356184974</x:v>
      </x:c>
      <x:c r="I21" s="58" t="n">
        <x:v>72</x:v>
      </x:c>
      <x:c r="J21" s="59" t="str">
        <x:v>MEDIUM</x:v>
      </x:c>
      <x:c r="K21" s="59" t="str">
        <x:v>PF/C</x:v>
      </x:c>
      <x:c r="L21" s="62" t="str">
        <x:v>Efficient big-forward depth when healthy; don't assume a scoring-led breakout.</x:v>
      </x:c>
    </x:row>
    <x:row r="22" ht="20" customHeight="1">
      <x:c r="A22" s="59" t="n">
        <x:v>17</x:v>
      </x:c>
      <x:c r="B22" s="59" t="n">
        <x:v>99</x:v>
      </x:c>
      <x:c r="C22" s="59" t="str">
        <x:v>Naz Reid</x:v>
      </x:c>
      <x:c r="D22" s="59" t="str">
        <x:v>CHA</x:v>
      </x:c>
      <x:c r="E22" s="58" t="n">
        <x:v>77</x:v>
      </x:c>
      <x:c r="F22" s="60" t="n">
        <x:v>27.799999999999997</x:v>
      </x:c>
      <x:c r="G22" s="60" t="n">
        <x:v>26.13655073184971</x:v>
      </x:c>
      <x:c r="H22" s="60" t="n">
        <x:v>33.13655073184971</x:v>
      </x:c>
      <x:c r="I22" s="58" t="n">
        <x:v>77</x:v>
      </x:c>
      <x:c r="J22" s="59" t="str">
        <x:v>STANDARD</x:v>
      </x:c>
      <x:c r="K22" s="59" t="str">
        <x:v>PF/C</x:v>
      </x:c>
      <x:c r="L22" s="62" t="str">
        <x:v>Charlotte move changes opportunity; do not price in unconfirmed starting minutes.</x:v>
      </x:c>
    </x:row>
    <x:row r="23" ht="20" customHeight="1">
      <x:c r="A23" s="59" t="n">
        <x:v>18</x:v>
      </x:c>
      <x:c r="B23" s="59" t="n">
        <x:v>104</x:v>
      </x:c>
      <x:c r="C23" s="59" t="str">
        <x:v>Matas Buzelis</x:v>
      </x:c>
      <x:c r="D23" s="59" t="str">
        <x:v>CHI</x:v>
      </x:c>
      <x:c r="E23" s="58" t="n">
        <x:v>77</x:v>
      </x:c>
      <x:c r="F23" s="60" t="n">
        <x:v>29.7</x:v>
      </x:c>
      <x:c r="G23" s="60" t="n">
        <x:v>24.615772790481856</x:v>
      </x:c>
      <x:c r="H23" s="60" t="n">
        <x:v>31.615772790481856</x:v>
      </x:c>
      <x:c r="I23" s="58" t="n">
        <x:v>76</x:v>
      </x:c>
      <x:c r="J23" s="59" t="str">
        <x:v>STANDARD</x:v>
      </x:c>
      <x:c r="K23" s="59" t="str">
        <x:v>SF/PF</x:v>
      </x:c>
      <x:c r="L23" s="62" t="str">
        <x:v>Development watch; Chicago's additions create competition rather than guaranteed growth.</x:v>
      </x:c>
    </x:row>
    <x:row r="24" ht="20" customHeight="1">
      <x:c r="A24" s="59" t="n">
        <x:v>19</x:v>
      </x:c>
      <x:c r="B24" s="59" t="n">
        <x:v>106</x:v>
      </x:c>
      <x:c r="C24" s="59" t="str">
        <x:v>Jabari Smith Jr.</x:v>
      </x:c>
      <x:c r="D24" s="59" t="str">
        <x:v>HOU</x:v>
      </x:c>
      <x:c r="E24" s="58" t="n">
        <x:v>77</x:v>
      </x:c>
      <x:c r="F24" s="60" t="n">
        <x:v>30.900000000000002</x:v>
      </x:c>
      <x:c r="G24" s="60" t="n">
        <x:v>24.04215230826077</x:v>
      </x:c>
      <x:c r="H24" s="60" t="n">
        <x:v>31.04215230826077</x:v>
      </x:c>
      <x:c r="I24" s="58" t="n">
        <x:v>76</x:v>
      </x:c>
      <x:c r="J24" s="59" t="str">
        <x:v>STANDARD</x:v>
      </x:c>
      <x:c r="K24" s="59" t="str">
        <x:v>C/PF</x:v>
      </x:c>
      <x:c r="L24" s="62" t="str">
        <x:v>Rebounding/shooting depth; Houston has established high-usage options.</x:v>
      </x:c>
    </x:row>
    <x:row r="25" ht="20" customHeight="1">
      <x:c r="A25" s="59" t="n">
        <x:v>20</x:v>
      </x:c>
      <x:c r="B25" s="59" t="n">
        <x:v>108</x:v>
      </x:c>
      <x:c r="C25" s="59" t="str">
        <x:v>Keegan Murray</x:v>
      </x:c>
      <x:c r="D25" s="59" t="str">
        <x:v>SAC</x:v>
      </x:c>
      <x:c r="E25" s="58"/>
      <x:c r="F25" s="60"/>
      <x:c r="G25" s="60" t="n">
        <x:v>25.24668652496303</x:v>
      </x:c>
      <x:c r="H25" s="60" t="n">
        <x:v>32.24668652496303</x:v>
      </x:c>
      <x:c r="I25" s="58" t="n">
        <x:v>75</x:v>
      </x:c>
      <x:c r="J25" s="59" t="str">
        <x:v>DEEP</x:v>
      </x:c>
      <x:c r="K25" s="59" t="str">
        <x:v>SF/PF</x:v>
      </x:c>
      <x:c r="L25" s="62" t="str">
        <x:v>Deep-board candidate for a 10-team league; custom-format estimate emphasizes role, efficiency and rebounding. Recheck camp role and app eligibility before draft day.</x:v>
      </x:c>
    </x:row>
    <x:row r="26" ht="20" customHeight="1">
      <x:c r="A26" s="59" t="n">
        <x:v>21</x:v>
      </x:c>
      <x:c r="B26" s="59" t="n">
        <x:v>111</x:v>
      </x:c>
      <x:c r="C26" s="59" t="str">
        <x:v>PJ Washington</x:v>
      </x:c>
      <x:c r="D26" s="59" t="str">
        <x:v>DAL</x:v>
      </x:c>
      <x:c r="E26" s="58" t="n">
        <x:v>56</x:v>
      </x:c>
      <x:c r="F26" s="60" t="n">
        <x:v>28.45</x:v>
      </x:c>
      <x:c r="G26" s="60" t="n">
        <x:v>23.81236299416251</x:v>
      </x:c>
      <x:c r="H26" s="60" t="n">
        <x:v>30.81236299416251</x:v>
      </x:c>
      <x:c r="I26" s="58" t="n">
        <x:v>71</x:v>
      </x:c>
      <x:c r="J26" s="59" t="str">
        <x:v>STANDARD</x:v>
      </x:c>
      <x:c r="K26" s="59" t="str">
        <x:v>C/PF/SF</x:v>
      </x:c>
      <x:c r="L26" s="62" t="str">
        <x:v>Dallas depth; limited projected ceiling compared with rebound-heavy centers.</x:v>
      </x:c>
    </x:row>
    <x:row r="27" ht="20" customHeight="1">
      <x:c r="A27" s="59" t="n">
        <x:v>22</x:v>
      </x:c>
      <x:c r="B27" s="59" t="n">
        <x:v>121</x:v>
      </x:c>
      <x:c r="C27" s="59" t="str">
        <x:v>Obi Toppin</x:v>
      </x:c>
      <x:c r="D27" s="59" t="str">
        <x:v>IND</x:v>
      </x:c>
      <x:c r="E27" s="58"/>
      <x:c r="F27" s="60"/>
      <x:c r="G27" s="60" t="n">
        <x:v>22.97</x:v>
      </x:c>
      <x:c r="H27" s="60" t="n">
        <x:v>29.97</x:v>
      </x:c>
      <x:c r="I27" s="58" t="n">
        <x:v>70</x:v>
      </x:c>
      <x:c r="J27" s="59" t="str">
        <x:v>DEEP</x:v>
      </x:c>
      <x:c r="K27" s="59" t="str">
        <x:v>PF</x:v>
      </x:c>
      <x:c r="L27" s="62" t="str">
        <x:v>Deep-board candidate for a 10-team league; custom-format estimate emphasizes role, efficiency and rebounding. Recheck camp role and app eligibility before draft day.</x:v>
      </x:c>
    </x:row>
    <x:row r="28" ht="20" customHeight="1">
      <x:c r="A28" s="59" t="n">
        <x:v>23</x:v>
      </x:c>
      <x:c r="B28" s="59" t="n">
        <x:v>125</x:v>
      </x:c>
      <x:c r="C28" s="59" t="str">
        <x:v>Bobby Portis</x:v>
      </x:c>
      <x:c r="D28" s="59" t="str">
        <x:v>MIA</x:v>
      </x:c>
      <x:c r="E28" s="58"/>
      <x:c r="F28" s="60"/>
      <x:c r="G28" s="60" t="n">
        <x:v>23.38952010816345</x:v>
      </x:c>
      <x:c r="H28" s="60" t="n">
        <x:v>30.38952010816345</x:v>
      </x:c>
      <x:c r="I28" s="58" t="n">
        <x:v>72</x:v>
      </x:c>
      <x:c r="J28" s="59" t="str">
        <x:v>DEEP</x:v>
      </x:c>
      <x:c r="K28" s="59" t="str">
        <x:v>PF/C</x:v>
      </x:c>
      <x:c r="L28" s="62" t="str">
        <x:v>Deep-board candidate for a 10-team league; custom-format estimate emphasizes role, efficiency and rebounding. Recheck camp role and app eligibility before draft day.</x:v>
      </x:c>
    </x:row>
    <x:row r="29" ht="20" customHeight="1">
      <x:c r="A29" s="59" t="n">
        <x:v>24</x:v>
      </x:c>
      <x:c r="B29" s="59" t="n">
        <x:v>129</x:v>
      </x:c>
      <x:c r="C29" s="59" t="str">
        <x:v>Jonathan Kuminga</x:v>
      </x:c>
      <x:c r="D29" s="59" t="str">
        <x:v>MIN</x:v>
      </x:c>
      <x:c r="E29" s="58"/>
      <x:c r="F29" s="60"/>
      <x:c r="G29" s="60" t="n">
        <x:v>23.08243706949403</x:v>
      </x:c>
      <x:c r="H29" s="60" t="n">
        <x:v>30.08243706949403</x:v>
      </x:c>
      <x:c r="I29" s="58" t="n">
        <x:v>72</x:v>
      </x:c>
      <x:c r="J29" s="59" t="str">
        <x:v>DEEP</x:v>
      </x:c>
      <x:c r="K29" s="59" t="str">
        <x:v>PF/SF</x:v>
      </x:c>
      <x:c r="L29" s="62" t="str">
        <x:v>Deep-board candidate for a 10-team league; custom-format estimate emphasizes role, efficiency and rebounding. Recheck camp role and app eligibility before draft day.</x:v>
      </x:c>
    </x:row>
    <x:row r="30" ht="20" customHeight="1">
      <x:c r="A30" s="59" t="n">
        <x:v>25</x:v>
      </x:c>
      <x:c r="B30" s="59" t="n">
        <x:v>135</x:v>
      </x:c>
      <x:c r="C30" s="59" t="str">
        <x:v>Santi Aldama</x:v>
      </x:c>
      <x:c r="D30" s="59" t="str">
        <x:v>MEM</x:v>
      </x:c>
      <x:c r="E30" s="58"/>
      <x:c r="F30" s="60"/>
      <x:c r="G30" s="60" t="n">
        <x:v>22.18</x:v>
      </x:c>
      <x:c r="H30" s="60" t="n">
        <x:v>29.18</x:v>
      </x:c>
      <x:c r="I30" s="58" t="n">
        <x:v>70</x:v>
      </x:c>
      <x:c r="J30" s="59" t="str">
        <x:v>DEEP</x:v>
      </x:c>
      <x:c r="K30" s="59" t="str">
        <x:v>PF/C</x:v>
      </x:c>
      <x:c r="L30" s="62" t="str">
        <x:v>Deep-board candidate for a 10-team league; custom-format estimate emphasizes role, efficiency and rebounding. Recheck camp role and app eligibility before draft day.</x:v>
      </x:c>
    </x:row>
    <x:row r="31" ht="20" customHeight="1">
      <x:c r="A31" s="59" t="n">
        <x:v>26</x:v>
      </x:c>
      <x:c r="B31" s="59" t="n">
        <x:v>139</x:v>
      </x:c>
      <x:c r="C31" s="59" t="str">
        <x:v>Jerami Grant</x:v>
      </x:c>
      <x:c r="D31" s="59" t="str">
        <x:v>MEM</x:v>
      </x:c>
      <x:c r="E31" s="58" t="n">
        <x:v>57</x:v>
      </x:c>
      <x:c r="F31" s="60" t="n">
        <x:v>30.149999999999995</x:v>
      </x:c>
      <x:c r="G31" s="60" t="n">
        <x:v>21.190249038591364</x:v>
      </x:c>
      <x:c r="H31" s="60" t="n">
        <x:v>28.190249038591364</x:v>
      </x:c>
      <x:c r="I31" s="58" t="n">
        <x:v>73</x:v>
      </x:c>
      <x:c r="J31" s="59" t="str">
        <x:v>STANDARD</x:v>
      </x:c>
      <x:c r="K31" s="59" t="str">
        <x:v>SF/PF</x:v>
      </x:c>
      <x:c r="L31" s="62" t="str">
        <x:v>Memphis veteran role; useful only when price and minutes align.</x:v>
      </x:c>
    </x:row>
    <x:row r="32" ht="20" customHeight="1">
      <x:c r="A32" s="59" t="n">
        <x:v>27</x:v>
      </x:c>
      <x:c r="B32" s="59" t="n">
        <x:v>141</x:v>
      </x:c>
      <x:c r="C32" s="59" t="str">
        <x:v>Rui Hachimura</x:v>
      </x:c>
      <x:c r="D32" s="59" t="str">
        <x:v>LAC</x:v>
      </x:c>
      <x:c r="E32" s="58"/>
      <x:c r="F32" s="60"/>
      <x:c r="G32" s="60" t="n">
        <x:v>22.361908792663684</x:v>
      </x:c>
      <x:c r="H32" s="60" t="n">
        <x:v>29.361908792663684</x:v>
      </x:c>
      <x:c r="I32" s="58" t="n">
        <x:v>75</x:v>
      </x:c>
      <x:c r="J32" s="59" t="str">
        <x:v>DEEP</x:v>
      </x:c>
      <x:c r="K32" s="59" t="str">
        <x:v>SF/PF</x:v>
      </x:c>
      <x:c r="L32" s="62" t="str">
        <x:v>Deep-board candidate for a 10-team league; custom-format estimate emphasizes role, efficiency and rebounding. Recheck camp role and app eligibility before draft day.</x:v>
      </x:c>
    </x:row>
    <x:row r="33" ht="20" customHeight="1">
      <x:c r="A33" s="59" t="n">
        <x:v>28</x:v>
      </x:c>
      <x:c r="B33" s="59" t="n">
        <x:v>143</x:v>
      </x:c>
      <x:c r="C33" s="59" t="str">
        <x:v>Tobias Harris</x:v>
      </x:c>
      <x:c r="D33" s="59" t="str">
        <x:v>SAS</x:v>
      </x:c>
      <x:c r="E33" s="58"/>
      <x:c r="F33" s="60"/>
      <x:c r="G33" s="60" t="n">
        <x:v>24.421859844068845</x:v>
      </x:c>
      <x:c r="H33" s="60" t="n">
        <x:v>35.42185984406885</x:v>
      </x:c>
      <x:c r="I33" s="58" t="n">
        <x:v>65</x:v>
      </x:c>
      <x:c r="J33" s="59" t="str">
        <x:v>MEDIUM</x:v>
      </x:c>
      <x:c r="K33" s="59" t="str">
        <x:v>PF/SF</x:v>
      </x:c>
      <x:c r="L33" s="62" t="str">
        <x:v>Left calf strain; out for preseason and questionable for opening night.</x:v>
      </x:c>
    </x:row>
    <x:row r="34" ht="20" customHeight="1">
      <x:c r="A34" s="59" t="n">
        <x:v>29</x:v>
      </x:c>
      <x:c r="B34" s="59" t="n">
        <x:v>148</x:v>
      </x:c>
      <x:c r="C34" s="59" t="str">
        <x:v>Chris Boucher</x:v>
      </x:c>
      <x:c r="D34" s="59" t="str">
        <x:v>BOS</x:v>
      </x:c>
      <x:c r="E34" s="58"/>
      <x:c r="F34" s="60"/>
      <x:c r="G34" s="60" t="n">
        <x:v>21.38</x:v>
      </x:c>
      <x:c r="H34" s="60" t="n">
        <x:v>28.38</x:v>
      </x:c>
      <x:c r="I34" s="58" t="n">
        <x:v>70</x:v>
      </x:c>
      <x:c r="J34" s="59" t="str">
        <x:v>DEEP</x:v>
      </x:c>
      <x:c r="K34" s="59" t="str">
        <x:v>PF/C</x:v>
      </x:c>
      <x:c r="L34" s="62" t="str">
        <x:v>Deep-board candidate for a 10-team league; custom-format estimate emphasizes role, efficiency and rebounding. Recheck camp role and app eligibility before draft day.</x:v>
      </x:c>
    </x:row>
    <x:row r="35" ht="20" customHeight="1">
      <x:c r="A35" s="59" t="n">
        <x:v>30</x:v>
      </x:c>
      <x:c r="B35" s="59" t="n">
        <x:v>167</x:v>
      </x:c>
      <x:c r="C35" s="59" t="str">
        <x:v>Moussa Diabate</x:v>
      </x:c>
      <x:c r="D35" s="59" t="str">
        <x:v>CHA</x:v>
      </x:c>
      <x:c r="E35" s="58" t="n">
        <x:v>73</x:v>
      </x:c>
      <x:c r="F35" s="60" t="n">
        <x:v>29.95</x:v>
      </x:c>
      <x:c r="G35" s="60" t="n">
        <x:v>20.525</x:v>
      </x:c>
      <x:c r="H35" s="60" t="n">
        <x:v>29.535000000000004</x:v>
      </x:c>
      <x:c r="I35" s="58" t="n">
        <x:v>60</x:v>
      </x:c>
      <x:c r="J35" s="59" t="str">
        <x:v>DEEP</x:v>
      </x:c>
      <x:c r="K35" s="59" t="str">
        <x:v>PF</x:v>
      </x:c>
      <x:c r="L35" s="62" t="str">
        <x:v>Deep-pool model: 2025-26 custom-score production shrunk toward a conservative 2026-27 role estimate; not a published projection.</x:v>
      </x:c>
    </x:row>
    <x:row r="36" ht="20" customHeight="1">
      <x:c r="A36" s="59" t="n">
        <x:v>31</x:v>
      </x:c>
      <x:c r="B36" s="59" t="n">
        <x:v>187</x:v>
      </x:c>
      <x:c r="C36" s="59" t="str">
        <x:v>Kyle Kuzma</x:v>
      </x:c>
      <x:c r="D36" s="59" t="str">
        <x:v>MIL</x:v>
      </x:c>
      <x:c r="E36" s="58"/>
      <x:c r="F36" s="60"/>
      <x:c r="G36" s="60" t="n">
        <x:v>18.043657186185854</x:v>
      </x:c>
      <x:c r="H36" s="60" t="n">
        <x:v>25.043657186185854</x:v>
      </x:c>
      <x:c r="I36" s="58" t="n">
        <x:v>73</x:v>
      </x:c>
      <x:c r="J36" s="59" t="str">
        <x:v>DEEP</x:v>
      </x:c>
      <x:c r="K36" s="59" t="str">
        <x:v>SF/PF</x:v>
      </x:c>
      <x:c r="L36" s="62" t="str">
        <x:v>Deep-board candidate for a 10-team league; custom-format estimate emphasizes role, efficiency and rebounding. Recheck camp role and app eligibility before draft day.</x:v>
      </x:c>
    </x:row>
    <x:row r="37" ht="20" customHeight="1">
      <x:c r="A37" s="59" t="n">
        <x:v>32</x:v>
      </x:c>
      <x:c r="B37" s="59" t="n">
        <x:v>198</x:v>
      </x:c>
      <x:c r="C37" s="59" t="str">
        <x:v>Marvin Bagley III</x:v>
      </x:c>
      <x:c r="D37" s="59" t="str">
        <x:v>DEN</x:v>
      </x:c>
      <x:c r="E37" s="58" t="n">
        <x:v>60</x:v>
      </x:c>
      <x:c r="F37" s="60" t="n">
        <x:v>26.45</x:v>
      </x:c>
      <x:c r="G37" s="60" t="n">
        <x:v>18.200000000000003</x:v>
      </x:c>
      <x:c r="H37" s="60" t="n">
        <x:v>26.18</x:v>
      </x:c>
      <x:c r="I37" s="58" t="n">
        <x:v>60</x:v>
      </x:c>
      <x:c r="J37" s="59" t="str">
        <x:v>DEEP</x:v>
      </x:c>
      <x:c r="K37" s="59" t="str">
        <x:v>PF</x:v>
      </x:c>
      <x:c r="L37" s="62" t="str">
        <x:v>Deep-pool model: 2025-26 custom-score production shrunk toward a conservative 2026-27 role estimate; not a published projection.</x:v>
      </x:c>
    </x:row>
    <x:row r="38" ht="20" customHeight="1">
      <x:c r="A38" s="59" t="n">
        <x:v>33</x:v>
      </x:c>
      <x:c r="B38" s="59" t="n">
        <x:v>200</x:v>
      </x:c>
      <x:c r="C38" s="59" t="str">
        <x:v>Precious Achiuwa</x:v>
      </x:c>
      <x:c r="D38" s="59" t="str">
        <x:v>SAC</x:v>
      </x:c>
      <x:c r="E38" s="58" t="n">
        <x:v>73</x:v>
      </x:c>
      <x:c r="F38" s="60" t="n">
        <x:v>25.85</x:v>
      </x:c>
      <x:c r="G38" s="60" t="n">
        <x:v>18.17</x:v>
      </x:c>
      <x:c r="H38" s="60" t="n">
        <x:v>26.15</x:v>
      </x:c>
      <x:c r="I38" s="58" t="n">
        <x:v>60</x:v>
      </x:c>
      <x:c r="J38" s="59" t="str">
        <x:v>DEEP</x:v>
      </x:c>
      <x:c r="K38" s="59" t="str">
        <x:v>PF</x:v>
      </x:c>
      <x:c r="L38" s="62" t="str">
        <x:v>Deep-pool model: 2025-26 custom-score production shrunk toward a conservative 2026-27 role estimate; not a published projection.</x:v>
      </x:c>
    </x:row>
    <x:row r="39" ht="20" customHeight="1">
      <x:c r="A39" s="59" t="n">
        <x:v>34</x:v>
      </x:c>
      <x:c r="B39" s="59" t="n">
        <x:v>208</x:v>
      </x:c>
      <x:c r="C39" s="59" t="str">
        <x:v>Collin Murray-Boyles</x:v>
      </x:c>
      <x:c r="D39" s="59" t="str">
        <x:v>TOR</x:v>
      </x:c>
      <x:c r="E39" s="58" t="n">
        <x:v>57</x:v>
      </x:c>
      <x:c r="F39" s="60" t="n">
        <x:v>23.9</x:v>
      </x:c>
      <x:c r="G39" s="60" t="n">
        <x:v>17.619999999999997</x:v>
      </x:c>
      <x:c r="H39" s="60" t="n">
        <x:v>25.36</x:v>
      </x:c>
      <x:c r="I39" s="58" t="n">
        <x:v>64</x:v>
      </x:c>
      <x:c r="J39" s="59" t="str">
        <x:v>DEEP</x:v>
      </x:c>
      <x:c r="K39" s="59" t="str">
        <x:v>PF</x:v>
      </x:c>
      <x:c r="L39" s="62" t="str">
        <x:v>Deep-pool model: 2025-26 custom-score production shrunk toward a conservative 2026-27 role estimate; not a published projection.</x:v>
      </x:c>
    </x:row>
    <x:row r="40" ht="20" customHeight="1">
      <x:c r="A40" s="59" t="n">
        <x:v>35</x:v>
      </x:c>
      <x:c r="B40" s="59" t="n">
        <x:v>213</x:v>
      </x:c>
      <x:c r="C40" s="59" t="str">
        <x:v>Jalen Smith</x:v>
      </x:c>
      <x:c r="D40" s="59" t="str">
        <x:v>CHI</x:v>
      </x:c>
      <x:c r="E40" s="58" t="n">
        <x:v>53</x:v>
      </x:c>
      <x:c r="F40" s="60" t="n">
        <x:v>24.6</x:v>
      </x:c>
      <x:c r="G40" s="60" t="n">
        <x:v>17.474999999999998</x:v>
      </x:c>
      <x:c r="H40" s="60" t="n">
        <x:v>25.145</x:v>
      </x:c>
      <x:c r="I40" s="58" t="n">
        <x:v>60</x:v>
      </x:c>
      <x:c r="J40" s="59" t="str">
        <x:v>DEEP</x:v>
      </x:c>
      <x:c r="K40" s="59" t="str">
        <x:v>PF</x:v>
      </x:c>
      <x:c r="L40" s="62" t="str">
        <x:v>Deep-pool model: 2025-26 custom-score production shrunk toward a conservative 2026-27 role estimate; not a published projection.</x:v>
      </x:c>
    </x:row>
    <x:row r="41" ht="20" customHeight="1">
      <x:c r="A41" s="59" t="n">
        <x:v>36</x:v>
      </x:c>
      <x:c r="B41" s="59" t="n">
        <x:v>232</x:v>
      </x:c>
      <x:c r="C41" s="59" t="str">
        <x:v>G.G. Jackson</x:v>
      </x:c>
      <x:c r="D41" s="59" t="str">
        <x:v>MEM</x:v>
      </x:c>
      <x:c r="E41" s="58" t="n">
        <x:v>55</x:v>
      </x:c>
      <x:c r="F41" s="60" t="n">
        <x:v>22.65</x:v>
      </x:c>
      <x:c r="G41" s="60" t="n">
        <x:v>16.32</x:v>
      </x:c>
      <x:c r="H41" s="60" t="n">
        <x:v>23.479999999999997</x:v>
      </x:c>
      <x:c r="I41" s="58" t="n">
        <x:v>60</x:v>
      </x:c>
      <x:c r="J41" s="59" t="str">
        <x:v>DEEP</x:v>
      </x:c>
      <x:c r="K41" s="59" t="str">
        <x:v>PF</x:v>
      </x:c>
      <x:c r="L41" s="62" t="str">
        <x:v>Deep-pool model: 2025-26 custom-score production shrunk toward a conservative 2026-27 role estimate; not a published projection.</x:v>
      </x:c>
    </x:row>
    <x:row r="42" ht="20" customHeight="1">
      <x:c r="A42" s="59" t="n">
        <x:v>37</x:v>
      </x:c>
      <x:c r="B42" s="59" t="n">
        <x:v>234</x:v>
      </x:c>
      <x:c r="C42" s="59" t="str">
        <x:v>Noah Clowney</x:v>
      </x:c>
      <x:c r="D42" s="59" t="str">
        <x:v>BKN</x:v>
      </x:c>
      <x:c r="E42" s="58" t="n">
        <x:v>66</x:v>
      </x:c>
      <x:c r="F42" s="60" t="n">
        <x:v>22.05</x:v>
      </x:c>
      <x:c r="G42" s="60" t="n">
        <x:v>16.295</x:v>
      </x:c>
      <x:c r="H42" s="60" t="n">
        <x:v>23.445</x:v>
      </x:c>
      <x:c r="I42" s="58" t="n">
        <x:v>60</x:v>
      </x:c>
      <x:c r="J42" s="59" t="str">
        <x:v>DEEP</x:v>
      </x:c>
      <x:c r="K42" s="59" t="str">
        <x:v>PF</x:v>
      </x:c>
      <x:c r="L42" s="62" t="str">
        <x:v>Deep-pool model: 2025-26 custom-score production shrunk toward a conservative 2026-27 role estimate; not a published projection.</x:v>
      </x:c>
    </x:row>
    <x:row r="43" ht="20" customHeight="1">
      <x:c r="A43" s="59" t="n">
        <x:v>38</x:v>
      </x:c>
      <x:c r="B43" s="59" t="n">
        <x:v>238</x:v>
      </x:c>
      <x:c r="C43" s="59" t="str">
        <x:v>Jarace Walker</x:v>
      </x:c>
      <x:c r="D43" s="59" t="str">
        <x:v>IND</x:v>
      </x:c>
      <x:c r="E43" s="58" t="n">
        <x:v>76</x:v>
      </x:c>
      <x:c r="F43" s="60" t="n">
        <x:v>21.5</x:v>
      </x:c>
      <x:c r="G43" s="60" t="n">
        <x:v>16.14</x:v>
      </x:c>
      <x:c r="H43" s="60" t="n">
        <x:v>23.22</x:v>
      </x:c>
      <x:c r="I43" s="58" t="n">
        <x:v>60</x:v>
      </x:c>
      <x:c r="J43" s="59" t="str">
        <x:v>DEEP</x:v>
      </x:c>
      <x:c r="K43" s="59" t="str">
        <x:v>PF</x:v>
      </x:c>
      <x:c r="L43" s="62" t="str">
        <x:v>Deep-pool model: 2025-26 custom-score production shrunk toward a conservative 2026-27 role estimate; not a published projection.</x:v>
      </x:c>
    </x:row>
    <x:row r="44" ht="20" customHeight="1">
      <x:c r="A44" s="59" t="n">
        <x:v>39</x:v>
      </x:c>
      <x:c r="B44" s="59" t="n">
        <x:v>239</x:v>
      </x:c>
      <x:c r="C44" s="59" t="str">
        <x:v>Dylan Cardwell</x:v>
      </x:c>
      <x:c r="D44" s="59" t="str">
        <x:v>SAC</x:v>
      </x:c>
      <x:c r="E44" s="58" t="n">
        <x:v>44</x:v>
      </x:c>
      <x:c r="F44" s="60" t="n">
        <x:v>24.15</x:v>
      </x:c>
      <x:c r="G44" s="60" t="n">
        <x:v>15.965</x:v>
      </x:c>
      <x:c r="H44" s="60" t="n">
        <x:v>22.974999999999998</x:v>
      </x:c>
      <x:c r="I44" s="58" t="n">
        <x:v>60</x:v>
      </x:c>
      <x:c r="J44" s="59" t="str">
        <x:v>DEEP</x:v>
      </x:c>
      <x:c r="K44" s="59" t="str">
        <x:v>PF</x:v>
      </x:c>
      <x:c r="L44" s="62" t="str">
        <x:v>Deep-pool model: 2025-26 custom-score production shrunk toward a conservative 2026-27 role estimate; not a published projection.</x:v>
      </x:c>
    </x:row>
    <x:row r="45" ht="20" customHeight="1">
      <x:c r="A45" s="59" t="n">
        <x:v>40</x:v>
      </x:c>
      <x:c r="B45" s="59" t="n">
        <x:v>242</x:v>
      </x:c>
      <x:c r="C45" s="59" t="str">
        <x:v>Draymond Green</x:v>
      </x:c>
      <x:c r="D45" s="59" t="str">
        <x:v>GSW</x:v>
      </x:c>
      <x:c r="E45" s="58" t="n">
        <x:v>68</x:v>
      </x:c>
      <x:c r="F45" s="60" t="n">
        <x:v>21.95</x:v>
      </x:c>
      <x:c r="G45" s="60" t="n">
        <x:v>15.71</x:v>
      </x:c>
      <x:c r="H45" s="60" t="n">
        <x:v>22.71</x:v>
      </x:c>
      <x:c r="I45" s="58" t="n">
        <x:v>60</x:v>
      </x:c>
      <x:c r="J45" s="59" t="str">
        <x:v>DEEP</x:v>
      </x:c>
      <x:c r="K45" s="59" t="str">
        <x:v>PF</x:v>
      </x:c>
      <x:c r="L45" s="62" t="str">
        <x:v>Deep-pool model: 2025-26 custom-score production shrunk toward a conservative 2026-27 role estimate; not a published projection.</x:v>
      </x:c>
    </x:row>
    <x:row r="46" ht="20" customHeight="1">
      <x:c r="A46" s="59" t="n">
        <x:v>41</x:v>
      </x:c>
      <x:c r="B46" s="59" t="n">
        <x:v>246</x:v>
      </x:c>
      <x:c r="C46" s="59" t="str">
        <x:v>Dominick Barlow</x:v>
      </x:c>
      <x:c r="D46" s="59" t="str">
        <x:v>PHI</x:v>
      </x:c>
      <x:c r="E46" s="58" t="n">
        <x:v>71</x:v>
      </x:c>
      <x:c r="F46" s="60" t="n">
        <x:v>20.85</x:v>
      </x:c>
      <x:c r="G46" s="60" t="n">
        <x:v>15.14</x:v>
      </x:c>
      <x:c r="H46" s="60" t="n">
        <x:v>22.14</x:v>
      </x:c>
      <x:c r="I46" s="58" t="n">
        <x:v>60</x:v>
      </x:c>
      <x:c r="J46" s="59" t="str">
        <x:v>DEEP</x:v>
      </x:c>
      <x:c r="K46" s="59" t="str">
        <x:v>PF</x:v>
      </x:c>
      <x:c r="L46" s="62" t="str">
        <x:v>Deep-pool model: 2025-26 custom-score production shrunk toward a conservative 2026-27 role estimate; not a published projection.</x:v>
      </x:c>
    </x:row>
    <x:row r="47" ht="20" customHeight="1">
      <x:c r="A47" s="59" t="n">
        <x:v>42</x:v>
      </x:c>
      <x:c r="B47" s="59" t="n">
        <x:v>259</x:v>
      </x:c>
      <x:c r="C47" s="59" t="str">
        <x:v>Jake LaRavia</x:v>
      </x:c>
      <x:c r="D47" s="59" t="str">
        <x:v>LAL</x:v>
      </x:c>
      <x:c r="E47" s="58" t="n">
        <x:v>82</x:v>
      </x:c>
      <x:c r="F47" s="60" t="n">
        <x:v>20.15</x:v>
      </x:c>
      <x:c r="G47" s="60" t="n">
        <x:v>14.09</x:v>
      </x:c>
      <x:c r="H47" s="60" t="n">
        <x:v>21.09</x:v>
      </x:c>
      <x:c r="I47" s="58" t="n">
        <x:v>60</x:v>
      </x:c>
      <x:c r="J47" s="59" t="str">
        <x:v>DEEP</x:v>
      </x:c>
      <x:c r="K47" s="59" t="str">
        <x:v>PF</x:v>
      </x:c>
      <x:c r="L47" s="62" t="str">
        <x:v>Deep-pool model: 2025-26 custom-score production shrunk toward a conservative 2026-27 role estimate; not a published projection.</x:v>
      </x:c>
    </x:row>
    <x:row r="48" ht="20" customHeight="1">
      <x:c r="A48" s="59" t="n">
        <x:v>43</x:v>
      </x:c>
      <x:c r="B48" s="59" t="n">
        <x:v>261</x:v>
      </x:c>
      <x:c r="C48" s="59" t="str">
        <x:v>Isaiah Jackson</x:v>
      </x:c>
      <x:c r="D48" s="59" t="str">
        <x:v>LAC</x:v>
      </x:c>
      <x:c r="E48" s="58" t="n">
        <x:v>55</x:v>
      </x:c>
      <x:c r="F48" s="60" t="n">
        <x:v>19.7</x:v>
      </x:c>
      <x:c r="G48" s="60" t="n">
        <x:v>13.82</x:v>
      </x:c>
      <x:c r="H48" s="60" t="n">
        <x:v>20.82</x:v>
      </x:c>
      <x:c r="I48" s="58" t="n">
        <x:v>60</x:v>
      </x:c>
      <x:c r="J48" s="59" t="str">
        <x:v>DEEP</x:v>
      </x:c>
      <x:c r="K48" s="59" t="str">
        <x:v>PF</x:v>
      </x:c>
      <x:c r="L48" s="62" t="str">
        <x:v>Deep-pool model: 2025-26 custom-score production shrunk toward a conservative 2026-27 role estimate; not a published projection.</x:v>
      </x:c>
    </x:row>
    <x:row r="49" ht="20" customHeight="1">
      <x:c r="A49" s="59" t="n">
        <x:v>44</x:v>
      </x:c>
      <x:c r="B49" s="59" t="n">
        <x:v>268</x:v>
      </x:c>
      <x:c r="C49" s="59" t="str">
        <x:v>Olivier-Maxence Prosper</x:v>
      </x:c>
      <x:c r="D49" s="59" t="str">
        <x:v>MEM</x:v>
      </x:c>
      <x:c r="E49" s="58" t="n">
        <x:v>53</x:v>
      </x:c>
      <x:c r="F49" s="60" t="n">
        <x:v>20</x:v>
      </x:c>
      <x:c r="G49" s="60" t="n">
        <x:v>13.36</x:v>
      </x:c>
      <x:c r="H49" s="60" t="n">
        <x:v>20.36</x:v>
      </x:c>
      <x:c r="I49" s="58" t="n">
        <x:v>64</x:v>
      </x:c>
      <x:c r="J49" s="59" t="str">
        <x:v>DEEP</x:v>
      </x:c>
      <x:c r="K49" s="59" t="str">
        <x:v>PF</x:v>
      </x:c>
      <x:c r="L49" s="62" t="str">
        <x:v>Deep-pool model: 2025-26 custom-score production shrunk toward a conservative 2026-27 role estimate; not a published projection.</x:v>
      </x:c>
    </x:row>
    <x:row r="50" ht="20" customHeight="1">
      <x:c r="A50" s="59" t="n">
        <x:v>45</x:v>
      </x:c>
      <x:c r="B50" s="59" t="n">
        <x:v>280</x:v>
      </x:c>
      <x:c r="C50" s="59" t="str">
        <x:v>Nate Ament</x:v>
      </x:c>
      <x:c r="D50" s="59" t="str">
        <x:v>MIL</x:v>
      </x:c>
      <x:c r="E50" s="58"/>
      <x:c r="F50" s="60"/>
      <x:c r="G50" s="60" t="n">
        <x:v>11.895</x:v>
      </x:c>
      <x:c r="H50" s="60" t="n">
        <x:v>21.145</x:v>
      </x:c>
      <x:c r="I50" s="58" t="n">
        <x:v>55</x:v>
      </x:c>
      <x:c r="J50" s="59" t="str">
        <x:v>VERY_DEEP</x:v>
      </x:c>
      <x:c r="K50" s="59" t="str">
        <x:v>F</x:v>
      </x:c>
      <x:c r="L50" s="62" t="str">
        <x:v>Rookie/depth role estimate with a wide band and limited NBA evidence. Treat as a watch-list projection, not a published forecast.</x:v>
      </x:c>
    </x:row>
    <x:row r="51" ht="20" customHeight="1">
      <x:c r="A51" s="59" t="n">
        <x:v>46</x:v>
      </x:c>
      <x:c r="B51" s="59" t="n">
        <x:v>289</x:v>
      </x:c>
      <x:c r="C51" s="59" t="str">
        <x:v>Allen Graves</x:v>
      </x:c>
      <x:c r="D51" s="59" t="str">
        <x:v>TOR</x:v>
      </x:c>
      <x:c r="E51" s="58"/>
      <x:c r="F51" s="60"/>
      <x:c r="G51" s="60" t="n">
        <x:v>11.614999999999998</x:v>
      </x:c>
      <x:c r="H51" s="60" t="n">
        <x:v>20.645</x:v>
      </x:c>
      <x:c r="I51" s="58" t="n">
        <x:v>55</x:v>
      </x:c>
      <x:c r="J51" s="59" t="str">
        <x:v>VERY_DEEP</x:v>
      </x:c>
      <x:c r="K51" s="59" t="str">
        <x:v>F</x:v>
      </x:c>
      <x:c r="L51" s="62" t="str">
        <x:v>Rookie/depth role estimate with a wide band and limited NBA evidence. Treat as a watch-list projection, not a published forecast.</x:v>
      </x:c>
    </x:row>
    <x:row r="52" ht="20" customHeight="1">
      <x:c r="A52" s="59" t="n">
        <x:v>47</x:v>
      </x:c>
      <x:c r="B52" s="59" t="n">
        <x:v>291</x:v>
      </x:c>
      <x:c r="C52" s="59" t="str">
        <x:v>Karim Lopez</x:v>
      </x:c>
      <x:c r="D52" s="59" t="str">
        <x:v>MEM</x:v>
      </x:c>
      <x:c r="E52" s="58"/>
      <x:c r="F52" s="60"/>
      <x:c r="G52" s="60" t="n">
        <x:v>11.534999999999998</x:v>
      </x:c>
      <x:c r="H52" s="60" t="n">
        <x:v>20.505000000000003</x:v>
      </x:c>
      <x:c r="I52" s="58" t="n">
        <x:v>55</x:v>
      </x:c>
      <x:c r="J52" s="59" t="str">
        <x:v>VERY_DEEP</x:v>
      </x:c>
      <x:c r="K52" s="59" t="str">
        <x:v>F</x:v>
      </x:c>
      <x:c r="L52" s="62" t="str">
        <x:v>Rookie/depth role estimate with a wide band and limited NBA evidence. Treat as a watch-list projection, not a published forecast.</x:v>
      </x:c>
    </x:row>
    <x:row r="53" ht="20" customHeight="1">
      <x:c r="A53" s="59" t="n">
        <x:v>48</x:v>
      </x:c>
      <x:c r="B53" s="59" t="n">
        <x:v>295</x:v>
      </x:c>
      <x:c r="C53" s="59" t="str">
        <x:v>Taylor Hendricks</x:v>
      </x:c>
      <x:c r="D53" s="59" t="str">
        <x:v>MEM</x:v>
      </x:c>
      <x:c r="E53" s="58" t="n">
        <x:v>59</x:v>
      </x:c>
      <x:c r="F53" s="60" t="n">
        <x:v>16.5</x:v>
      </x:c>
      <x:c r="G53" s="60" t="n">
        <x:v>12.09</x:v>
      </x:c>
      <x:c r="H53" s="60" t="n">
        <x:v>19.09</x:v>
      </x:c>
      <x:c r="I53" s="58" t="n">
        <x:v>64</x:v>
      </x:c>
      <x:c r="J53" s="59" t="str">
        <x:v>DEEP</x:v>
      </x:c>
      <x:c r="K53" s="59" t="str">
        <x:v>F</x:v>
      </x:c>
      <x:c r="L53" s="62" t="str">
        <x:v>Deep-pool model: 2025-26 custom-score production shrunk toward a conservative 2026-27 role estimate; not a published projection.</x:v>
      </x:c>
    </x:row>
    <x:row r="54" ht="20" customHeight="1">
      <x:c r="A54" s="59" t="n">
        <x:v>49</x:v>
      </x:c>
      <x:c r="B54" s="59" t="n">
        <x:v>299</x:v>
      </x:c>
      <x:c r="C54" s="59" t="str">
        <x:v>Koa Peat</x:v>
      </x:c>
      <x:c r="D54" s="59" t="str">
        <x:v>PHX</x:v>
      </x:c>
      <x:c r="E54" s="58"/>
      <x:c r="F54" s="60"/>
      <x:c r="G54" s="60" t="n">
        <x:v>11.305</x:v>
      </x:c>
      <x:c r="H54" s="60" t="n">
        <x:v>20.095</x:v>
      </x:c>
      <x:c r="I54" s="58" t="n">
        <x:v>55</x:v>
      </x:c>
      <x:c r="J54" s="59" t="str">
        <x:v>VERY_DEEP</x:v>
      </x:c>
      <x:c r="K54" s="59" t="str">
        <x:v>F</x:v>
      </x:c>
      <x:c r="L54" s="62" t="str">
        <x:v>Rookie/depth role estimate with a wide band and limited NBA evidence. Treat as a watch-list projection, not a published forecast.</x:v>
      </x:c>
    </x:row>
    <x:row r="55" ht="20" customHeight="1">
      <x:c r="A55" s="59" t="n">
        <x:v>50</x:v>
      </x:c>
      <x:c r="B55" s="59" t="n">
        <x:v>310</x:v>
      </x:c>
      <x:c r="C55" s="59" t="str">
        <x:v>Grant Williams</x:v>
      </x:c>
      <x:c r="D55" s="59" t="str">
        <x:v>CHA</x:v>
      </x:c>
      <x:c r="E55" s="58" t="n">
        <x:v>36</x:v>
      </x:c>
      <x:c r="F55" s="60" t="n">
        <x:v>17.45</x:v>
      </x:c>
      <x:c r="G55" s="60" t="n">
        <x:v>11.42</x:v>
      </x:c>
      <x:c r="H55" s="60" t="n">
        <x:v>18.42</x:v>
      </x:c>
      <x:c r="I55" s="58" t="n">
        <x:v>60</x:v>
      </x:c>
      <x:c r="J55" s="59" t="str">
        <x:v>DEEP</x:v>
      </x:c>
      <x:c r="K55" s="59" t="str">
        <x:v>PF</x:v>
      </x:c>
      <x:c r="L55" s="62" t="str">
        <x:v>Deep-pool model: 2025-26 custom-score production shrunk toward a conservative 2026-27 role estimate; not a published projection.</x:v>
      </x:c>
    </x:row>
    <x:row r="56" ht="20" customHeight="1">
      <x:c r="A56" s="59" t="n">
        <x:v>51</x:v>
      </x:c>
      <x:c r="B56" s="59" t="n">
        <x:v>311</x:v>
      </x:c>
      <x:c r="C56" s="59" t="str">
        <x:v>Dean Wade</x:v>
      </x:c>
      <x:c r="D56" s="59" t="str">
        <x:v>PHI</x:v>
      </x:c>
      <x:c r="E56" s="58" t="n">
        <x:v>59</x:v>
      </x:c>
      <x:c r="F56" s="60" t="n">
        <x:v>16.55</x:v>
      </x:c>
      <x:c r="G56" s="60" t="n">
        <x:v>11.41</x:v>
      </x:c>
      <x:c r="H56" s="60" t="n">
        <x:v>18.41</x:v>
      </x:c>
      <x:c r="I56" s="58" t="n">
        <x:v>60</x:v>
      </x:c>
      <x:c r="J56" s="59" t="str">
        <x:v>DEEP</x:v>
      </x:c>
      <x:c r="K56" s="59" t="str">
        <x:v>PF</x:v>
      </x:c>
      <x:c r="L56" s="62" t="str">
        <x:v>Deep-pool model: 2025-26 custom-score production shrunk toward a conservative 2026-27 role estimate; not a published projection.</x:v>
      </x:c>
    </x:row>
    <x:row r="57" ht="20" customHeight="1">
      <x:c r="A57" s="59" t="n">
        <x:v>52</x:v>
      </x:c>
      <x:c r="B57" s="59" t="n">
        <x:v>314</x:v>
      </x:c>
      <x:c r="C57" s="59" t="str">
        <x:v>Kyle Anderson</x:v>
      </x:c>
      <x:c r="D57" s="59" t="str">
        <x:v>TOR</x:v>
      </x:c>
      <x:c r="E57" s="58" t="n">
        <x:v>43</x:v>
      </x:c>
      <x:c r="F57" s="60" t="n">
        <x:v>18.15</x:v>
      </x:c>
      <x:c r="G57" s="60" t="n">
        <x:v>11.33</x:v>
      </x:c>
      <x:c r="H57" s="60" t="n">
        <x:v>18.33</x:v>
      </x:c>
      <x:c r="I57" s="58" t="n">
        <x:v>60</x:v>
      </x:c>
      <x:c r="J57" s="59" t="str">
        <x:v>DEEP</x:v>
      </x:c>
      <x:c r="K57" s="59" t="str">
        <x:v>PF</x:v>
      </x:c>
      <x:c r="L57" s="62" t="str">
        <x:v>Deep-pool model: 2025-26 custom-score production shrunk toward a conservative 2026-27 role estimate; not a published projection.</x:v>
      </x:c>
    </x:row>
    <x:row r="58" ht="20" customHeight="1">
      <x:c r="A58" s="59" t="n">
        <x:v>53</x:v>
      </x:c>
      <x:c r="B58" s="59" t="n">
        <x:v>317</x:v>
      </x:c>
      <x:c r="C58" s="59" t="str">
        <x:v>Alex Karaban</x:v>
      </x:c>
      <x:c r="D58" s="59" t="str">
        <x:v>SAC</x:v>
      </x:c>
      <x:c r="E58" s="58"/>
      <x:c r="F58" s="60"/>
      <x:c r="G58" s="60" t="n">
        <x:v>10.735000000000001</x:v>
      </x:c>
      <x:c r="H58" s="60" t="n">
        <x:v>19.085</x:v>
      </x:c>
      <x:c r="I58" s="58" t="n">
        <x:v>55</x:v>
      </x:c>
      <x:c r="J58" s="59" t="str">
        <x:v>VERY_DEEP</x:v>
      </x:c>
      <x:c r="K58" s="59" t="str">
        <x:v>F</x:v>
      </x:c>
      <x:c r="L58" s="62" t="str">
        <x:v>Rookie/depth role estimate with a wide band and limited NBA evidence. Treat as a watch-list projection, not a published forecast.</x:v>
      </x:c>
    </x:row>
    <x:row r="59" ht="20" customHeight="1">
      <x:c r="A59" s="59" t="n">
        <x:v>54</x:v>
      </x:c>
      <x:c r="B59" s="59" t="n">
        <x:v>322</x:v>
      </x:c>
      <x:c r="C59" s="59" t="str">
        <x:v>Kris Murray</x:v>
      </x:c>
      <x:c r="D59" s="59" t="str">
        <x:v>MEM</x:v>
      </x:c>
      <x:c r="E59" s="58" t="n">
        <x:v>57</x:v>
      </x:c>
      <x:c r="F59" s="60" t="n">
        <x:v>16.3</x:v>
      </x:c>
      <x:c r="G59" s="60" t="n">
        <x:v>10.91</x:v>
      </x:c>
      <x:c r="H59" s="60" t="n">
        <x:v>17.91</x:v>
      </x:c>
      <x:c r="I59" s="58" t="n">
        <x:v>60</x:v>
      </x:c>
      <x:c r="J59" s="59" t="str">
        <x:v>DEEP</x:v>
      </x:c>
      <x:c r="K59" s="59" t="str">
        <x:v>PF</x:v>
      </x:c>
      <x:c r="L59" s="62" t="str">
        <x:v>Deep-pool model: 2025-26 custom-score production shrunk toward a conservative 2026-27 role estimate; not a published projection.</x:v>
      </x:c>
    </x:row>
    <x:row r="60" ht="20" customHeight="1">
      <x:c r="A60" s="59" t="n">
        <x:v>55</x:v>
      </x:c>
      <x:c r="B60" s="59" t="n">
        <x:v>337</x:v>
      </x:c>
      <x:c r="C60" s="59" t="str">
        <x:v>Jalen Slawson</x:v>
      </x:c>
      <x:c r="D60" s="59" t="str">
        <x:v>IND</x:v>
      </x:c>
      <x:c r="E60" s="58" t="n">
        <x:v>13</x:v>
      </x:c>
      <x:c r="F60" s="60" t="n">
        <x:v>19.95</x:v>
      </x:c>
      <x:c r="G60" s="60" t="n">
        <x:v>9.854999999999999</x:v>
      </x:c>
      <x:c r="H60" s="60" t="n">
        <x:v>17.525</x:v>
      </x:c>
      <x:c r="I60" s="58" t="n">
        <x:v>64</x:v>
      </x:c>
      <x:c r="J60" s="59" t="str">
        <x:v>VERY_DEEP</x:v>
      </x:c>
      <x:c r="K60" s="59" t="str">
        <x:v>F</x:v>
      </x:c>
      <x:c r="L60" s="62" t="str">
        <x:v>Very-deep model estimate with limited sample/role certainty. Use as a search/watch-list value and refresh once final rotations are known.</x:v>
      </x:c>
    </x:row>
    <x:row r="61" ht="20" customHeight="1">
      <x:c r="A61" s="59" t="n">
        <x:v>56</x:v>
      </x:c>
      <x:c r="B61" s="59" t="n">
        <x:v>343</x:v>
      </x:c>
      <x:c r="C61" s="59" t="str">
        <x:v>Karlo Matkovic</x:v>
      </x:c>
      <x:c r="D61" s="59" t="str">
        <x:v>NOP</x:v>
      </x:c>
      <x:c r="E61" s="58" t="n">
        <x:v>62</x:v>
      </x:c>
      <x:c r="F61" s="60" t="n">
        <x:v>15.85</x:v>
      </x:c>
      <x:c r="G61" s="60" t="n">
        <x:v>10.07</x:v>
      </x:c>
      <x:c r="H61" s="60" t="n">
        <x:v>17.07</x:v>
      </x:c>
      <x:c r="I61" s="58" t="n">
        <x:v>60</x:v>
      </x:c>
      <x:c r="J61" s="59" t="str">
        <x:v>DEEP</x:v>
      </x:c>
      <x:c r="K61" s="59" t="str">
        <x:v>PF</x:v>
      </x:c>
      <x:c r="L61" s="62" t="str">
        <x:v>Deep-pool model: 2025-26 custom-score production shrunk toward a conservative 2026-27 role estimate; not a published projection.</x:v>
      </x:c>
    </x:row>
    <x:row r="62" ht="20" customHeight="1">
      <x:c r="A62" s="59" t="n">
        <x:v>57</x:v>
      </x:c>
      <x:c r="B62" s="59" t="n">
        <x:v>350</x:v>
      </x:c>
      <x:c r="C62" s="59" t="str">
        <x:v>Chris Cenac Jr.</x:v>
      </x:c>
      <x:c r="D62" s="59" t="str">
        <x:v>BOS</x:v>
      </x:c>
      <x:c r="E62" s="58"/>
      <x:c r="F62" s="60"/>
      <x:c r="G62" s="60" t="n">
        <x:v>7.940000000000001</x:v>
      </x:c>
      <x:c r="H62" s="60" t="n">
        <x:v>18.52</x:v>
      </x:c>
      <x:c r="I62" s="58" t="n">
        <x:v>60</x:v>
      </x:c>
      <x:c r="J62" s="59" t="str">
        <x:v>WATCH</x:v>
      </x:c>
      <x:c r="K62" s="59" t="str">
        <x:v>PF</x:v>
      </x:c>
      <x:c r="L62" s="62" t="str">
        <x:v>Rookie/depth role estimate with a wide band and limited NBA evidence. Treat as a watch-list projection, not a published forecast.</x:v>
      </x:c>
    </x:row>
    <x:row r="63" ht="20" customHeight="1">
      <x:c r="A63" s="59" t="n">
        <x:v>58</x:v>
      </x:c>
      <x:c r="B63" s="59" t="n">
        <x:v>352</x:v>
      </x:c>
      <x:c r="C63" s="59" t="str">
        <x:v>Joshua Jefferson</x:v>
      </x:c>
      <x:c r="D63" s="59" t="str">
        <x:v>BKN</x:v>
      </x:c>
      <x:c r="E63" s="58"/>
      <x:c r="F63" s="60"/>
      <x:c r="G63" s="60" t="n">
        <x:v>7.93</x:v>
      </x:c>
      <x:c r="H63" s="60" t="n">
        <x:v>18.51</x:v>
      </x:c>
      <x:c r="I63" s="58" t="n">
        <x:v>60</x:v>
      </x:c>
      <x:c r="J63" s="59" t="str">
        <x:v>WATCH</x:v>
      </x:c>
      <x:c r="K63" s="59" t="str">
        <x:v>PF</x:v>
      </x:c>
      <x:c r="L63" s="62" t="str">
        <x:v>Rookie/depth role estimate with a wide band and limited NBA evidence. Treat as a watch-list projection, not a published forecast.</x:v>
      </x:c>
    </x:row>
    <x:row r="64" ht="20" customHeight="1">
      <x:c r="A64" s="59" t="n">
        <x:v>59</x:v>
      </x:c>
      <x:c r="B64" s="59" t="n">
        <x:v>353</x:v>
      </x:c>
      <x:c r="C64" s="59" t="str">
        <x:v>Patrick Williams</x:v>
      </x:c>
      <x:c r="D64" s="59" t="str">
        <x:v>CHI</x:v>
      </x:c>
      <x:c r="E64" s="58" t="n">
        <x:v>72</x:v>
      </x:c>
      <x:c r="F64" s="60" t="n">
        <x:v>13.95</x:v>
      </x:c>
      <x:c r="G64" s="60" t="n">
        <x:v>9.69</x:v>
      </x:c>
      <x:c r="H64" s="60" t="n">
        <x:v>16.689999999999998</x:v>
      </x:c>
      <x:c r="I64" s="58" t="n">
        <x:v>60</x:v>
      </x:c>
      <x:c r="J64" s="59" t="str">
        <x:v>DEEP</x:v>
      </x:c>
      <x:c r="K64" s="59" t="str">
        <x:v>PF</x:v>
      </x:c>
      <x:c r="L64" s="62" t="str">
        <x:v>Deep-pool model: 2025-26 custom-score production shrunk toward a conservative 2026-27 role estimate; not a published projection.</x:v>
      </x:c>
    </x:row>
    <x:row r="65" ht="20" customHeight="1">
      <x:c r="A65" s="59" t="n">
        <x:v>60</x:v>
      </x:c>
      <x:c r="B65" s="59" t="n">
        <x:v>354</x:v>
      </x:c>
      <x:c r="C65" s="59" t="str">
        <x:v>Kenrich Williams</x:v>
      </x:c>
      <x:c r="D65" s="59" t="str">
        <x:v>OKC</x:v>
      </x:c>
      <x:c r="E65" s="58" t="n">
        <x:v>56</x:v>
      </x:c>
      <x:c r="F65" s="60" t="n">
        <x:v>14.75</x:v>
      </x:c>
      <x:c r="G65" s="60" t="n">
        <x:v>9.62</x:v>
      </x:c>
      <x:c r="H65" s="60" t="n">
        <x:v>16.619999999999997</x:v>
      </x:c>
      <x:c r="I65" s="58" t="n">
        <x:v>60</x:v>
      </x:c>
      <x:c r="J65" s="59" t="str">
        <x:v>DEEP</x:v>
      </x:c>
      <x:c r="K65" s="59" t="str">
        <x:v>PF</x:v>
      </x:c>
      <x:c r="L65" s="62" t="str">
        <x:v>Deep-pool model: 2025-26 custom-score production shrunk toward a conservative 2026-27 role estimate; not a published projection.</x:v>
      </x:c>
    </x:row>
    <x:row r="66" ht="20" customHeight="1">
      <x:c r="A66" s="59" t="n">
        <x:v>61</x:v>
      </x:c>
      <x:c r="B66" s="59" t="n">
        <x:v>358</x:v>
      </x:c>
      <x:c r="C66" s="59" t="str">
        <x:v>Taurean Prince</x:v>
      </x:c>
      <x:c r="D66" s="59" t="str">
        <x:v>DET</x:v>
      </x:c>
      <x:c r="E66" s="58" t="n">
        <x:v>26</x:v>
      </x:c>
      <x:c r="F66" s="60" t="n">
        <x:v>16.3</x:v>
      </x:c>
      <x:c r="G66" s="60" t="n">
        <x:v>9.239999999999998</x:v>
      </x:c>
      <x:c r="H66" s="60" t="n">
        <x:v>16.42</x:v>
      </x:c>
      <x:c r="I66" s="58" t="n">
        <x:v>60</x:v>
      </x:c>
      <x:c r="J66" s="59" t="str">
        <x:v>VERY_DEEP</x:v>
      </x:c>
      <x:c r="K66" s="59" t="str">
        <x:v>PF</x:v>
      </x:c>
      <x:c r="L66" s="62" t="str">
        <x:v>Very-deep model estimate with limited sample/role certainty. Use as a search/watch-list value and refresh once final rotations are known.</x:v>
      </x:c>
    </x:row>
    <x:row r="67" ht="20" customHeight="1">
      <x:c r="A67" s="59" t="n">
        <x:v>62</x:v>
      </x:c>
      <x:c r="B67" s="59" t="n">
        <x:v>359</x:v>
      </x:c>
      <x:c r="C67" s="59" t="str">
        <x:v>Jarred Vanderbilt</x:v>
      </x:c>
      <x:c r="D67" s="59" t="str">
        <x:v>LAL</x:v>
      </x:c>
      <x:c r="E67" s="58" t="n">
        <x:v>65</x:v>
      </x:c>
      <x:c r="F67" s="60" t="n">
        <x:v>13.7</x:v>
      </x:c>
      <x:c r="G67" s="60" t="n">
        <x:v>9.28</x:v>
      </x:c>
      <x:c r="H67" s="60" t="n">
        <x:v>16.28</x:v>
      </x:c>
      <x:c r="I67" s="58" t="n">
        <x:v>60</x:v>
      </x:c>
      <x:c r="J67" s="59" t="str">
        <x:v>DEEP</x:v>
      </x:c>
      <x:c r="K67" s="59" t="str">
        <x:v>PF</x:v>
      </x:c>
      <x:c r="L67" s="62" t="str">
        <x:v>Deep-pool model: 2025-26 custom-score production shrunk toward a conservative 2026-27 role estimate; not a published projection.</x:v>
      </x:c>
    </x:row>
    <x:row r="68" ht="20" customHeight="1">
      <x:c r="A68" s="59" t="n">
        <x:v>63</x:v>
      </x:c>
      <x:c r="B68" s="59" t="n">
        <x:v>360</x:v>
      </x:c>
      <x:c r="C68" s="59" t="str">
        <x:v>Tidjane Salaun</x:v>
      </x:c>
      <x:c r="D68" s="59" t="str">
        <x:v>CHA</x:v>
      </x:c>
      <x:c r="E68" s="58" t="n">
        <x:v>37</x:v>
      </x:c>
      <x:c r="F68" s="60" t="n">
        <x:v>13.55</x:v>
      </x:c>
      <x:c r="G68" s="60" t="n">
        <x:v>9.01</x:v>
      </x:c>
      <x:c r="H68" s="60" t="n">
        <x:v>16.009999999999998</x:v>
      </x:c>
      <x:c r="I68" s="58" t="n">
        <x:v>64</x:v>
      </x:c>
      <x:c r="J68" s="59" t="str">
        <x:v>DEEP</x:v>
      </x:c>
      <x:c r="K68" s="59" t="str">
        <x:v>F</x:v>
      </x:c>
      <x:c r="L68" s="62" t="str">
        <x:v>Deep-pool model: 2025-26 custom-score production shrunk toward a conservative 2026-27 role estimate; not a published projection.</x:v>
      </x:c>
    </x:row>
    <x:row r="69" ht="20" customHeight="1">
      <x:c r="A69" s="59" t="n">
        <x:v>64</x:v>
      </x:c>
      <x:c r="B69" s="59" t="n">
        <x:v>371</x:v>
      </x:c>
      <x:c r="C69" s="59" t="str">
        <x:v>Baba Miller</x:v>
      </x:c>
      <x:c r="D69" s="59" t="str">
        <x:v>LAC</x:v>
      </x:c>
      <x:c r="E69" s="58"/>
      <x:c r="F69" s="60"/>
      <x:c r="G69" s="60" t="n">
        <x:v>8.5</x:v>
      </x:c>
      <x:c r="H69" s="60" t="n">
        <x:v>15.5</x:v>
      </x:c>
      <x:c r="I69" s="58" t="n">
        <x:v>55</x:v>
      </x:c>
      <x:c r="J69" s="59" t="str">
        <x:v>VERY_DEEP</x:v>
      </x:c>
      <x:c r="K69" s="59" t="str">
        <x:v>F</x:v>
      </x:c>
      <x:c r="L69" s="62" t="str">
        <x:v>Rookie/depth role estimate with a wide band and limited NBA evidence. Treat as a watch-list projection, not a published forecast.</x:v>
      </x:c>
    </x:row>
    <x:row r="70" ht="20" customHeight="1">
      <x:c r="A70" s="59" t="n">
        <x:v>65</x:v>
      </x:c>
      <x:c r="B70" s="59" t="n">
        <x:v>373</x:v>
      </x:c>
      <x:c r="C70" s="59" t="str">
        <x:v>Mouhamed Gueye</x:v>
      </x:c>
      <x:c r="D70" s="59" t="str">
        <x:v>ATL</x:v>
      </x:c>
      <x:c r="E70" s="58" t="n">
        <x:v>77</x:v>
      </x:c>
      <x:c r="F70" s="60" t="n">
        <x:v>13.6</x:v>
      </x:c>
      <x:c r="G70" s="60" t="n">
        <x:v>8.27</x:v>
      </x:c>
      <x:c r="H70" s="60" t="n">
        <x:v>15.27</x:v>
      </x:c>
      <x:c r="I70" s="58" t="n">
        <x:v>60</x:v>
      </x:c>
      <x:c r="J70" s="59" t="str">
        <x:v>DEEP</x:v>
      </x:c>
      <x:c r="K70" s="59" t="str">
        <x:v>PF</x:v>
      </x:c>
      <x:c r="L70" s="62" t="str">
        <x:v>Deep-pool model: 2025-26 custom-score production shrunk toward a conservative 2026-27 role estimate; not a published projection.</x:v>
      </x:c>
    </x:row>
    <x:row r="71" ht="20" customHeight="1">
      <x:c r="A71" s="59" t="n">
        <x:v>66</x:v>
      </x:c>
      <x:c r="B71" s="59" t="n">
        <x:v>376</x:v>
      </x:c>
      <x:c r="C71" s="59" t="str">
        <x:v>Bogoljub Marković</x:v>
      </x:c>
      <x:c r="D71" s="59" t="str">
        <x:v>MIL</x:v>
      </x:c>
      <x:c r="E71" s="58"/>
      <x:c r="F71" s="60"/>
      <x:c r="G71" s="60" t="n">
        <x:v>8.2</x:v>
      </x:c>
      <x:c r="H71" s="60" t="n">
        <x:v>15.2</x:v>
      </x:c>
      <x:c r="I71" s="58" t="n">
        <x:v>55</x:v>
      </x:c>
      <x:c r="J71" s="59" t="str">
        <x:v>VERY_DEEP</x:v>
      </x:c>
      <x:c r="K71" s="59" t="str">
        <x:v>PF</x:v>
      </x:c>
      <x:c r="L71" s="62" t="str">
        <x:v>Rookie/depth role estimate with a wide band and limited NBA evidence. Treat as a watch-list projection, not a published forecast.</x:v>
      </x:c>
    </x:row>
    <x:row r="72" ht="20" customHeight="1">
      <x:c r="A72" s="59" t="n">
        <x:v>67</x:v>
      </x:c>
      <x:c r="B72" s="59" t="n">
        <x:v>385</x:v>
      </x:c>
      <x:c r="C72" s="59" t="str">
        <x:v>Moussa Cisse</x:v>
      </x:c>
      <x:c r="D72" s="59" t="str">
        <x:v>DAL</x:v>
      </x:c>
      <x:c r="E72" s="58" t="n">
        <x:v>38</x:v>
      </x:c>
      <x:c r="F72" s="60" t="n">
        <x:v>16.6</x:v>
      </x:c>
      <x:c r="G72" s="60" t="n">
        <x:v>8.13</x:v>
      </x:c>
      <x:c r="H72" s="60" t="n">
        <x:v>15.13</x:v>
      </x:c>
      <x:c r="I72" s="58" t="n">
        <x:v>42</x:v>
      </x:c>
      <x:c r="J72" s="59" t="str">
        <x:v>VERY_DEEP</x:v>
      </x:c>
      <x:c r="K72" s="59" t="str">
        <x:v>F</x:v>
      </x:c>
      <x:c r="L72" s="62" t="str">
        <x:v>Very-deep roster candidate. Non-guaranteed status and role uncertainty are discounted; verify final roster before draft use.</x:v>
      </x:c>
    </x:row>
    <x:row r="73" ht="20" customHeight="1">
      <x:c r="A73" s="59" t="n">
        <x:v>68</x:v>
      </x:c>
      <x:c r="B73" s="59" t="n">
        <x:v>388</x:v>
      </x:c>
      <x:c r="C73" s="59" t="str">
        <x:v>Asa Newell</x:v>
      </x:c>
      <x:c r="D73" s="59" t="str">
        <x:v>ATL</x:v>
      </x:c>
      <x:c r="E73" s="58" t="n">
        <x:v>44</x:v>
      </x:c>
      <x:c r="F73" s="60" t="n">
        <x:v>11.75</x:v>
      </x:c>
      <x:c r="G73" s="60" t="n">
        <x:v>7.390000000000001</x:v>
      </x:c>
      <x:c r="H73" s="60" t="n">
        <x:v>14.39</x:v>
      </x:c>
      <x:c r="I73" s="58" t="n">
        <x:v>64</x:v>
      </x:c>
      <x:c r="J73" s="59" t="str">
        <x:v>DEEP</x:v>
      </x:c>
      <x:c r="K73" s="59" t="str">
        <x:v>PF</x:v>
      </x:c>
      <x:c r="L73" s="62" t="str">
        <x:v>Deep-pool model: 2025-26 custom-score production shrunk toward a conservative 2026-27 role estimate; not a published projection.</x:v>
      </x:c>
    </x:row>
    <x:row r="74" ht="20" customHeight="1">
      <x:c r="A74" s="59" t="n">
        <x:v>69</x:v>
      </x:c>
      <x:c r="B74" s="59" t="n">
        <x:v>392</x:v>
      </x:c>
      <x:c r="C74" s="59" t="str">
        <x:v>Noah Penda</x:v>
      </x:c>
      <x:c r="D74" s="59" t="str">
        <x:v>ORL</x:v>
      </x:c>
      <x:c r="E74" s="58" t="n">
        <x:v>59</x:v>
      </x:c>
      <x:c r="F74" s="60" t="n">
        <x:v>11.35</x:v>
      </x:c>
      <x:c r="G74" s="60" t="n">
        <x:v>7.1899999999999995</x:v>
      </x:c>
      <x:c r="H74" s="60" t="n">
        <x:v>14.19</x:v>
      </x:c>
      <x:c r="I74" s="58" t="n">
        <x:v>64</x:v>
      </x:c>
      <x:c r="J74" s="59" t="str">
        <x:v>DEEP</x:v>
      </x:c>
      <x:c r="K74" s="59" t="str">
        <x:v>F</x:v>
      </x:c>
      <x:c r="L74" s="62" t="str">
        <x:v>Deep-pool model: 2025-26 custom-score production shrunk toward a conservative 2026-27 role estimate; not a published projection.</x:v>
      </x:c>
    </x:row>
    <x:row r="75" ht="20" customHeight="1">
      <x:c r="A75" s="59" t="n">
        <x:v>70</x:v>
      </x:c>
      <x:c r="B75" s="59" t="n">
        <x:v>394</x:v>
      </x:c>
      <x:c r="C75" s="59" t="str">
        <x:v>Trendon Watford</x:v>
      </x:c>
      <x:c r="D75" s="59" t="str">
        <x:v>NOP</x:v>
      </x:c>
      <x:c r="E75" s="58" t="n">
        <x:v>53</x:v>
      </x:c>
      <x:c r="F75" s="60" t="n">
        <x:v>14.75</x:v>
      </x:c>
      <x:c r="G75" s="60" t="n">
        <x:v>7.539999999999999</x:v>
      </x:c>
      <x:c r="H75" s="60" t="n">
        <x:v>14.54</x:v>
      </x:c>
      <x:c r="I75" s="58" t="n">
        <x:v>42</x:v>
      </x:c>
      <x:c r="J75" s="59" t="str">
        <x:v>VERY_DEEP</x:v>
      </x:c>
      <x:c r="K75" s="59" t="str">
        <x:v>PF</x:v>
      </x:c>
      <x:c r="L75" s="62" t="str">
        <x:v>Very-deep roster candidate. Non-guaranteed status and role uncertainty are discounted; verify final roster before draft use.</x:v>
      </x:c>
    </x:row>
    <x:row r="76" ht="20" customHeight="1">
      <x:c r="A76" s="59" t="n">
        <x:v>71</x:v>
      </x:c>
      <x:c r="B76" s="59" t="n">
        <x:v>402</x:v>
      </x:c>
      <x:c r="C76" s="59" t="str">
        <x:v>Pete Nance</x:v>
      </x:c>
      <x:c r="D76" s="59" t="str">
        <x:v>MIL</x:v>
      </x:c>
      <x:c r="E76" s="58" t="n">
        <x:v>47</x:v>
      </x:c>
      <x:c r="F76" s="60" t="n">
        <x:v>11.85</x:v>
      </x:c>
      <x:c r="G76" s="60" t="n">
        <x:v>6.609999999999999</x:v>
      </x:c>
      <x:c r="H76" s="60" t="n">
        <x:v>13.61</x:v>
      </x:c>
      <x:c r="I76" s="58" t="n">
        <x:v>64</x:v>
      </x:c>
      <x:c r="J76" s="59" t="str">
        <x:v>DEEP</x:v>
      </x:c>
      <x:c r="K76" s="59" t="str">
        <x:v>PF</x:v>
      </x:c>
      <x:c r="L76" s="62" t="str">
        <x:v>Deep-pool model: 2025-26 custom-score production shrunk toward a conservative 2026-27 role estimate; not a published projection.</x:v>
      </x:c>
    </x:row>
    <x:row r="77" ht="20" customHeight="1">
      <x:c r="A77" s="59" t="n">
        <x:v>72</x:v>
      </x:c>
      <x:c r="B77" s="59" t="n">
        <x:v>403</x:v>
      </x:c>
      <x:c r="C77" s="59" t="str">
        <x:v>Yanic Konan Niederhauser</x:v>
      </x:c>
      <x:c r="D77" s="59" t="str">
        <x:v>LAC</x:v>
      </x:c>
      <x:c r="E77" s="58" t="n">
        <x:v>41</x:v>
      </x:c>
      <x:c r="F77" s="60" t="n">
        <x:v>11</x:v>
      </x:c>
      <x:c r="G77" s="60" t="n">
        <x:v>6.609999999999999</x:v>
      </x:c>
      <x:c r="H77" s="60" t="n">
        <x:v>13.61</x:v>
      </x:c>
      <x:c r="I77" s="58" t="n">
        <x:v>60</x:v>
      </x:c>
      <x:c r="J77" s="59" t="str">
        <x:v>DEEP</x:v>
      </x:c>
      <x:c r="K77" s="59" t="str">
        <x:v>F</x:v>
      </x:c>
      <x:c r="L77" s="62" t="str">
        <x:v>Deep-pool model: 2025-26 custom-score production shrunk toward a conservative 2026-27 role estimate; not a published projection.</x:v>
      </x:c>
    </x:row>
    <x:row r="78" ht="20" customHeight="1">
      <x:c r="A78" s="59" t="n">
        <x:v>73</x:v>
      </x:c>
      <x:c r="B78" s="59" t="n">
        <x:v>405</x:v>
      </x:c>
      <x:c r="C78" s="59" t="str">
        <x:v>Haywood Highsmith</x:v>
      </x:c>
      <x:c r="D78" s="59" t="str">
        <x:v>PHX</x:v>
      </x:c>
      <x:c r="E78" s="58" t="n">
        <x:v>7</x:v>
      </x:c>
      <x:c r="F78" s="60" t="n">
        <x:v>13.8</x:v>
      </x:c>
      <x:c r="G78" s="60" t="n">
        <x:v>6.49</x:v>
      </x:c>
      <x:c r="H78" s="60" t="n">
        <x:v>13.49</x:v>
      </x:c>
      <x:c r="I78" s="58" t="n">
        <x:v>60</x:v>
      </x:c>
      <x:c r="J78" s="59" t="str">
        <x:v>VERY_DEEP</x:v>
      </x:c>
      <x:c r="K78" s="59" t="str">
        <x:v>F</x:v>
      </x:c>
      <x:c r="L78" s="62" t="str">
        <x:v>Very-deep model estimate with limited sample/role certainty. Use as a search/watch-list value and refresh once final rotations are known.</x:v>
      </x:c>
    </x:row>
    <x:row r="79" ht="20" customHeight="1">
      <x:c r="A79" s="59" t="n">
        <x:v>74</x:v>
      </x:c>
      <x:c r="B79" s="59" t="n">
        <x:v>417</x:v>
      </x:c>
      <x:c r="C79" s="59" t="str">
        <x:v>Carter Bryant</x:v>
      </x:c>
      <x:c r="D79" s="59" t="str">
        <x:v>SAS</x:v>
      </x:c>
      <x:c r="E79" s="58" t="n">
        <x:v>71</x:v>
      </x:c>
      <x:c r="F79" s="60" t="n">
        <x:v>8.8</x:v>
      </x:c>
      <x:c r="G79" s="60" t="n">
        <x:v>5.609999999999999</x:v>
      </x:c>
      <x:c r="H79" s="60" t="n">
        <x:v>12.61</x:v>
      </x:c>
      <x:c r="I79" s="58" t="n">
        <x:v>64</x:v>
      </x:c>
      <x:c r="J79" s="59" t="str">
        <x:v>DEEP</x:v>
      </x:c>
      <x:c r="K79" s="59" t="str">
        <x:v>F</x:v>
      </x:c>
      <x:c r="L79" s="62" t="str">
        <x:v>Deep-pool model: 2025-26 custom-score production shrunk toward a conservative 2026-27 role estimate; not a published projection.</x:v>
      </x:c>
    </x:row>
    <x:row r="80" ht="20" customHeight="1">
      <x:c r="A80" s="59" t="n">
        <x:v>75</x:v>
      </x:c>
      <x:c r="B80" s="59" t="n">
        <x:v>420</x:v>
      </x:c>
      <x:c r="C80" s="59" t="str">
        <x:v>Trayce Jackson-Davis</x:v>
      </x:c>
      <x:c r="D80" s="59" t="str">
        <x:v>TOR</x:v>
      </x:c>
      <x:c r="E80" s="58" t="n">
        <x:v>53</x:v>
      </x:c>
      <x:c r="F80" s="60" t="n">
        <x:v>10.4</x:v>
      </x:c>
      <x:c r="G80" s="60" t="n">
        <x:v>5.619999999999999</x:v>
      </x:c>
      <x:c r="H80" s="60" t="n">
        <x:v>12.62</x:v>
      </x:c>
      <x:c r="I80" s="58" t="n">
        <x:v>60</x:v>
      </x:c>
      <x:c r="J80" s="59" t="str">
        <x:v>DEEP</x:v>
      </x:c>
      <x:c r="K80" s="59" t="str">
        <x:v>PF</x:v>
      </x:c>
      <x:c r="L80" s="62" t="str">
        <x:v>Deep-pool model: 2025-26 custom-score production shrunk toward a conservative 2026-27 role estimate; not a published projection.</x:v>
      </x:c>
    </x:row>
    <x:row r="81" ht="20" customHeight="1">
      <x:c r="A81" s="59" t="n">
        <x:v>76</x:v>
      </x:c>
      <x:c r="B81" s="59" t="n">
        <x:v>422</x:v>
      </x:c>
      <x:c r="C81" s="59" t="str">
        <x:v>Zeke Nnaji</x:v>
      </x:c>
      <x:c r="D81" s="59" t="str">
        <x:v>DEN</x:v>
      </x:c>
      <x:c r="E81" s="58" t="n">
        <x:v>52</x:v>
      </x:c>
      <x:c r="F81" s="60" t="n">
        <x:v>9.55</x:v>
      </x:c>
      <x:c r="G81" s="60" t="n">
        <x:v>5.550000000000001</x:v>
      </x:c>
      <x:c r="H81" s="60" t="n">
        <x:v>12.55</x:v>
      </x:c>
      <x:c r="I81" s="58" t="n">
        <x:v>60</x:v>
      </x:c>
      <x:c r="J81" s="59" t="str">
        <x:v>DEEP</x:v>
      </x:c>
      <x:c r="K81" s="59" t="str">
        <x:v>PF</x:v>
      </x:c>
      <x:c r="L81" s="62" t="str">
        <x:v>Deep-pool model: 2025-26 custom-score production shrunk toward a conservative 2026-27 role estimate; not a published projection.</x:v>
      </x:c>
    </x:row>
    <x:row r="82" ht="20" customHeight="1">
      <x:c r="A82" s="59" t="n">
        <x:v>77</x:v>
      </x:c>
      <x:c r="B82" s="59" t="n">
        <x:v>423</x:v>
      </x:c>
      <x:c r="C82" s="59" t="str">
        <x:v>Tolu Smith III</x:v>
      </x:c>
      <x:c r="D82" s="59" t="str">
        <x:v>DET</x:v>
      </x:c>
      <x:c r="E82" s="58" t="n">
        <x:v>15</x:v>
      </x:c>
      <x:c r="F82" s="60" t="n">
        <x:v>11.75</x:v>
      </x:c>
      <x:c r="G82" s="60" t="n">
        <x:v>5.390000000000001</x:v>
      </x:c>
      <x:c r="H82" s="60" t="n">
        <x:v>12.39</x:v>
      </x:c>
      <x:c r="I82" s="58" t="n">
        <x:v>60</x:v>
      </x:c>
      <x:c r="J82" s="59" t="str">
        <x:v>VERY_DEEP</x:v>
      </x:c>
      <x:c r="K82" s="59" t="str">
        <x:v>F</x:v>
      </x:c>
      <x:c r="L82" s="62" t="str">
        <x:v>Very-deep model estimate with limited sample/role certainty. Use as a search/watch-list value and refresh once final rotations are known.</x:v>
      </x:c>
    </x:row>
    <x:row r="83" ht="20" customHeight="1">
      <x:c r="A83" s="59" t="n">
        <x:v>78</x:v>
      </x:c>
      <x:c r="B83" s="59" t="n">
        <x:v>431</x:v>
      </x:c>
      <x:c r="C83" s="59" t="str">
        <x:v>AK Okereke</x:v>
      </x:c>
      <x:c r="D83" s="59" t="str">
        <x:v>LAL</x:v>
      </x:c>
      <x:c r="E83" s="58"/>
      <x:c r="F83" s="60"/>
      <x:c r="G83" s="60" t="n">
        <x:v>0</x:v>
      </x:c>
      <x:c r="H83" s="60" t="n">
        <x:v>3.5</x:v>
      </x:c>
      <x:c r="I83" s="58" t="n">
        <x:v>0</x:v>
      </x:c>
      <x:c r="J83" s="59" t="str">
        <x:v>WATCH</x:v>
      </x:c>
      <x:c r="K83" s="59" t="str">
        <x:v>F</x:v>
      </x:c>
      <x:c r="L83" s="62" t="str">
        <x:v>Camp/summer-depth watch entry; no reliable 2026-27 fantasy projection. Verify final NBA contract, roster status and role before draft use.</x:v>
      </x:c>
    </x:row>
    <x:row r="84" ht="20" customHeight="1">
      <x:c r="A84" s="59" t="n">
        <x:v>79</x:v>
      </x:c>
      <x:c r="B84" s="59" t="n">
        <x:v>434</x:v>
      </x:c>
      <x:c r="C84" s="59" t="str">
        <x:v>Aaron Williams</x:v>
      </x:c>
      <x:c r="D84" s="59" t="str">
        <x:v>MIL</x:v>
      </x:c>
      <x:c r="E84" s="58"/>
      <x:c r="F84" s="60"/>
      <x:c r="G84" s="60" t="n">
        <x:v>0</x:v>
      </x:c>
      <x:c r="H84" s="60" t="n">
        <x:v>3.5</x:v>
      </x:c>
      <x:c r="I84" s="58" t="n">
        <x:v>0</x:v>
      </x:c>
      <x:c r="J84" s="59" t="str">
        <x:v>WATCH</x:v>
      </x:c>
      <x:c r="K84" s="59" t="str">
        <x:v>F</x:v>
      </x:c>
      <x:c r="L84" s="62" t="str">
        <x:v>Camp/summer-depth watch entry; no reliable 2026-27 fantasy projection. Verify final NBA contract, roster status and role before draft use.</x:v>
      </x:c>
    </x:row>
    <x:row r="85" ht="20" customHeight="1">
      <x:c r="A85" s="59" t="n">
        <x:v>80</x:v>
      </x:c>
      <x:c r="B85" s="59" t="n">
        <x:v>436</x:v>
      </x:c>
      <x:c r="C85" s="59" t="str">
        <x:v>Akoi Yuot</x:v>
      </x:c>
      <x:c r="D85" s="59" t="str">
        <x:v>NYK</x:v>
      </x:c>
      <x:c r="E85" s="58"/>
      <x:c r="F85" s="60"/>
      <x:c r="G85" s="60" t="n">
        <x:v>0</x:v>
      </x:c>
      <x:c r="H85" s="60" t="n">
        <x:v>3.5</x:v>
      </x:c>
      <x:c r="I85" s="58" t="n">
        <x:v>0</x:v>
      </x:c>
      <x:c r="J85" s="59" t="str">
        <x:v>WATCH</x:v>
      </x:c>
      <x:c r="K85" s="59" t="str">
        <x:v>F</x:v>
      </x:c>
      <x:c r="L85" s="62" t="str">
        <x:v>Camp/summer-depth watch entry; no reliable 2026-27 fantasy projection. Verify final NBA contract, roster status and role before draft use.</x:v>
      </x:c>
    </x:row>
    <x:row r="86" ht="20" customHeight="1">
      <x:c r="A86" s="59" t="n">
        <x:v>81</x:v>
      </x:c>
      <x:c r="B86" s="59" t="n">
        <x:v>440</x:v>
      </x:c>
      <x:c r="C86" s="59" t="str">
        <x:v>Amani Lyles</x:v>
      </x:c>
      <x:c r="D86" s="59" t="str">
        <x:v>PHI</x:v>
      </x:c>
      <x:c r="E86" s="58"/>
      <x:c r="F86" s="60"/>
      <x:c r="G86" s="60" t="n">
        <x:v>0</x:v>
      </x:c>
      <x:c r="H86" s="60" t="n">
        <x:v>3.5</x:v>
      </x:c>
      <x:c r="I86" s="58" t="n">
        <x:v>0</x:v>
      </x:c>
      <x:c r="J86" s="59" t="str">
        <x:v>WATCH</x:v>
      </x:c>
      <x:c r="K86" s="59" t="str">
        <x:v>F</x:v>
      </x:c>
      <x:c r="L86" s="62" t="str">
        <x:v>Camp/summer-depth watch entry; no reliable 2026-27 fantasy projection. Verify final NBA contract, roster status and role before draft use.</x:v>
      </x:c>
    </x:row>
    <x:row r="87" ht="20" customHeight="1">
      <x:c r="A87" s="59" t="n">
        <x:v>82</x:v>
      </x:c>
      <x:c r="B87" s="59" t="n">
        <x:v>442</x:v>
      </x:c>
      <x:c r="C87" s="59" t="str">
        <x:v>Andrew Holifield</x:v>
      </x:c>
      <x:c r="D87" s="59" t="str">
        <x:v>OKC</x:v>
      </x:c>
      <x:c r="E87" s="58"/>
      <x:c r="F87" s="60"/>
      <x:c r="G87" s="60" t="n">
        <x:v>0</x:v>
      </x:c>
      <x:c r="H87" s="60" t="n">
        <x:v>3.5</x:v>
      </x:c>
      <x:c r="I87" s="58" t="n">
        <x:v>0</x:v>
      </x:c>
      <x:c r="J87" s="59" t="str">
        <x:v>WATCH</x:v>
      </x:c>
      <x:c r="K87" s="59" t="str">
        <x:v>F</x:v>
      </x:c>
      <x:c r="L87" s="62" t="str">
        <x:v>Camp/summer-depth watch entry; no reliable 2026-27 fantasy projection. Verify final NBA contract, roster status and role before draft use.</x:v>
      </x:c>
    </x:row>
    <x:row r="88" ht="20" customHeight="1">
      <x:c r="A88" s="59" t="n">
        <x:v>83</x:v>
      </x:c>
      <x:c r="B88" s="59" t="n">
        <x:v>445</x:v>
      </x:c>
      <x:c r="C88" s="59" t="str">
        <x:v>Anton Watson</x:v>
      </x:c>
      <x:c r="D88" s="59" t="str">
        <x:v>LAL</x:v>
      </x:c>
      <x:c r="E88" s="58"/>
      <x:c r="F88" s="60"/>
      <x:c r="G88" s="60" t="n">
        <x:v>0</x:v>
      </x:c>
      <x:c r="H88" s="60" t="n">
        <x:v>3.5</x:v>
      </x:c>
      <x:c r="I88" s="58" t="n">
        <x:v>0</x:v>
      </x:c>
      <x:c r="J88" s="59" t="str">
        <x:v>WATCH</x:v>
      </x:c>
      <x:c r="K88" s="59" t="str">
        <x:v>F</x:v>
      </x:c>
      <x:c r="L88" s="62" t="str">
        <x:v>Camp/summer-depth watch entry; no reliable 2026-27 fantasy projection. Verify final NBA contract, roster status and role before draft use.</x:v>
      </x:c>
    </x:row>
    <x:row r="89" ht="20" customHeight="1">
      <x:c r="A89" s="59" t="n">
        <x:v>84</x:v>
      </x:c>
      <x:c r="B89" s="59" t="n">
        <x:v>447</x:v>
      </x:c>
      <x:c r="C89" s="59" t="str">
        <x:v>Arthur Kaluma</x:v>
      </x:c>
      <x:c r="D89" s="59" t="str">
        <x:v>LAL</x:v>
      </x:c>
      <x:c r="E89" s="58"/>
      <x:c r="F89" s="60"/>
      <x:c r="G89" s="60" t="n">
        <x:v>0</x:v>
      </x:c>
      <x:c r="H89" s="60" t="n">
        <x:v>3.5</x:v>
      </x:c>
      <x:c r="I89" s="58" t="n">
        <x:v>0</x:v>
      </x:c>
      <x:c r="J89" s="59" t="str">
        <x:v>WATCH</x:v>
      </x:c>
      <x:c r="K89" s="59" t="str">
        <x:v>F</x:v>
      </x:c>
      <x:c r="L89" s="62" t="str">
        <x:v>Camp/summer-depth watch entry; no reliable 2026-27 fantasy projection. Verify final NBA contract, roster status and role before draft use.</x:v>
      </x:c>
    </x:row>
    <x:row r="90" ht="20" customHeight="1">
      <x:c r="A90" s="59" t="n">
        <x:v>85</x:v>
      </x:c>
      <x:c r="B90" s="59" t="n">
        <x:v>450</x:v>
      </x:c>
      <x:c r="C90" s="59" t="str">
        <x:v>Barry Evans</x:v>
      </x:c>
      <x:c r="D90" s="59" t="str">
        <x:v>PHX</x:v>
      </x:c>
      <x:c r="E90" s="58"/>
      <x:c r="F90" s="60"/>
      <x:c r="G90" s="60" t="n">
        <x:v>0</x:v>
      </x:c>
      <x:c r="H90" s="60" t="n">
        <x:v>3.5</x:v>
      </x:c>
      <x:c r="I90" s="58" t="n">
        <x:v>0</x:v>
      </x:c>
      <x:c r="J90" s="59" t="str">
        <x:v>WATCH</x:v>
      </x:c>
      <x:c r="K90" s="59" t="str">
        <x:v>F</x:v>
      </x:c>
      <x:c r="L90" s="62" t="str">
        <x:v>Camp/summer-depth watch entry; no reliable 2026-27 fantasy projection. Verify final NBA contract, roster status and role before draft use.</x:v>
      </x:c>
    </x:row>
    <x:row r="91" ht="20" customHeight="1">
      <x:c r="A91" s="59" t="n">
        <x:v>86</x:v>
      </x:c>
      <x:c r="B91" s="59" t="n">
        <x:v>452</x:v>
      </x:c>
      <x:c r="C91" s="59" t="str">
        <x:v>Ben Humrichous</x:v>
      </x:c>
      <x:c r="D91" s="59" t="str">
        <x:v>BKN</x:v>
      </x:c>
      <x:c r="E91" s="58"/>
      <x:c r="F91" s="60"/>
      <x:c r="G91" s="60" t="n">
        <x:v>0</x:v>
      </x:c>
      <x:c r="H91" s="60" t="n">
        <x:v>3.5</x:v>
      </x:c>
      <x:c r="I91" s="58" t="n">
        <x:v>0</x:v>
      </x:c>
      <x:c r="J91" s="59" t="str">
        <x:v>WATCH</x:v>
      </x:c>
      <x:c r="K91" s="59" t="str">
        <x:v>F</x:v>
      </x:c>
      <x:c r="L91" s="62" t="str">
        <x:v>Camp/summer-depth watch entry; no reliable 2026-27 fantasy projection. Verify final NBA contract, roster status and role before draft use.</x:v>
      </x:c>
    </x:row>
    <x:row r="92" ht="20" customHeight="1">
      <x:c r="A92" s="59" t="n">
        <x:v>87</x:v>
      </x:c>
      <x:c r="B92" s="59" t="n">
        <x:v>457</x:v>
      </x:c>
      <x:c r="C92" s="59" t="str">
        <x:v>Brandon Angel</x:v>
      </x:c>
      <x:c r="D92" s="59" t="str">
        <x:v>TOR</x:v>
      </x:c>
      <x:c r="E92" s="58"/>
      <x:c r="F92" s="60"/>
      <x:c r="G92" s="60" t="n">
        <x:v>0</x:v>
      </x:c>
      <x:c r="H92" s="60" t="n">
        <x:v>3.5</x:v>
      </x:c>
      <x:c r="I92" s="58" t="n">
        <x:v>0</x:v>
      </x:c>
      <x:c r="J92" s="59" t="str">
        <x:v>WATCH</x:v>
      </x:c>
      <x:c r="K92" s="59" t="str">
        <x:v>F</x:v>
      </x:c>
      <x:c r="L92" s="62" t="str">
        <x:v>Camp/summer-depth watch entry; no reliable 2026-27 fantasy projection. Verify final NBA contract, roster status and role before draft use.</x:v>
      </x:c>
    </x:row>
    <x:row r="93" ht="20" customHeight="1">
      <x:c r="A93" s="59" t="n">
        <x:v>88</x:v>
      </x:c>
      <x:c r="B93" s="59" t="n">
        <x:v>460</x:v>
      </x:c>
      <x:c r="C93" s="59" t="str">
        <x:v>Bryce Hopkins</x:v>
      </x:c>
      <x:c r="D93" s="59" t="str">
        <x:v>DEN</x:v>
      </x:c>
      <x:c r="E93" s="58"/>
      <x:c r="F93" s="60"/>
      <x:c r="G93" s="60" t="n">
        <x:v>0</x:v>
      </x:c>
      <x:c r="H93" s="60" t="n">
        <x:v>3.5</x:v>
      </x:c>
      <x:c r="I93" s="58" t="n">
        <x:v>0</x:v>
      </x:c>
      <x:c r="J93" s="59" t="str">
        <x:v>WATCH</x:v>
      </x:c>
      <x:c r="K93" s="59" t="str">
        <x:v>F</x:v>
      </x:c>
      <x:c r="L93" s="62" t="str">
        <x:v>Camp/summer-depth watch entry; no reliable 2026-27 fantasy projection. Verify final NBA contract, roster status and role before draft use.</x:v>
      </x:c>
    </x:row>
    <x:row r="94" ht="20" customHeight="1">
      <x:c r="A94" s="59" t="n">
        <x:v>89</x:v>
      </x:c>
      <x:c r="B94" s="59" t="n">
        <x:v>469</x:v>
      </x:c>
      <x:c r="C94" s="59" t="str">
        <x:v>Cameron Matthews</x:v>
      </x:c>
      <x:c r="D94" s="59" t="str">
        <x:v>CHA</x:v>
      </x:c>
      <x:c r="E94" s="58"/>
      <x:c r="F94" s="60"/>
      <x:c r="G94" s="60" t="n">
        <x:v>0</x:v>
      </x:c>
      <x:c r="H94" s="60" t="n">
        <x:v>3.5</x:v>
      </x:c>
      <x:c r="I94" s="58" t="n">
        <x:v>0</x:v>
      </x:c>
      <x:c r="J94" s="59" t="str">
        <x:v>WATCH</x:v>
      </x:c>
      <x:c r="K94" s="59" t="str">
        <x:v>F</x:v>
      </x:c>
      <x:c r="L94" s="62" t="str">
        <x:v>Camp/summer-depth watch entry; no reliable 2026-27 fantasy projection. Verify final NBA contract, roster status and role before draft use.</x:v>
      </x:c>
    </x:row>
    <x:row r="95" ht="20" customHeight="1">
      <x:c r="A95" s="59" t="n">
        <x:v>90</x:v>
      </x:c>
      <x:c r="B95" s="59" t="n">
        <x:v>476</x:v>
      </x:c>
      <x:c r="C95" s="59" t="str">
        <x:v>Chauncey Wiggins</x:v>
      </x:c>
      <x:c r="D95" s="59" t="str">
        <x:v>BOS</x:v>
      </x:c>
      <x:c r="E95" s="58"/>
      <x:c r="F95" s="60"/>
      <x:c r="G95" s="60" t="n">
        <x:v>0</x:v>
      </x:c>
      <x:c r="H95" s="60" t="n">
        <x:v>3.5</x:v>
      </x:c>
      <x:c r="I95" s="58" t="n">
        <x:v>0</x:v>
      </x:c>
      <x:c r="J95" s="59" t="str">
        <x:v>WATCH</x:v>
      </x:c>
      <x:c r="K95" s="59" t="str">
        <x:v>F</x:v>
      </x:c>
      <x:c r="L95" s="62" t="str">
        <x:v>Camp/summer-depth watch entry; no reliable 2026-27 fantasy projection. Verify final NBA contract, roster status and role before draft use.</x:v>
      </x:c>
    </x:row>
    <x:row r="96" ht="20" customHeight="1">
      <x:c r="A96" s="59" t="n">
        <x:v>91</x:v>
      </x:c>
      <x:c r="B96" s="59" t="n">
        <x:v>479</x:v>
      </x:c>
      <x:c r="C96" s="59" t="str">
        <x:v>Christian Shumate</x:v>
      </x:c>
      <x:c r="D96" s="59" t="str">
        <x:v>NOP</x:v>
      </x:c>
      <x:c r="E96" s="58"/>
      <x:c r="F96" s="60"/>
      <x:c r="G96" s="60" t="n">
        <x:v>0</x:v>
      </x:c>
      <x:c r="H96" s="60" t="n">
        <x:v>3.5</x:v>
      </x:c>
      <x:c r="I96" s="58" t="n">
        <x:v>0</x:v>
      </x:c>
      <x:c r="J96" s="59" t="str">
        <x:v>WATCH</x:v>
      </x:c>
      <x:c r="K96" s="59" t="str">
        <x:v>F</x:v>
      </x:c>
      <x:c r="L96" s="62" t="str">
        <x:v>Camp/summer-depth watch entry; no reliable 2026-27 fantasy projection. Verify final NBA contract, roster status and role before draft use.</x:v>
      </x:c>
    </x:row>
    <x:row r="97" ht="20" customHeight="1">
      <x:c r="A97" s="59" t="n">
        <x:v>92</x:v>
      </x:c>
      <x:c r="B97" s="59" t="n">
        <x:v>487</x:v>
      </x:c>
      <x:c r="C97" s="59" t="str">
        <x:v>David Green</x:v>
      </x:c>
      <x:c r="D97" s="59" t="str">
        <x:v>GSW</x:v>
      </x:c>
      <x:c r="E97" s="58"/>
      <x:c r="F97" s="60"/>
      <x:c r="G97" s="60" t="n">
        <x:v>0</x:v>
      </x:c>
      <x:c r="H97" s="60" t="n">
        <x:v>3.5</x:v>
      </x:c>
      <x:c r="I97" s="58" t="n">
        <x:v>0</x:v>
      </x:c>
      <x:c r="J97" s="59" t="str">
        <x:v>WATCH</x:v>
      </x:c>
      <x:c r="K97" s="59" t="str">
        <x:v>F</x:v>
      </x:c>
      <x:c r="L97" s="62" t="str">
        <x:v>Camp/summer-depth watch entry; no reliable 2026-27 fantasy projection. Verify final NBA contract, roster status and role before draft use.</x:v>
      </x:c>
    </x:row>
    <x:row r="98" ht="20" customHeight="1">
      <x:c r="A98" s="59" t="n">
        <x:v>93</x:v>
      </x:c>
      <x:c r="B98" s="59" t="n">
        <x:v>490</x:v>
      </x:c>
      <x:c r="C98" s="59" t="str">
        <x:v>Dawson Garcia</x:v>
      </x:c>
      <x:c r="D98" s="59" t="str">
        <x:v>DET</x:v>
      </x:c>
      <x:c r="E98" s="58"/>
      <x:c r="F98" s="60"/>
      <x:c r="G98" s="60" t="n">
        <x:v>0</x:v>
      </x:c>
      <x:c r="H98" s="60" t="n">
        <x:v>3.5</x:v>
      </x:c>
      <x:c r="I98" s="58" t="n">
        <x:v>0</x:v>
      </x:c>
      <x:c r="J98" s="59" t="str">
        <x:v>WATCH</x:v>
      </x:c>
      <x:c r="K98" s="59" t="str">
        <x:v>F</x:v>
      </x:c>
      <x:c r="L98" s="62" t="str">
        <x:v>Camp/summer-depth watch entry; no reliable 2026-27 fantasy projection. Verify final NBA contract, roster status and role before draft use.</x:v>
      </x:c>
    </x:row>
    <x:row r="99" ht="20" customHeight="1">
      <x:c r="A99" s="59" t="n">
        <x:v>94</x:v>
      </x:c>
      <x:c r="B99" s="59" t="n">
        <x:v>494</x:v>
      </x:c>
      <x:c r="C99" s="59" t="str">
        <x:v>Devin McGlockton</x:v>
      </x:c>
      <x:c r="D99" s="59" t="str">
        <x:v>MIN</x:v>
      </x:c>
      <x:c r="E99" s="58"/>
      <x:c r="F99" s="60"/>
      <x:c r="G99" s="60" t="n">
        <x:v>0</x:v>
      </x:c>
      <x:c r="H99" s="60" t="n">
        <x:v>3.5</x:v>
      </x:c>
      <x:c r="I99" s="58" t="n">
        <x:v>0</x:v>
      </x:c>
      <x:c r="J99" s="59" t="str">
        <x:v>WATCH</x:v>
      </x:c>
      <x:c r="K99" s="59" t="str">
        <x:v>F</x:v>
      </x:c>
      <x:c r="L99" s="62" t="str">
        <x:v>Camp/summer-depth watch entry; no reliable 2026-27 fantasy projection. Verify final NBA contract, roster status and role before draft use.</x:v>
      </x:c>
    </x:row>
    <x:row r="100" ht="20" customHeight="1">
      <x:c r="A100" s="59" t="n">
        <x:v>95</x:v>
      </x:c>
      <x:c r="B100" s="59" t="n">
        <x:v>496</x:v>
      </x:c>
      <x:c r="C100" s="59" t="str">
        <x:v>Dillon Mitchell</x:v>
      </x:c>
      <x:c r="D100" s="59" t="str">
        <x:v>BOS</x:v>
      </x:c>
      <x:c r="E100" s="58"/>
      <x:c r="F100" s="60"/>
      <x:c r="G100" s="60" t="n">
        <x:v>0</x:v>
      </x:c>
      <x:c r="H100" s="60" t="n">
        <x:v>3.5</x:v>
      </x:c>
      <x:c r="I100" s="58" t="n">
        <x:v>0</x:v>
      </x:c>
      <x:c r="J100" s="59" t="str">
        <x:v>WATCH</x:v>
      </x:c>
      <x:c r="K100" s="59" t="str">
        <x:v>F</x:v>
      </x:c>
      <x:c r="L100" s="62" t="str">
        <x:v>Camp/summer-depth watch entry; no reliable 2026-27 fantasy projection. Verify final NBA contract, roster status and role before draft use.</x:v>
      </x:c>
    </x:row>
    <x:row r="101" ht="20" customHeight="1">
      <x:c r="A101" s="59" t="n">
        <x:v>96</x:v>
      </x:c>
      <x:c r="B101" s="59" t="n">
        <x:v>503</x:v>
      </x:c>
      <x:c r="C101" s="59" t="str">
        <x:v>EJ Anosike</x:v>
      </x:c>
      <x:c r="D101" s="59" t="str">
        <x:v>DEN</x:v>
      </x:c>
      <x:c r="E101" s="58"/>
      <x:c r="F101" s="60"/>
      <x:c r="G101" s="60" t="n">
        <x:v>0</x:v>
      </x:c>
      <x:c r="H101" s="60" t="n">
        <x:v>3.5</x:v>
      </x:c>
      <x:c r="I101" s="58" t="n">
        <x:v>0</x:v>
      </x:c>
      <x:c r="J101" s="59" t="str">
        <x:v>WATCH</x:v>
      </x:c>
      <x:c r="K101" s="59" t="str">
        <x:v>PF</x:v>
      </x:c>
      <x:c r="L101" s="62" t="str">
        <x:v>Camp/summer-depth watch entry; no reliable 2026-27 fantasy projection. Verify final NBA contract, roster status and role before draft use.</x:v>
      </x:c>
    </x:row>
    <x:row r="102" ht="20" customHeight="1">
      <x:c r="A102" s="59" t="n">
        <x:v>97</x:v>
      </x:c>
      <x:c r="B102" s="59" t="n">
        <x:v>505</x:v>
      </x:c>
      <x:c r="C102" s="59" t="str">
        <x:v>Elias Ralph</x:v>
      </x:c>
      <x:c r="D102" s="59" t="str">
        <x:v>SAC</x:v>
      </x:c>
      <x:c r="E102" s="58"/>
      <x:c r="F102" s="60"/>
      <x:c r="G102" s="60" t="n">
        <x:v>0</x:v>
      </x:c>
      <x:c r="H102" s="60" t="n">
        <x:v>3.5</x:v>
      </x:c>
      <x:c r="I102" s="58" t="n">
        <x:v>0</x:v>
      </x:c>
      <x:c r="J102" s="59" t="str">
        <x:v>WATCH</x:v>
      </x:c>
      <x:c r="K102" s="59" t="str">
        <x:v>F</x:v>
      </x:c>
      <x:c r="L102" s="62" t="str">
        <x:v>Camp/summer-depth watch entry; no reliable 2026-27 fantasy projection. Verify final NBA contract, roster status and role before draft use.</x:v>
      </x:c>
    </x:row>
    <x:row r="103" ht="20" customHeight="1">
      <x:c r="A103" s="59" t="n">
        <x:v>98</x:v>
      </x:c>
      <x:c r="B103" s="59" t="n">
        <x:v>507</x:v>
      </x:c>
      <x:c r="C103" s="59" t="str">
        <x:v>Eric Dixon</x:v>
      </x:c>
      <x:c r="D103" s="59" t="str">
        <x:v>UTA</x:v>
      </x:c>
      <x:c r="E103" s="58"/>
      <x:c r="F103" s="60"/>
      <x:c r="G103" s="60" t="n">
        <x:v>0</x:v>
      </x:c>
      <x:c r="H103" s="60" t="n">
        <x:v>3.5</x:v>
      </x:c>
      <x:c r="I103" s="58" t="n">
        <x:v>0</x:v>
      </x:c>
      <x:c r="J103" s="59" t="str">
        <x:v>WATCH</x:v>
      </x:c>
      <x:c r="K103" s="59" t="str">
        <x:v>PF</x:v>
      </x:c>
      <x:c r="L103" s="62" t="str">
        <x:v>Camp/summer-depth watch entry; no reliable 2026-27 fantasy projection. Verify final NBA contract, roster status and role before draft use.</x:v>
      </x:c>
    </x:row>
    <x:row r="104" ht="20" customHeight="1">
      <x:c r="A104" s="59" t="n">
        <x:v>99</x:v>
      </x:c>
      <x:c r="B104" s="59" t="n">
        <x:v>509</x:v>
      </x:c>
      <x:c r="C104" s="59" t="str">
        <x:v>Ezra Ausar</x:v>
      </x:c>
      <x:c r="D104" s="59" t="str">
        <x:v>MIA</x:v>
      </x:c>
      <x:c r="E104" s="58"/>
      <x:c r="F104" s="60"/>
      <x:c r="G104" s="60" t="n">
        <x:v>0</x:v>
      </x:c>
      <x:c r="H104" s="60" t="n">
        <x:v>3.5</x:v>
      </x:c>
      <x:c r="I104" s="58" t="n">
        <x:v>0</x:v>
      </x:c>
      <x:c r="J104" s="59" t="str">
        <x:v>WATCH</x:v>
      </x:c>
      <x:c r="K104" s="59" t="str">
        <x:v>PF</x:v>
      </x:c>
      <x:c r="L104" s="62" t="str">
        <x:v>Camp/summer-depth watch entry; no reliable 2026-27 fantasy projection. Verify final NBA contract, roster status and role before draft use.</x:v>
      </x:c>
    </x:row>
    <x:row r="105" ht="20" customHeight="1">
      <x:c r="A105" s="59" t="n">
        <x:v>100</x:v>
      </x:c>
      <x:c r="B105" s="59" t="n">
        <x:v>515</x:v>
      </x:c>
      <x:c r="C105" s="59" t="str">
        <x:v>Gabe McGlothan</x:v>
      </x:c>
      <x:c r="D105" s="59" t="str">
        <x:v>IND</x:v>
      </x:c>
      <x:c r="E105" s="58"/>
      <x:c r="F105" s="60"/>
      <x:c r="G105" s="60" t="n">
        <x:v>0</x:v>
      </x:c>
      <x:c r="H105" s="60" t="n">
        <x:v>3.5</x:v>
      </x:c>
      <x:c r="I105" s="58" t="n">
        <x:v>0</x:v>
      </x:c>
      <x:c r="J105" s="59" t="str">
        <x:v>WATCH</x:v>
      </x:c>
      <x:c r="K105" s="59" t="str">
        <x:v>PF</x:v>
      </x:c>
      <x:c r="L105" s="62" t="str">
        <x:v>Camp/summer-depth watch entry; no reliable 2026-27 fantasy projection. Verify final NBA contract, roster status and role before draft use.</x:v>
      </x:c>
    </x:row>
    <x:row r="106" ht="20" customHeight="1">
      <x:c r="A106" s="59" t="n">
        <x:v>101</x:v>
      </x:c>
      <x:c r="B106" s="59" t="n">
        <x:v>518</x:v>
      </x:c>
      <x:c r="C106" s="59" t="str">
        <x:v>Grant Newell</x:v>
      </x:c>
      <x:c r="D106" s="59" t="str">
        <x:v>CHI</x:v>
      </x:c>
      <x:c r="E106" s="58"/>
      <x:c r="F106" s="60"/>
      <x:c r="G106" s="60" t="n">
        <x:v>0</x:v>
      </x:c>
      <x:c r="H106" s="60" t="n">
        <x:v>3.5</x:v>
      </x:c>
      <x:c r="I106" s="58" t="n">
        <x:v>0</x:v>
      </x:c>
      <x:c r="J106" s="59" t="str">
        <x:v>WATCH</x:v>
      </x:c>
      <x:c r="K106" s="59" t="str">
        <x:v>F</x:v>
      </x:c>
      <x:c r="L106" s="62" t="str">
        <x:v>Camp/summer-depth watch entry; no reliable 2026-27 fantasy projection. Verify final NBA contract, roster status and role before draft use.</x:v>
      </x:c>
    </x:row>
    <x:row r="107" ht="20" customHeight="1">
      <x:c r="A107" s="59" t="n">
        <x:v>102</x:v>
      </x:c>
      <x:c r="B107" s="59" t="n">
        <x:v>525</x:v>
      </x:c>
      <x:c r="C107" s="59" t="str">
        <x:v>Ian Schieffelin</x:v>
      </x:c>
      <x:c r="D107" s="59" t="str">
        <x:v>MIA</x:v>
      </x:c>
      <x:c r="E107" s="58"/>
      <x:c r="F107" s="60"/>
      <x:c r="G107" s="60" t="n">
        <x:v>0</x:v>
      </x:c>
      <x:c r="H107" s="60" t="n">
        <x:v>3.5</x:v>
      </x:c>
      <x:c r="I107" s="58" t="n">
        <x:v>0</x:v>
      </x:c>
      <x:c r="J107" s="59" t="str">
        <x:v>WATCH</x:v>
      </x:c>
      <x:c r="K107" s="59" t="str">
        <x:v>F</x:v>
      </x:c>
      <x:c r="L107" s="62" t="str">
        <x:v>Camp/summer-depth watch entry; no reliable 2026-27 fantasy projection. Verify final NBA contract, roster status and role before draft use.</x:v>
      </x:c>
    </x:row>
    <x:row r="108" ht="20" customHeight="1">
      <x:c r="A108" s="59" t="n">
        <x:v>103</x:v>
      </x:c>
      <x:c r="B108" s="59" t="n">
        <x:v>536</x:v>
      </x:c>
      <x:c r="C108" s="59" t="str">
        <x:v>Jack Clark</x:v>
      </x:c>
      <x:c r="D108" s="59" t="str">
        <x:v>GSW</x:v>
      </x:c>
      <x:c r="E108" s="58"/>
      <x:c r="F108" s="60"/>
      <x:c r="G108" s="60" t="n">
        <x:v>0</x:v>
      </x:c>
      <x:c r="H108" s="60" t="n">
        <x:v>3.5</x:v>
      </x:c>
      <x:c r="I108" s="58" t="n">
        <x:v>0</x:v>
      </x:c>
      <x:c r="J108" s="59" t="str">
        <x:v>WATCH</x:v>
      </x:c>
      <x:c r="K108" s="59" t="str">
        <x:v>F</x:v>
      </x:c>
      <x:c r="L108" s="62" t="str">
        <x:v>Camp/summer-depth watch entry; no reliable 2026-27 fantasy projection. Verify final NBA contract, roster status and role before draft use.</x:v>
      </x:c>
    </x:row>
    <x:row r="109" ht="20" customHeight="1">
      <x:c r="A109" s="59" t="n">
        <x:v>104</x:v>
      </x:c>
      <x:c r="B109" s="59" t="n">
        <x:v>549</x:v>
      </x:c>
      <x:c r="C109" s="59" t="str">
        <x:v>Jalon Moore</x:v>
      </x:c>
      <x:c r="D109" s="59" t="str">
        <x:v>NOP</x:v>
      </x:c>
      <x:c r="E109" s="58"/>
      <x:c r="F109" s="60"/>
      <x:c r="G109" s="60" t="n">
        <x:v>0</x:v>
      </x:c>
      <x:c r="H109" s="60" t="n">
        <x:v>3.5</x:v>
      </x:c>
      <x:c r="I109" s="58" t="n">
        <x:v>0</x:v>
      </x:c>
      <x:c r="J109" s="59" t="str">
        <x:v>WATCH</x:v>
      </x:c>
      <x:c r="K109" s="59" t="str">
        <x:v>F</x:v>
      </x:c>
      <x:c r="L109" s="62" t="str">
        <x:v>Camp/summer-depth watch entry; no reliable 2026-27 fantasy projection. Verify final NBA contract, roster status and role before draft use.</x:v>
      </x:c>
    </x:row>
    <x:row r="110" ht="20" customHeight="1">
      <x:c r="A110" s="59" t="n">
        <x:v>105</x:v>
      </x:c>
      <x:c r="B110" s="59" t="n">
        <x:v>552</x:v>
      </x:c>
      <x:c r="C110" s="59" t="str">
        <x:v>Jaxon Kohler</x:v>
      </x:c>
      <x:c r="D110" s="59" t="str">
        <x:v>UTA</x:v>
      </x:c>
      <x:c r="E110" s="58"/>
      <x:c r="F110" s="60"/>
      <x:c r="G110" s="60" t="n">
        <x:v>0</x:v>
      </x:c>
      <x:c r="H110" s="60" t="n">
        <x:v>3.5</x:v>
      </x:c>
      <x:c r="I110" s="58" t="n">
        <x:v>0</x:v>
      </x:c>
      <x:c r="J110" s="59" t="str">
        <x:v>WATCH</x:v>
      </x:c>
      <x:c r="K110" s="59" t="str">
        <x:v>F</x:v>
      </x:c>
      <x:c r="L110" s="62" t="str">
        <x:v>Camp/summer-depth watch entry; no reliable 2026-27 fantasy projection. Verify final NBA contract, roster status and role before draft use.</x:v>
      </x:c>
    </x:row>
    <x:row r="111" ht="20" customHeight="1">
      <x:c r="A111" s="59" t="n">
        <x:v>106</x:v>
      </x:c>
      <x:c r="B111" s="59" t="n">
        <x:v>561</x:v>
      </x:c>
      <x:c r="C111" s="59" t="str">
        <x:v>Johnny O'Neil</x:v>
      </x:c>
      <x:c r="D111" s="59" t="str">
        <x:v>NOP</x:v>
      </x:c>
      <x:c r="E111" s="58"/>
      <x:c r="F111" s="60"/>
      <x:c r="G111" s="60" t="n">
        <x:v>0</x:v>
      </x:c>
      <x:c r="H111" s="60" t="n">
        <x:v>3.5</x:v>
      </x:c>
      <x:c r="I111" s="58" t="n">
        <x:v>0</x:v>
      </x:c>
      <x:c r="J111" s="59" t="str">
        <x:v>WATCH</x:v>
      </x:c>
      <x:c r="K111" s="59" t="str">
        <x:v>F</x:v>
      </x:c>
      <x:c r="L111" s="62" t="str">
        <x:v>Camp/summer-depth watch entry; no reliable 2026-27 fantasy projection. Verify final NBA contract, roster status and role before draft use.</x:v>
      </x:c>
    </x:row>
    <x:row r="112" ht="20" customHeight="1">
      <x:c r="A112" s="59" t="n">
        <x:v>107</x:v>
      </x:c>
      <x:c r="B112" s="59" t="n">
        <x:v>572</x:v>
      </x:c>
      <x:c r="C112" s="59" t="str">
        <x:v>Keyshawn Bryant</x:v>
      </x:c>
      <x:c r="D112" s="59" t="str">
        <x:v>CHI</x:v>
      </x:c>
      <x:c r="E112" s="58"/>
      <x:c r="F112" s="60"/>
      <x:c r="G112" s="60" t="n">
        <x:v>0</x:v>
      </x:c>
      <x:c r="H112" s="60" t="n">
        <x:v>3.5</x:v>
      </x:c>
      <x:c r="I112" s="58" t="n">
        <x:v>0</x:v>
      </x:c>
      <x:c r="J112" s="59" t="str">
        <x:v>WATCH</x:v>
      </x:c>
      <x:c r="K112" s="59" t="str">
        <x:v>F</x:v>
      </x:c>
      <x:c r="L112" s="62" t="str">
        <x:v>Camp/summer-depth watch entry; no reliable 2026-27 fantasy projection. Verify final NBA contract, roster status and role before draft use.</x:v>
      </x:c>
    </x:row>
    <x:row r="113" ht="20" customHeight="1">
      <x:c r="A113" s="59" t="n">
        <x:v>108</x:v>
      </x:c>
      <x:c r="B113" s="59" t="n">
        <x:v>577</x:v>
      </x:c>
      <x:c r="C113" s="59" t="str">
        <x:v>Kuany Kuany</x:v>
      </x:c>
      <x:c r="D113" s="59" t="str">
        <x:v>MIL</x:v>
      </x:c>
      <x:c r="E113" s="58"/>
      <x:c r="F113" s="60"/>
      <x:c r="G113" s="60" t="n">
        <x:v>0</x:v>
      </x:c>
      <x:c r="H113" s="60" t="n">
        <x:v>3.5</x:v>
      </x:c>
      <x:c r="I113" s="58" t="n">
        <x:v>0</x:v>
      </x:c>
      <x:c r="J113" s="59" t="str">
        <x:v>WATCH</x:v>
      </x:c>
      <x:c r="K113" s="59" t="str">
        <x:v>F</x:v>
      </x:c>
      <x:c r="L113" s="62" t="str">
        <x:v>Camp/summer-depth watch entry; no reliable 2026-27 fantasy projection. Verify final NBA contract, roster status and role before draft use.</x:v>
      </x:c>
    </x:row>
    <x:row r="114" ht="20" customHeight="1">
      <x:c r="A114" s="59" t="n">
        <x:v>109</x:v>
      </x:c>
      <x:c r="B114" s="59" t="n">
        <x:v>583</x:v>
      </x:c>
      <x:c r="C114" s="59" t="str">
        <x:v>Lance Ware</x:v>
      </x:c>
      <x:c r="D114" s="59" t="str">
        <x:v>NYK</x:v>
      </x:c>
      <x:c r="E114" s="58"/>
      <x:c r="F114" s="60"/>
      <x:c r="G114" s="60" t="n">
        <x:v>0</x:v>
      </x:c>
      <x:c r="H114" s="60" t="n">
        <x:v>3.5</x:v>
      </x:c>
      <x:c r="I114" s="58" t="n">
        <x:v>0</x:v>
      </x:c>
      <x:c r="J114" s="59" t="str">
        <x:v>WATCH</x:v>
      </x:c>
      <x:c r="K114" s="59" t="str">
        <x:v>F</x:v>
      </x:c>
      <x:c r="L114" s="62" t="str">
        <x:v>Camp/summer-depth watch entry; no reliable 2026-27 fantasy projection. Verify final NBA contract, roster status and role before draft use.</x:v>
      </x:c>
    </x:row>
    <x:row r="115" ht="20" customHeight="1">
      <x:c r="A115" s="59" t="n">
        <x:v>110</x:v>
      </x:c>
      <x:c r="B115" s="59" t="n">
        <x:v>584</x:v>
      </x:c>
      <x:c r="C115" s="59" t="str">
        <x:v>Langston Wilson</x:v>
      </x:c>
      <x:c r="D115" s="59" t="str">
        <x:v>NYK</x:v>
      </x:c>
      <x:c r="E115" s="58"/>
      <x:c r="F115" s="60"/>
      <x:c r="G115" s="60" t="n">
        <x:v>0</x:v>
      </x:c>
      <x:c r="H115" s="60" t="n">
        <x:v>3.5</x:v>
      </x:c>
      <x:c r="I115" s="58" t="n">
        <x:v>0</x:v>
      </x:c>
      <x:c r="J115" s="59" t="str">
        <x:v>WATCH</x:v>
      </x:c>
      <x:c r="K115" s="59" t="str">
        <x:v>F</x:v>
      </x:c>
      <x:c r="L115" s="62" t="str">
        <x:v>Camp/summer-depth watch entry; no reliable 2026-27 fantasy projection. Verify final NBA contract, roster status and role before draft use.</x:v>
      </x:c>
    </x:row>
    <x:row r="116" ht="20" customHeight="1">
      <x:c r="A116" s="59" t="n">
        <x:v>111</x:v>
      </x:c>
      <x:c r="B116" s="59" t="n">
        <x:v>585</x:v>
      </x:c>
      <x:c r="C116" s="59" t="str">
        <x:v>Latavious Mitchell</x:v>
      </x:c>
      <x:c r="D116" s="59" t="str">
        <x:v>DET</x:v>
      </x:c>
      <x:c r="E116" s="58"/>
      <x:c r="F116" s="60"/>
      <x:c r="G116" s="60" t="n">
        <x:v>0</x:v>
      </x:c>
      <x:c r="H116" s="60" t="n">
        <x:v>3.5</x:v>
      </x:c>
      <x:c r="I116" s="58" t="n">
        <x:v>0</x:v>
      </x:c>
      <x:c r="J116" s="59" t="str">
        <x:v>WATCH</x:v>
      </x:c>
      <x:c r="K116" s="59" t="str">
        <x:v>F</x:v>
      </x:c>
      <x:c r="L116" s="62" t="str">
        <x:v>Camp/summer-depth watch entry; no reliable 2026-27 fantasy projection. Verify final NBA contract, roster status and role before draft use.</x:v>
      </x:c>
    </x:row>
    <x:row r="117" ht="20" customHeight="1">
      <x:c r="A117" s="59" t="n">
        <x:v>112</x:v>
      </x:c>
      <x:c r="B117" s="59" t="n">
        <x:v>588</x:v>
      </x:c>
      <x:c r="C117" s="59" t="str">
        <x:v>Luke Goode</x:v>
      </x:c>
      <x:c r="D117" s="59" t="str">
        <x:v>LAL</x:v>
      </x:c>
      <x:c r="E117" s="58"/>
      <x:c r="F117" s="60"/>
      <x:c r="G117" s="60" t="n">
        <x:v>0</x:v>
      </x:c>
      <x:c r="H117" s="60" t="n">
        <x:v>3.5</x:v>
      </x:c>
      <x:c r="I117" s="58" t="n">
        <x:v>0</x:v>
      </x:c>
      <x:c r="J117" s="59" t="str">
        <x:v>WATCH</x:v>
      </x:c>
      <x:c r="K117" s="59" t="str">
        <x:v>F</x:v>
      </x:c>
      <x:c r="L117" s="62" t="str">
        <x:v>Camp/summer-depth watch entry; no reliable 2026-27 fantasy projection. Verify final NBA contract, roster status and role before draft use.</x:v>
      </x:c>
    </x:row>
    <x:row r="118" ht="20" customHeight="1">
      <x:c r="A118" s="59" t="n">
        <x:v>113</x:v>
      </x:c>
      <x:c r="B118" s="59" t="n">
        <x:v>590</x:v>
      </x:c>
      <x:c r="C118" s="59" t="str">
        <x:v>Malik Reneau</x:v>
      </x:c>
      <x:c r="D118" s="59" t="str">
        <x:v>ORL</x:v>
      </x:c>
      <x:c r="E118" s="58"/>
      <x:c r="F118" s="60"/>
      <x:c r="G118" s="60" t="n">
        <x:v>0</x:v>
      </x:c>
      <x:c r="H118" s="60" t="n">
        <x:v>3.5</x:v>
      </x:c>
      <x:c r="I118" s="58" t="n">
        <x:v>0</x:v>
      </x:c>
      <x:c r="J118" s="59" t="str">
        <x:v>WATCH</x:v>
      </x:c>
      <x:c r="K118" s="59" t="str">
        <x:v>F</x:v>
      </x:c>
      <x:c r="L118" s="62" t="str">
        <x:v>Camp/summer-depth watch entry; no reliable 2026-27 fantasy projection. Verify final NBA contract, roster status and role before draft use.</x:v>
      </x:c>
    </x:row>
    <x:row r="119" ht="20" customHeight="1">
      <x:c r="A119" s="59" t="n">
        <x:v>114</x:v>
      </x:c>
      <x:c r="B119" s="59" t="n">
        <x:v>593</x:v>
      </x:c>
      <x:c r="C119" s="59" t="str">
        <x:v>Maliq Brown</x:v>
      </x:c>
      <x:c r="D119" s="59" t="str">
        <x:v>SAS</x:v>
      </x:c>
      <x:c r="E119" s="58"/>
      <x:c r="F119" s="60"/>
      <x:c r="G119" s="60" t="n">
        <x:v>0</x:v>
      </x:c>
      <x:c r="H119" s="60" t="n">
        <x:v>3.5</x:v>
      </x:c>
      <x:c r="I119" s="58" t="n">
        <x:v>0</x:v>
      </x:c>
      <x:c r="J119" s="59" t="str">
        <x:v>WATCH</x:v>
      </x:c>
      <x:c r="K119" s="59" t="str">
        <x:v>PF</x:v>
      </x:c>
      <x:c r="L119" s="62" t="str">
        <x:v>Camp/summer-depth watch entry; no reliable 2026-27 fantasy projection. Verify final NBA contract, roster status and role before draft use.</x:v>
      </x:c>
    </x:row>
    <x:row r="120" ht="20" customHeight="1">
      <x:c r="A120" s="59" t="n">
        <x:v>115</x:v>
      </x:c>
      <x:c r="B120" s="59" t="n">
        <x:v>594</x:v>
      </x:c>
      <x:c r="C120" s="59" t="str">
        <x:v>Malique Lewis</x:v>
      </x:c>
      <x:c r="D120" s="59" t="str">
        <x:v>MIL</x:v>
      </x:c>
      <x:c r="E120" s="58"/>
      <x:c r="F120" s="60"/>
      <x:c r="G120" s="60" t="n">
        <x:v>0</x:v>
      </x:c>
      <x:c r="H120" s="60" t="n">
        <x:v>3.5</x:v>
      </x:c>
      <x:c r="I120" s="58" t="n">
        <x:v>0</x:v>
      </x:c>
      <x:c r="J120" s="59" t="str">
        <x:v>WATCH</x:v>
      </x:c>
      <x:c r="K120" s="59" t="str">
        <x:v>F</x:v>
      </x:c>
      <x:c r="L120" s="62" t="str">
        <x:v>Camp/summer-depth watch entry; no reliable 2026-27 fantasy projection. Verify final NBA contract, roster status and role before draft use.</x:v>
      </x:c>
    </x:row>
    <x:row r="121" ht="20" customHeight="1">
      <x:c r="A121" s="59" t="n">
        <x:v>116</x:v>
      </x:c>
      <x:c r="B121" s="59" t="n">
        <x:v>595</x:v>
      </x:c>
      <x:c r="C121" s="59" t="str">
        <x:v>Mark Mitchell</x:v>
      </x:c>
      <x:c r="D121" s="59" t="str">
        <x:v>DEN</x:v>
      </x:c>
      <x:c r="E121" s="58"/>
      <x:c r="F121" s="60"/>
      <x:c r="G121" s="60" t="n">
        <x:v>0</x:v>
      </x:c>
      <x:c r="H121" s="60" t="n">
        <x:v>3.5</x:v>
      </x:c>
      <x:c r="I121" s="58" t="n">
        <x:v>0</x:v>
      </x:c>
      <x:c r="J121" s="59" t="str">
        <x:v>WATCH</x:v>
      </x:c>
      <x:c r="K121" s="59" t="str">
        <x:v>F</x:v>
      </x:c>
      <x:c r="L121" s="62" t="str">
        <x:v>Camp/summer-depth watch entry; no reliable 2026-27 fantasy projection. Verify final NBA contract, roster status and role before draft use.</x:v>
      </x:c>
    </x:row>
    <x:row r="122" ht="20" customHeight="1">
      <x:c r="A122" s="59" t="n">
        <x:v>117</x:v>
      </x:c>
      <x:c r="B122" s="59" t="n">
        <x:v>597</x:v>
      </x:c>
      <x:c r="C122" s="59" t="str">
        <x:v>Marquel Sutton</x:v>
      </x:c>
      <x:c r="D122" s="59" t="str">
        <x:v>SAC</x:v>
      </x:c>
      <x:c r="E122" s="58"/>
      <x:c r="F122" s="60"/>
      <x:c r="G122" s="60" t="n">
        <x:v>0</x:v>
      </x:c>
      <x:c r="H122" s="60" t="n">
        <x:v>3.5</x:v>
      </x:c>
      <x:c r="I122" s="58" t="n">
        <x:v>0</x:v>
      </x:c>
      <x:c r="J122" s="59" t="str">
        <x:v>WATCH</x:v>
      </x:c>
      <x:c r="K122" s="59" t="str">
        <x:v>F</x:v>
      </x:c>
      <x:c r="L122" s="62" t="str">
        <x:v>Camp/summer-depth watch entry; no reliable 2026-27 fantasy projection. Verify final NBA contract, roster status and role before draft use.</x:v>
      </x:c>
    </x:row>
    <x:row r="123" ht="20" customHeight="1">
      <x:c r="A123" s="59" t="n">
        <x:v>118</x:v>
      </x:c>
      <x:c r="B123" s="59" t="n">
        <x:v>598</x:v>
      </x:c>
      <x:c r="C123" s="59" t="str">
        <x:v>Matt Rogers</x:v>
      </x:c>
      <x:c r="D123" s="59" t="str">
        <x:v>PHI</x:v>
      </x:c>
      <x:c r="E123" s="58"/>
      <x:c r="F123" s="60"/>
      <x:c r="G123" s="60" t="n">
        <x:v>0</x:v>
      </x:c>
      <x:c r="H123" s="60" t="n">
        <x:v>3.5</x:v>
      </x:c>
      <x:c r="I123" s="58" t="n">
        <x:v>0</x:v>
      </x:c>
      <x:c r="J123" s="59" t="str">
        <x:v>WATCH</x:v>
      </x:c>
      <x:c r="K123" s="59" t="str">
        <x:v>F</x:v>
      </x:c>
      <x:c r="L123" s="62" t="str">
        <x:v>Camp/summer-depth watch entry; no reliable 2026-27 fantasy projection. Verify final NBA contract, roster status and role before draft use.</x:v>
      </x:c>
    </x:row>
  </x:sheetData>
  <x:mergeCells>
    <x:mergeCell ref="A1:K1"/>
    <x:mergeCell ref="A2:K3"/>
  </x:mergeCells>
  <x:conditionalFormatting sqref="J6:J26">
    <x:cfRule type="expression" dxfId="8" priority="1">
      <x:formula>OR(J6="HIGH",J6="IR / RETURN")</x:formula>
    </x:cfRule>
    <x:cfRule type="expression" dxfId="9" priority="2">
      <x:formula>OR(J6="MEDIUM",J6="CONTRACT")</x:formula>
    </x:cfRule>
  </x:conditionalFormatting>
  <x:conditionalFormatting sqref="J6:J123">
    <x:cfRule type="expression" dxfId="23" priority="4">
      <x:formula>$J6="WATCH"</x:formula>
    </x:cfRule>
    <x:cfRule type="expression" dxfId="34" priority="6">
      <x:formula>$J6="WATCH"</x:formula>
    </x:cfRule>
  </x:conditionalFormatting>
  <x:conditionalFormatting sqref="A6:L123">
    <x:cfRule type="expression" dxfId="33" priority="5">
      <x:formula>MOD(ROW(),2)=0</x:formula>
    </x:cfRule>
  </x:conditionalFormatting>
  <x:pageMargins left="0.7" right="0.7" top="0.75" bottom="0.75" header="0.3" footer="0.3"/>
  <x:tableParts count="1">
    <x:tablePart xmlns:r="http://schemas.openxmlformats.org/officeDocument/2006/relationships" r:id="R01439ec3ab1f4936"/>
  </x:tableParts>
</x:worksheet>
</file>

<file path=xl/worksheets/sheet7.xml><?xml version="1.0" encoding="utf-8"?>
<x:worksheet xmlns:x="http://schemas.openxmlformats.org/spreadsheetml/2006/main">
  <x:sheetFormatPr defaultRowHeight="15"/>
  <x:cols>
    <x:col min="1" max="1" width="10" hidden="0" customWidth="1"/>
    <x:col min="2" max="2" width="9" hidden="0" customWidth="1"/>
    <x:col min="3" max="3" width="24" hidden="0" customWidth="1"/>
    <x:col min="4" max="4" width="8" hidden="0" customWidth="1"/>
    <x:col min="5" max="5" width="11" hidden="0" customWidth="1"/>
    <x:col min="6" max="6" width="13" hidden="0" customWidth="1"/>
    <x:col min="7" max="7" width="11" hidden="0" customWidth="1"/>
    <x:col min="8" max="8" width="11" hidden="0" customWidth="1"/>
    <x:col min="9" max="9" width="11" hidden="0" customWidth="1"/>
    <x:col min="10" max="10" width="13" hidden="0" customWidth="1"/>
    <x:col min="11" max="11" width="16" hidden="0" customWidth="1"/>
    <x:col min="12" max="12" width="52" hidden="0" customWidth="1"/>
  </x:cols>
  <x:sheetData>
    <x:row r="1" ht="30" customHeight="1">
      <x:c r="A1" s="88" t="str">
        <x:v>C | POSITIONAL DRAFT PRIORITY — 600 PLAYER MASTER</x:v>
      </x:c>
      <x:c r="B1" s="88"/>
      <x:c r="C1" s="88"/>
      <x:c r="D1" s="88"/>
      <x:c r="E1" s="88"/>
      <x:c r="F1" s="88"/>
      <x:c r="G1" s="88"/>
      <x:c r="H1" s="88"/>
      <x:c r="I1" s="88"/>
      <x:c r="J1" s="88"/>
      <x:c r="K1" s="88"/>
      <x:c r="L1" s="89"/>
    </x:row>
    <x:row r="2" ht="23" customHeight="1">
      <x:c r="A2" s="90" t="str">
        <x:v>Draft-day refresh Oct. 10, 2026 • full 600-player master • top 150 refreshed with current projections and live availability context</x:v>
      </x:c>
      <x:c r="B2" s="90"/>
      <x:c r="C2" s="90"/>
      <x:c r="D2" s="90"/>
      <x:c r="E2" s="90"/>
      <x:c r="F2" s="90"/>
      <x:c r="G2" s="90"/>
      <x:c r="H2" s="90"/>
      <x:c r="I2" s="90"/>
      <x:c r="J2" s="90"/>
      <x:c r="K2" s="90"/>
      <x:c r="L2" s="91"/>
    </x:row>
    <x:row r="3" ht="23" customHeight="1">
      <x:c r="A3" s="42"/>
      <x:c r="B3" s="42"/>
      <x:c r="C3" s="42"/>
      <x:c r="D3" s="42"/>
      <x:c r="E3" s="42"/>
      <x:c r="F3" s="42"/>
      <x:c r="G3" s="42"/>
      <x:c r="H3" s="42"/>
      <x:c r="I3" s="42"/>
      <x:c r="J3" s="42"/>
      <x:c r="K3" s="42"/>
      <x:c r="L3" s="7"/>
    </x:row>
    <x:row r="5" ht="36" customHeight="1">
      <x:c r="A5" s="44" t="str">
        <x:v>Pos. rank</x:v>
      </x:c>
      <x:c r="B5" s="44" t="str">
        <x:v>Overall</x:v>
      </x:c>
      <x:c r="C5" s="44" t="str">
        <x:v>Player</x:v>
      </x:c>
      <x:c r="D5" s="44" t="str">
        <x:v>Team</x:v>
      </x:c>
      <x:c r="E5" s="44" t="str">
        <x:v>2025-26 GP</x:v>
      </x:c>
      <x:c r="F5" s="44" t="str">
        <x:v>2025-26 FP/G</x:v>
      </x:c>
      <x:c r="G5" s="44" t="str">
        <x:v>2026 low</x:v>
      </x:c>
      <x:c r="H5" s="44" t="str">
        <x:v>2026 high</x:v>
      </x:c>
      <x:c r="I5" s="44" t="str">
        <x:v>Planning GP</x:v>
      </x:c>
      <x:c r="J5" s="44" t="str">
        <x:v>Risk</x:v>
      </x:c>
      <x:c r="K5" s="44" t="str">
        <x:v>Source position tags</x:v>
      </x:c>
      <x:c r="L5" s="44" t="str">
        <x:v>Draft rationale</x:v>
      </x:c>
    </x:row>
    <x:row r="6" ht="20" customHeight="1">
      <x:c r="A6" s="59" t="n">
        <x:v>1</x:v>
      </x:c>
      <x:c r="B6" s="59" t="n">
        <x:v>1</x:v>
      </x:c>
      <x:c r="C6" s="59" t="str">
        <x:v>Nikola Jokic</x:v>
      </x:c>
      <x:c r="D6" s="59" t="str">
        <x:v>DEN</x:v>
      </x:c>
      <x:c r="E6" s="58" t="n">
        <x:v>65</x:v>
      </x:c>
      <x:c r="F6" s="60" t="n">
        <x:v>68.15</x:v>
      </x:c>
      <x:c r="G6" s="60" t="n">
        <x:v>64.2253229466321</x:v>
      </x:c>
      <x:c r="H6" s="60" t="n">
        <x:v>71.2253229466321</x:v>
      </x:c>
      <x:c r="I6" s="58" t="n">
        <x:v>75</x:v>
      </x:c>
      <x:c r="J6" s="59" t="str">
        <x:v>STANDARD</x:v>
      </x:c>
      <x:c r="K6" s="59" t="str">
        <x:v>C</x:v>
      </x:c>
      <x:c r="L6" s="62" t="str">
        <x:v>Best overall fit: scoring efficiency, assists and offensive boards; clear first pick.</x:v>
      </x:c>
    </x:row>
    <x:row r="7" ht="20" customHeight="1">
      <x:c r="A7" s="59" t="n">
        <x:v>2</x:v>
      </x:c>
      <x:c r="B7" s="59" t="n">
        <x:v>5</x:v>
      </x:c>
      <x:c r="C7" s="59" t="str">
        <x:v>Victor Wembanyama</x:v>
      </x:c>
      <x:c r="D7" s="59" t="str">
        <x:v>SAS</x:v>
      </x:c>
      <x:c r="E7" s="58" t="n">
        <x:v>64</x:v>
      </x:c>
      <x:c r="F7" s="60" t="n">
        <x:v>53.800000000000004</x:v>
      </x:c>
      <x:c r="G7" s="60" t="n">
        <x:v>48.56869647611466</x:v>
      </x:c>
      <x:c r="H7" s="60" t="n">
        <x:v>59.56869647611466</x:v>
      </x:c>
      <x:c r="I7" s="58" t="n">
        <x:v>73</x:v>
      </x:c>
      <x:c r="J7" s="59" t="str">
        <x:v>MEDIUM</x:v>
      </x:c>
      <x:c r="K7" s="59" t="str">
        <x:v>C</x:v>
      </x:c>
      <x:c r="L7" s="62" t="str">
        <x:v>Elite, but blocks count only 1.5 here. Do not import a category-league No. 1 valuation.</x:v>
      </x:c>
    </x:row>
    <x:row r="8" ht="20" customHeight="1">
      <x:c r="A8" s="59" t="n">
        <x:v>3</x:v>
      </x:c>
      <x:c r="B8" s="59" t="n">
        <x:v>6</x:v>
      </x:c>
      <x:c r="C8" s="59" t="str">
        <x:v>Karl-Anthony Towns</x:v>
      </x:c>
      <x:c r="D8" s="59" t="str">
        <x:v>NYK</x:v>
      </x:c>
      <x:c r="E8" s="58" t="n">
        <x:v>75</x:v>
      </x:c>
      <x:c r="F8" s="60" t="n">
        <x:v>45.85</x:v>
      </x:c>
      <x:c r="G8" s="60" t="n">
        <x:v>45.14631987304449</x:v>
      </x:c>
      <x:c r="H8" s="60" t="n">
        <x:v>52.14631987304449</x:v>
      </x:c>
      <x:c r="I8" s="58" t="n">
        <x:v>74</x:v>
      </x:c>
      <x:c r="J8" s="59" t="str">
        <x:v>STANDARD</x:v>
      </x:c>
      <x:c r="K8" s="59" t="str">
        <x:v>PF/C</x:v>
      </x:c>
      <x:c r="L8" s="62" t="str">
        <x:v>Premium combination of offensive rebounding, shooting and scoring for this formula.</x:v>
      </x:c>
    </x:row>
    <x:row r="9" ht="20" customHeight="1">
      <x:c r="A9" s="59" t="n">
        <x:v>4</x:v>
      </x:c>
      <x:c r="B9" s="59" t="n">
        <x:v>12</x:v>
      </x:c>
      <x:c r="C9" s="59" t="str">
        <x:v>Domantas Sabonis</x:v>
      </x:c>
      <x:c r="D9" s="59" t="str">
        <x:v>SAC</x:v>
      </x:c>
      <x:c r="E9" s="58" t="n">
        <x:v>19</x:v>
      </x:c>
      <x:c r="F9" s="60" t="n">
        <x:v>39.849999999999994</x:v>
      </x:c>
      <x:c r="G9" s="60" t="n">
        <x:v>42.02489100370942</x:v>
      </x:c>
      <x:c r="H9" s="60" t="n">
        <x:v>53.02489100370942</x:v>
      </x:c>
      <x:c r="I9" s="58" t="n">
        <x:v>70</x:v>
      </x:c>
      <x:c r="J9" s="59" t="str">
        <x:v>MEDIUM</x:v>
      </x:c>
      <x:c r="K9" s="59" t="str">
        <x:v>C/PF</x:v>
      </x:c>
      <x:c r="L9" s="62" t="str">
        <x:v>Preseason absence/issue merits a small buffer, not a major downgrade absent a serious timetable.</x:v>
      </x:c>
    </x:row>
    <x:row r="10" ht="20" customHeight="1">
      <x:c r="A10" s="59" t="n">
        <x:v>5</x:v>
      </x:c>
      <x:c r="B10" s="59" t="n">
        <x:v>13</x:v>
      </x:c>
      <x:c r="C10" s="59" t="str">
        <x:v>Jalen Duren</x:v>
      </x:c>
      <x:c r="D10" s="59" t="str">
        <x:v>DET</x:v>
      </x:c>
      <x:c r="E10" s="58" t="n">
        <x:v>70</x:v>
      </x:c>
      <x:c r="F10" s="60" t="n">
        <x:v>46.20000000000001</x:v>
      </x:c>
      <x:c r="G10" s="60" t="n">
        <x:v>42.40592283030289</x:v>
      </x:c>
      <x:c r="H10" s="60" t="n">
        <x:v>49.40592283030289</x:v>
      </x:c>
      <x:c r="I10" s="58" t="n">
        <x:v>73</x:v>
      </x:c>
      <x:c r="J10" s="59" t="str">
        <x:v>STANDARD</x:v>
      </x:c>
      <x:c r="K10" s="59" t="str">
        <x:v>C</x:v>
      </x:c>
      <x:c r="L10" s="62" t="str">
        <x:v>Contract resolved: five-year extension signed; back practicing and expected to play in preseason. Remove prior holdout/contract discount.</x:v>
      </x:c>
    </x:row>
    <x:row r="11" ht="20" customHeight="1">
      <x:c r="A11" s="59" t="n">
        <x:v>6</x:v>
      </x:c>
      <x:c r="B11" s="59" t="n">
        <x:v>14</x:v>
      </x:c>
      <x:c r="C11" s="59" t="str">
        <x:v>Alperen Sengun</x:v>
      </x:c>
      <x:c r="D11" s="59" t="str">
        <x:v>HOU</x:v>
      </x:c>
      <x:c r="E11" s="58" t="n">
        <x:v>72</x:v>
      </x:c>
      <x:c r="F11" s="60" t="n">
        <x:v>45.449999999999996</x:v>
      </x:c>
      <x:c r="G11" s="60" t="n">
        <x:v>40.20955840348095</x:v>
      </x:c>
      <x:c r="H11" s="60" t="n">
        <x:v>47.20955840348095</x:v>
      </x:c>
      <x:c r="I11" s="58" t="n">
        <x:v>75</x:v>
      </x:c>
      <x:c r="J11" s="59" t="str">
        <x:v>STANDARD</x:v>
      </x:c>
      <x:c r="K11" s="59" t="str">
        <x:v>C/PF</x:v>
      </x:c>
      <x:c r="L11" s="62" t="str">
        <x:v>High-value big-man blend; slight growth adjustment, not an assumption of unlimited touches.</x:v>
      </x:c>
    </x:row>
    <x:row r="12" ht="20" customHeight="1">
      <x:c r="A12" s="59" t="n">
        <x:v>7</x:v>
      </x:c>
      <x:c r="B12" s="59" t="n">
        <x:v>27</x:v>
      </x:c>
      <x:c r="C12" s="59" t="str">
        <x:v>Bam Adebayo</x:v>
      </x:c>
      <x:c r="D12" s="59" t="str">
        <x:v>MIA</x:v>
      </x:c>
      <x:c r="E12" s="58" t="n">
        <x:v>73</x:v>
      </x:c>
      <x:c r="F12" s="60" t="n">
        <x:v>42.15</x:v>
      </x:c>
      <x:c r="G12" s="60" t="n">
        <x:v>37.98360754913734</x:v>
      </x:c>
      <x:c r="H12" s="60" t="n">
        <x:v>44.98360754913734</x:v>
      </x:c>
      <x:c r="I12" s="58" t="n">
        <x:v>76</x:v>
      </x:c>
      <x:c r="J12" s="59" t="str">
        <x:v>STANDARD</x:v>
      </x:c>
      <x:c r="K12" s="59" t="str">
        <x:v>C/PF</x:v>
      </x:c>
      <x:c r="L12" s="62" t="str">
        <x:v>Giannis shares interior work. Small downgrade beyond the baseline projection.</x:v>
      </x:c>
    </x:row>
    <x:row r="13" ht="20" customHeight="1">
      <x:c r="A13" s="59" t="n">
        <x:v>8</x:v>
      </x:c>
      <x:c r="B13" s="59" t="n">
        <x:v>30</x:v>
      </x:c>
      <x:c r="C13" s="59" t="str">
        <x:v>Joel Embiid</x:v>
      </x:c>
      <x:c r="D13" s="59" t="str">
        <x:v>PHI</x:v>
      </x:c>
      <x:c r="E13" s="58" t="n">
        <x:v>38</x:v>
      </x:c>
      <x:c r="F13" s="60" t="n">
        <x:v>48.95</x:v>
      </x:c>
      <x:c r="G13" s="60" t="n">
        <x:v>39.643514993605265</x:v>
      </x:c>
      <x:c r="H13" s="60" t="n">
        <x:v>55.643514993605265</x:v>
      </x:c>
      <x:c r="I13" s="58" t="n">
        <x:v>55</x:v>
      </x:c>
      <x:c r="J13" s="59" t="str">
        <x:v>HIGH</x:v>
      </x:c>
      <x:c r="K13" s="59" t="str">
        <x:v>C</x:v>
      </x:c>
      <x:c r="L13" s="62" t="str">
        <x:v>Healthy enough for preseason work, but recent availability remains too volatile to price at pure per-game value.</x:v>
      </x:c>
    </x:row>
    <x:row r="14" ht="20" customHeight="1">
      <x:c r="A14" s="59" t="n">
        <x:v>9</x:v>
      </x:c>
      <x:c r="B14" s="59" t="n">
        <x:v>37</x:v>
      </x:c>
      <x:c r="C14" s="59" t="str">
        <x:v>Ivica Zubac</x:v>
      </x:c>
      <x:c r="D14" s="59" t="str">
        <x:v>IND</x:v>
      </x:c>
      <x:c r="E14" s="58" t="n">
        <x:v>48</x:v>
      </x:c>
      <x:c r="F14" s="60" t="n">
        <x:v>36.4</x:v>
      </x:c>
      <x:c r="G14" s="60" t="n">
        <x:v>37.54040847711315</x:v>
      </x:c>
      <x:c r="H14" s="60" t="n">
        <x:v>44.54040847711315</x:v>
      </x:c>
      <x:c r="I14" s="58" t="n">
        <x:v>74</x:v>
      </x:c>
      <x:c r="J14" s="59" t="str">
        <x:v>STANDARD</x:v>
      </x:c>
      <x:c r="K14" s="59" t="str">
        <x:v>C</x:v>
      </x:c>
      <x:c r="L14" s="62" t="str">
        <x:v>Excellent efficient rebounder; Haliburton pairing supports his Indiana role.</x:v>
      </x:c>
    </x:row>
    <x:row r="15" ht="20" customHeight="1">
      <x:c r="A15" s="59" t="n">
        <x:v>10</x:v>
      </x:c>
      <x:c r="B15" s="59" t="n">
        <x:v>42</x:v>
      </x:c>
      <x:c r="C15" s="59" t="str">
        <x:v>Jarrett Allen</x:v>
      </x:c>
      <x:c r="D15" s="59" t="str">
        <x:v>CLE</x:v>
      </x:c>
      <x:c r="E15" s="58" t="n">
        <x:v>56</x:v>
      </x:c>
      <x:c r="F15" s="60" t="n">
        <x:v>36.9</x:v>
      </x:c>
      <x:c r="G15" s="60" t="n">
        <x:v>35.43499734468319</x:v>
      </x:c>
      <x:c r="H15" s="60" t="n">
        <x:v>42.43499734468319</x:v>
      </x:c>
      <x:c r="I15" s="58" t="n">
        <x:v>75</x:v>
      </x:c>
      <x:c r="J15" s="59" t="str">
        <x:v>STANDARD</x:v>
      </x:c>
      <x:c r="K15" s="59" t="str">
        <x:v>C</x:v>
      </x:c>
      <x:c r="L15" s="62" t="str">
        <x:v>Strong value when offensive rebounds and efficient finishes are rewarded.</x:v>
      </x:c>
    </x:row>
    <x:row r="16" ht="20" customHeight="1">
      <x:c r="A16" s="59" t="n">
        <x:v>11</x:v>
      </x:c>
      <x:c r="B16" s="59" t="n">
        <x:v>45</x:v>
      </x:c>
      <x:c r="C16" s="59" t="str">
        <x:v>Chet Holmgren</x:v>
      </x:c>
      <x:c r="D16" s="59" t="str">
        <x:v>OKC</x:v>
      </x:c>
      <x:c r="E16" s="58" t="n">
        <x:v>69</x:v>
      </x:c>
      <x:c r="F16" s="60" t="n">
        <x:v>38.300000000000004</x:v>
      </x:c>
      <x:c r="G16" s="60" t="n">
        <x:v>32.25327000707016</x:v>
      </x:c>
      <x:c r="H16" s="60" t="n">
        <x:v>43.25327000707016</x:v>
      </x:c>
      <x:c r="I16" s="58" t="n">
        <x:v>72</x:v>
      </x:c>
      <x:c r="J16" s="59" t="str">
        <x:v>MEDIUM</x:v>
      </x:c>
      <x:c r="K16" s="59" t="str">
        <x:v>PF/C</x:v>
      </x:c>
      <x:c r="L16" s="62" t="str">
        <x:v>Good efficiency, but modest block weighting keeps category-league hype in check.</x:v>
      </x:c>
    </x:row>
    <x:row r="17" ht="20" customHeight="1">
      <x:c r="A17" s="59" t="n">
        <x:v>12</x:v>
      </x:c>
      <x:c r="B17" s="59" t="n">
        <x:v>48</x:v>
      </x:c>
      <x:c r="C17" s="59" t="str">
        <x:v>Walker Kessler</x:v>
      </x:c>
      <x:c r="D17" s="59" t="str">
        <x:v>LAL</x:v>
      </x:c>
      <x:c r="E17" s="58" t="n">
        <x:v>5</x:v>
      </x:c>
      <x:c r="F17" s="60" t="n">
        <x:v>43.800000000000004</x:v>
      </x:c>
      <x:c r="G17" s="60" t="n">
        <x:v>33.97681272413624</x:v>
      </x:c>
      <x:c r="H17" s="60" t="n">
        <x:v>44.97681272413624</x:v>
      </x:c>
      <x:c r="I17" s="58" t="n">
        <x:v>68</x:v>
      </x:c>
      <x:c r="J17" s="59" t="str">
        <x:v>MEDIUM</x:v>
      </x:c>
      <x:c r="K17" s="59" t="str">
        <x:v>C</x:v>
      </x:c>
      <x:c r="L17" s="62" t="str">
        <x:v>Finger injury has kept him out of preseason games; role remains strong, but add a small health buffer.</x:v>
      </x:c>
    </x:row>
    <x:row r="18" ht="20" customHeight="1">
      <x:c r="A18" s="59" t="n">
        <x:v>13</x:v>
      </x:c>
      <x:c r="B18" s="59" t="n">
        <x:v>50</x:v>
      </x:c>
      <x:c r="C18" s="59" t="str">
        <x:v>Rudy Gobert</x:v>
      </x:c>
      <x:c r="D18" s="59" t="str">
        <x:v>MIN</x:v>
      </x:c>
      <x:c r="E18" s="58" t="n">
        <x:v>76</x:v>
      </x:c>
      <x:c r="F18" s="60" t="n">
        <x:v>36.45</x:v>
      </x:c>
      <x:c r="G18" s="60" t="n">
        <x:v>34.045038123851285</x:v>
      </x:c>
      <x:c r="H18" s="60" t="n">
        <x:v>41.045038123851285</x:v>
      </x:c>
      <x:c r="I18" s="58" t="n">
        <x:v>74</x:v>
      </x:c>
      <x:c r="J18" s="59" t="str">
        <x:v>STANDARD</x:v>
      </x:c>
      <x:c r="K18" s="59" t="str">
        <x:v>C</x:v>
      </x:c>
      <x:c r="L18" s="62" t="str">
        <x:v>Useful custom-format target; rebounds and low-turnover finishing offset weaker free throws.</x:v>
      </x:c>
    </x:row>
    <x:row r="19" ht="20" customHeight="1">
      <x:c r="A19" s="59" t="n">
        <x:v>14</x:v>
      </x:c>
      <x:c r="B19" s="59" t="n">
        <x:v>51</x:v>
      </x:c>
      <x:c r="C19" s="59" t="str">
        <x:v>Donovan Clingan</x:v>
      </x:c>
      <x:c r="D19" s="59" t="str">
        <x:v>POR</x:v>
      </x:c>
      <x:c r="E19" s="58" t="n">
        <x:v>77</x:v>
      </x:c>
      <x:c r="F19" s="60" t="n">
        <x:v>39.6</x:v>
      </x:c>
      <x:c r="G19" s="60" t="n">
        <x:v>33.39160032691505</x:v>
      </x:c>
      <x:c r="H19" s="60" t="n">
        <x:v>40.39160032691505</x:v>
      </x:c>
      <x:c r="I19" s="58" t="n">
        <x:v>74</x:v>
      </x:c>
      <x:c r="J19" s="59" t="str">
        <x:v>STANDARD</x:v>
      </x:c>
      <x:c r="K19" s="59" t="str">
        <x:v>C</x:v>
      </x:c>
      <x:c r="L19" s="62" t="str">
        <x:v>OREB bonus is the appeal; modest upgrade from conservative projected minutes.</x:v>
      </x:c>
    </x:row>
    <x:row r="20" ht="20" customHeight="1">
      <x:c r="A20" s="59" t="n">
        <x:v>15</x:v>
      </x:c>
      <x:c r="B20" s="59" t="n">
        <x:v>71</x:v>
      </x:c>
      <x:c r="C20" s="59" t="str">
        <x:v>Onyeka Okongwu</x:v>
      </x:c>
      <x:c r="D20" s="59" t="str">
        <x:v>ATL</x:v>
      </x:c>
      <x:c r="E20" s="58" t="n">
        <x:v>74</x:v>
      </x:c>
      <x:c r="F20" s="60" t="n">
        <x:v>34.699999999999996</x:v>
      </x:c>
      <x:c r="G20" s="60" t="n">
        <x:v>29.491195617502257</x:v>
      </x:c>
      <x:c r="H20" s="60" t="n">
        <x:v>36.49119561750226</x:v>
      </x:c>
      <x:c r="I20" s="58" t="n">
        <x:v>75</x:v>
      </x:c>
      <x:c r="J20" s="59" t="str">
        <x:v>STANDARD</x:v>
      </x:c>
      <x:c r="K20" s="59" t="str">
        <x:v>C</x:v>
      </x:c>
      <x:c r="L20" s="62" t="str">
        <x:v>Useful efficient big-man depth; offensive boards matter more than block hype.</x:v>
      </x:c>
    </x:row>
    <x:row r="21" ht="20" customHeight="1">
      <x:c r="A21" s="59" t="n">
        <x:v>16</x:v>
      </x:c>
      <x:c r="B21" s="59" t="n">
        <x:v>80</x:v>
      </x:c>
      <x:c r="C21" s="59" t="str">
        <x:v>Jakob Poeltl</x:v>
      </x:c>
      <x:c r="D21" s="59" t="str">
        <x:v>TOR</x:v>
      </x:c>
      <x:c r="E21" s="58" t="n">
        <x:v>46</x:v>
      </x:c>
      <x:c r="F21" s="60" t="n">
        <x:v>29.35</x:v>
      </x:c>
      <x:c r="G21" s="60" t="n">
        <x:v>26.99522809793126</x:v>
      </x:c>
      <x:c r="H21" s="60" t="n">
        <x:v>37.99522809793126</x:v>
      </x:c>
      <x:c r="I21" s="58" t="n">
        <x:v>72</x:v>
      </x:c>
      <x:c r="J21" s="59" t="str">
        <x:v>MEDIUM</x:v>
      </x:c>
      <x:c r="K21" s="59" t="str">
        <x:v>C</x:v>
      </x:c>
      <x:c r="L21" s="62" t="str">
        <x:v>Efficient center target when available; veteran workload is a meaningful check.</x:v>
      </x:c>
    </x:row>
    <x:row r="22" ht="20" customHeight="1">
      <x:c r="A22" s="59" t="n">
        <x:v>17</x:v>
      </x:c>
      <x:c r="B22" s="59" t="n">
        <x:v>85</x:v>
      </x:c>
      <x:c r="C22" s="59" t="str">
        <x:v>Isaiah Hartenstein</x:v>
      </x:c>
      <x:c r="D22" s="59" t="str">
        <x:v>OKC</x:v>
      </x:c>
      <x:c r="E22" s="58" t="n">
        <x:v>47</x:v>
      </x:c>
      <x:c r="F22" s="60" t="n">
        <x:v>32.150000000000006</x:v>
      </x:c>
      <x:c r="G22" s="60" t="n">
        <x:v>26.56377602795029</x:v>
      </x:c>
      <x:c r="H22" s="60" t="n">
        <x:v>37.56377602795029</x:v>
      </x:c>
      <x:c r="I22" s="58" t="n">
        <x:v>67</x:v>
      </x:c>
      <x:c r="J22" s="59" t="str">
        <x:v>MEDIUM</x:v>
      </x:c>
      <x:c r="K22" s="59" t="str">
        <x:v>C</x:v>
      </x:c>
      <x:c r="L22" s="62" t="str">
        <x:v>Strong per-minute profile; actual minutes cap the ceiling.</x:v>
      </x:c>
    </x:row>
    <x:row r="23" ht="20" customHeight="1">
      <x:c r="A23" s="59" t="n">
        <x:v>18</x:v>
      </x:c>
      <x:c r="B23" s="59" t="n">
        <x:v>87</x:v>
      </x:c>
      <x:c r="C23" s="59" t="str">
        <x:v>Alex Sarr</x:v>
      </x:c>
      <x:c r="D23" s="59" t="str">
        <x:v>WAS</x:v>
      </x:c>
      <x:c r="E23" s="58" t="n">
        <x:v>48</x:v>
      </x:c>
      <x:c r="F23" s="60" t="n">
        <x:v>35.05</x:v>
      </x:c>
      <x:c r="G23" s="60" t="n">
        <x:v>26.165514867456594</x:v>
      </x:c>
      <x:c r="H23" s="60" t="n">
        <x:v>37.165514867456594</x:v>
      </x:c>
      <x:c r="I23" s="58" t="n">
        <x:v>72</x:v>
      </x:c>
      <x:c r="J23" s="59" t="str">
        <x:v>MEDIUM</x:v>
      </x:c>
      <x:c r="K23" s="59" t="str">
        <x:v>C/PF</x:v>
      </x:c>
      <x:c r="L23" s="62" t="str">
        <x:v>Washington's Davis/Ayton frontcourt creates role uncertainty; incremental downgrade.</x:v>
      </x:c>
    </x:row>
    <x:row r="24" ht="20" customHeight="1">
      <x:c r="A24" s="59" t="n">
        <x:v>19</x:v>
      </x:c>
      <x:c r="B24" s="59" t="n">
        <x:v>88</x:v>
      </x:c>
      <x:c r="C24" s="59" t="str">
        <x:v>Zach Edey</x:v>
      </x:c>
      <x:c r="D24" s="59" t="str">
        <x:v>MEM</x:v>
      </x:c>
      <x:c r="E24" s="58" t="n">
        <x:v>11</x:v>
      </x:c>
      <x:c r="F24" s="60" t="n">
        <x:v>37.50000000000001</x:v>
      </x:c>
      <x:c r="G24" s="60" t="n">
        <x:v>24.97196182337504</x:v>
      </x:c>
      <x:c r="H24" s="60" t="n">
        <x:v>40.97196182337504</x:v>
      </x:c>
      <x:c r="I24" s="58" t="n">
        <x:v>70</x:v>
      </x:c>
      <x:c r="J24" s="59" t="str">
        <x:v>HIGH</x:v>
      </x:c>
      <x:c r="K24" s="59" t="str">
        <x:v>C</x:v>
      </x:c>
      <x:c r="L24" s="62" t="str">
        <x:v>Ankle recovery and rotation competition; excellent per-minute upside, insecure workload.</x:v>
      </x:c>
    </x:row>
    <x:row r="25" ht="20" customHeight="1">
      <x:c r="A25" s="59" t="n">
        <x:v>20</x:v>
      </x:c>
      <x:c r="B25" s="59" t="n">
        <x:v>96</x:v>
      </x:c>
      <x:c r="C25" s="59" t="str">
        <x:v>Mark Williams</x:v>
      </x:c>
      <x:c r="D25" s="59" t="str">
        <x:v>PHX</x:v>
      </x:c>
      <x:c r="E25" s="58" t="n">
        <x:v>60</x:v>
      </x:c>
      <x:c r="F25" s="60" t="n">
        <x:v>32.15</x:v>
      </x:c>
      <x:c r="G25" s="60" t="n">
        <x:v>25.18058727245073</x:v>
      </x:c>
      <x:c r="H25" s="60" t="n">
        <x:v>41.18058727245073</x:v>
      </x:c>
      <x:c r="I25" s="58" t="n">
        <x:v>50</x:v>
      </x:c>
      <x:c r="J25" s="59" t="str">
        <x:v>HIGH</x:v>
      </x:c>
      <x:c r="K25" s="59" t="str">
        <x:v>C</x:v>
      </x:c>
      <x:c r="L25" s="62" t="str">
        <x:v>Availability discount; 50 GP is a planning assumption, not a prognosis.</x:v>
      </x:c>
    </x:row>
    <x:row r="26" ht="20" customHeight="1">
      <x:c r="A26" s="59" t="n">
        <x:v>21</x:v>
      </x:c>
      <x:c r="B26" s="59" t="n">
        <x:v>100</x:v>
      </x:c>
      <x:c r="C26" s="59" t="str">
        <x:v>Nic Claxton</x:v>
      </x:c>
      <x:c r="D26" s="59" t="str">
        <x:v>CHI</x:v>
      </x:c>
      <x:c r="E26" s="58" t="n">
        <x:v>69</x:v>
      </x:c>
      <x:c r="F26" s="60" t="n">
        <x:v>31.099999999999998</x:v>
      </x:c>
      <x:c r="G26" s="60" t="n">
        <x:v>25.10376897698101</x:v>
      </x:c>
      <x:c r="H26" s="60" t="n">
        <x:v>36.10376897698101</x:v>
      </x:c>
      <x:c r="I26" s="58" t="n">
        <x:v>68</x:v>
      </x:c>
      <x:c r="J26" s="59" t="str">
        <x:v>MEDIUM</x:v>
      </x:c>
      <x:c r="K26" s="59" t="str">
        <x:v>C</x:v>
      </x:c>
      <x:c r="L26" s="62" t="str">
        <x:v>Hamstring injury carries a two-week reevaluation window and puts the opener in question.</x:v>
      </x:c>
    </x:row>
    <x:row r="27" ht="20" customHeight="1">
      <x:c r="A27" s="59" t="n">
        <x:v>22</x:v>
      </x:c>
      <x:c r="B27" s="59" t="n">
        <x:v>102</x:v>
      </x:c>
      <x:c r="C27" s="59" t="str">
        <x:v>Kel'el Ware</x:v>
      </x:c>
      <x:c r="D27" s="59" t="str">
        <x:v>MIL</x:v>
      </x:c>
      <x:c r="E27" s="58" t="n">
        <x:v>77</x:v>
      </x:c>
      <x:c r="F27" s="60" t="n">
        <x:v>30.799999999999997</x:v>
      </x:c>
      <x:c r="G27" s="60" t="n">
        <x:v>25.93506712256756</x:v>
      </x:c>
      <x:c r="H27" s="60" t="n">
        <x:v>32.93506712256756</x:v>
      </x:c>
      <x:c r="I27" s="58" t="n">
        <x:v>74</x:v>
      </x:c>
      <x:c r="J27" s="59" t="str">
        <x:v>STANDARD</x:v>
      </x:c>
      <x:c r="K27" s="59" t="str">
        <x:v>C</x:v>
      </x:c>
      <x:c r="L27" s="62" t="str">
        <x:v>Milwaukee upside, but Turner remains competition; do not assume 30-plus minutes.</x:v>
      </x:c>
    </x:row>
    <x:row r="28" ht="20" customHeight="1">
      <x:c r="A28" s="59" t="n">
        <x:v>23</x:v>
      </x:c>
      <x:c r="B28" s="59" t="n">
        <x:v>119</x:v>
      </x:c>
      <x:c r="C28" s="59" t="str">
        <x:v>Nikola Vucevic</x:v>
      </x:c>
      <x:c r="D28" s="59" t="str">
        <x:v>ORL</x:v>
      </x:c>
      <x:c r="E28" s="58" t="n">
        <x:v>64</x:v>
      </x:c>
      <x:c r="F28" s="60" t="n">
        <x:v>34.349999999999994</x:v>
      </x:c>
      <x:c r="G28" s="60" t="n">
        <x:v>22.682786417030833</x:v>
      </x:c>
      <x:c r="H28" s="60" t="n">
        <x:v>29.682786417030833</x:v>
      </x:c>
      <x:c r="I28" s="58" t="n">
        <x:v>75</x:v>
      </x:c>
      <x:c r="J28" s="59" t="str">
        <x:v>STANDARD</x:v>
      </x:c>
      <x:c r="K28" s="59" t="str">
        <x:v>C</x:v>
      </x:c>
      <x:c r="L28" s="62" t="str">
        <x:v>Orlando projection implies a smaller role; name value exceeds model output.</x:v>
      </x:c>
    </x:row>
    <x:row r="29" ht="20" customHeight="1">
      <x:c r="A29" s="59" t="n">
        <x:v>24</x:v>
      </x:c>
      <x:c r="B29" s="59" t="n">
        <x:v>122</x:v>
      </x:c>
      <x:c r="C29" s="59" t="str">
        <x:v>Kyle Filipowski</x:v>
      </x:c>
      <x:c r="D29" s="59" t="str">
        <x:v>UTA</x:v>
      </x:c>
      <x:c r="E29" s="58"/>
      <x:c r="F29" s="60"/>
      <x:c r="G29" s="60" t="n">
        <x:v>22.99</x:v>
      </x:c>
      <x:c r="H29" s="60" t="n">
        <x:v>29.99</x:v>
      </x:c>
      <x:c r="I29" s="58" t="n">
        <x:v>70</x:v>
      </x:c>
      <x:c r="J29" s="59" t="str">
        <x:v>DEEP</x:v>
      </x:c>
      <x:c r="K29" s="59" t="str">
        <x:v>PF/C</x:v>
      </x:c>
      <x:c r="L29" s="62" t="str">
        <x:v>Deep-board candidate for a 10-team league; custom-format estimate emphasizes role, efficiency and rebounding. Recheck camp role and app eligibility before draft day.</x:v>
      </x:c>
    </x:row>
    <x:row r="30" ht="20" customHeight="1">
      <x:c r="A30" s="59" t="n">
        <x:v>25</x:v>
      </x:c>
      <x:c r="B30" s="59" t="n">
        <x:v>131</x:v>
      </x:c>
      <x:c r="C30" s="59" t="str">
        <x:v>Myles Turner</x:v>
      </x:c>
      <x:c r="D30" s="59" t="str">
        <x:v>MIL</x:v>
      </x:c>
      <x:c r="E30" s="58" t="n">
        <x:v>71</x:v>
      </x:c>
      <x:c r="F30" s="60" t="n">
        <x:v>25.150000000000006</x:v>
      </x:c>
      <x:c r="G30" s="60" t="n">
        <x:v>21.561940478386276</x:v>
      </x:c>
      <x:c r="H30" s="60" t="n">
        <x:v>28.561940478386276</x:v>
      </x:c>
      <x:c r="I30" s="58" t="n">
        <x:v>75</x:v>
      </x:c>
      <x:c r="J30" s="59" t="str">
        <x:v>STANDARD</x:v>
      </x:c>
      <x:c r="K30" s="59" t="str">
        <x:v>C</x:v>
      </x:c>
      <x:c r="L30" s="62" t="str">
        <x:v>Ware competes for center work; low block weighting limits his premium.</x:v>
      </x:c>
    </x:row>
    <x:row r="31" ht="20" customHeight="1">
      <x:c r="A31" s="59" t="n">
        <x:v>26</x:v>
      </x:c>
      <x:c r="B31" s="59" t="n">
        <x:v>134</x:v>
      </x:c>
      <x:c r="C31" s="59" t="str">
        <x:v>Derik Queen</x:v>
      </x:c>
      <x:c r="D31" s="59" t="str">
        <x:v>NOP</x:v>
      </x:c>
      <x:c r="E31" s="58"/>
      <x:c r="F31" s="60"/>
      <x:c r="G31" s="60" t="n">
        <x:v>22.31</x:v>
      </x:c>
      <x:c r="H31" s="60" t="n">
        <x:v>29.31</x:v>
      </x:c>
      <x:c r="I31" s="58" t="n">
        <x:v>70</x:v>
      </x:c>
      <x:c r="J31" s="59" t="str">
        <x:v>DEEP</x:v>
      </x:c>
      <x:c r="K31" s="59" t="str">
        <x:v>PF/C</x:v>
      </x:c>
      <x:c r="L31" s="62" t="str">
        <x:v>Deep-board candidate for a 10-team league; custom-format estimate emphasizes role, efficiency and rebounding. Recheck camp role and app eligibility before draft day.</x:v>
      </x:c>
    </x:row>
    <x:row r="32" ht="20" customHeight="1">
      <x:c r="A32" s="59" t="n">
        <x:v>27</x:v>
      </x:c>
      <x:c r="B32" s="59" t="n">
        <x:v>160</x:v>
      </x:c>
      <x:c r="C32" s="59" t="str">
        <x:v>Wendell Carter Jr.</x:v>
      </x:c>
      <x:c r="D32" s="59" t="str">
        <x:v>ORL</x:v>
      </x:c>
      <x:c r="E32" s="58" t="n">
        <x:v>78</x:v>
      </x:c>
      <x:c r="F32" s="60" t="n">
        <x:v>29.2</x:v>
      </x:c>
      <x:c r="G32" s="60" t="n">
        <x:v>20.950000000000003</x:v>
      </x:c>
      <x:c r="H32" s="60" t="n">
        <x:v>30.15</x:v>
      </x:c>
      <x:c r="I32" s="58" t="n">
        <x:v>60</x:v>
      </x:c>
      <x:c r="J32" s="59" t="str">
        <x:v>DEEP</x:v>
      </x:c>
      <x:c r="K32" s="59" t="str">
        <x:v>C</x:v>
      </x:c>
      <x:c r="L32" s="62" t="str">
        <x:v>Deep-pool model: 2025-26 custom-score production shrunk toward a conservative 2026-27 role estimate; not a published projection.</x:v>
      </x:c>
    </x:row>
    <x:row r="33" ht="20" customHeight="1">
      <x:c r="A33" s="59" t="n">
        <x:v>28</x:v>
      </x:c>
      <x:c r="B33" s="59" t="n">
        <x:v>174</x:v>
      </x:c>
      <x:c r="C33" s="59" t="str">
        <x:v>Maxime Raynaud</x:v>
      </x:c>
      <x:c r="D33" s="59" t="str">
        <x:v>SAC</x:v>
      </x:c>
      <x:c r="E33" s="58" t="n">
        <x:v>74</x:v>
      </x:c>
      <x:c r="F33" s="60" t="n">
        <x:v>27.95</x:v>
      </x:c>
      <x:c r="G33" s="60" t="n">
        <x:v>19.784999999999997</x:v>
      </x:c>
      <x:c r="H33" s="60" t="n">
        <x:v>28.475</x:v>
      </x:c>
      <x:c r="I33" s="58" t="n">
        <x:v>64</x:v>
      </x:c>
      <x:c r="J33" s="59" t="str">
        <x:v>DEEP</x:v>
      </x:c>
      <x:c r="K33" s="59" t="str">
        <x:v>C</x:v>
      </x:c>
      <x:c r="L33" s="62" t="str">
        <x:v>Deep-pool model: 2025-26 custom-score production shrunk toward a conservative 2026-27 role estimate; not a published projection.</x:v>
      </x:c>
    </x:row>
    <x:row r="34" ht="20" customHeight="1">
      <x:c r="A34" s="59" t="n">
        <x:v>29</x:v>
      </x:c>
      <x:c r="B34" s="59" t="n">
        <x:v>179</x:v>
      </x:c>
      <x:c r="C34" s="59" t="str">
        <x:v>Daniel Gafford</x:v>
      </x:c>
      <x:c r="D34" s="59" t="str">
        <x:v>DAL</x:v>
      </x:c>
      <x:c r="E34" s="58" t="n">
        <x:v>55</x:v>
      </x:c>
      <x:c r="F34" s="60" t="n">
        <x:v>27.4</x:v>
      </x:c>
      <x:c r="G34" s="60" t="n">
        <x:v>19.729999999999997</x:v>
      </x:c>
      <x:c r="H34" s="60" t="n">
        <x:v>28.39</x:v>
      </x:c>
      <x:c r="I34" s="58" t="n">
        <x:v>60</x:v>
      </x:c>
      <x:c r="J34" s="59" t="str">
        <x:v>DEEP</x:v>
      </x:c>
      <x:c r="K34" s="59" t="str">
        <x:v>C</x:v>
      </x:c>
      <x:c r="L34" s="62" t="str">
        <x:v>Deep-pool model: 2025-26 custom-score production shrunk toward a conservative 2026-27 role estimate; not a published projection.</x:v>
      </x:c>
    </x:row>
    <x:row r="35" ht="20" customHeight="1">
      <x:c r="A35" s="59" t="n">
        <x:v>30</x:v>
      </x:c>
      <x:c r="B35" s="59" t="n">
        <x:v>190</x:v>
      </x:c>
      <x:c r="C35" s="59" t="str">
        <x:v>Deandre Ayton</x:v>
      </x:c>
      <x:c r="D35" s="59" t="str">
        <x:v>LAL</x:v>
      </x:c>
      <x:c r="E35" s="58"/>
      <x:c r="F35" s="60"/>
      <x:c r="G35" s="60" t="n">
        <x:v>17.98</x:v>
      </x:c>
      <x:c r="H35" s="60" t="n">
        <x:v>24.98</x:v>
      </x:c>
      <x:c r="I35" s="58" t="n">
        <x:v>70</x:v>
      </x:c>
      <x:c r="J35" s="59" t="str">
        <x:v>DEEP</x:v>
      </x:c>
      <x:c r="K35" s="59" t="str">
        <x:v>C</x:v>
      </x:c>
      <x:c r="L35" s="62" t="str">
        <x:v>Deep-board candidate for a 10-team league; custom-format estimate emphasizes role, efficiency and rebounding. Recheck camp role and app eligibility before draft day.</x:v>
      </x:c>
    </x:row>
    <x:row r="36" ht="20" customHeight="1">
      <x:c r="A36" s="59" t="n">
        <x:v>31</x:v>
      </x:c>
      <x:c r="B36" s="59" t="n">
        <x:v>192</x:v>
      </x:c>
      <x:c r="C36" s="59" t="str">
        <x:v>Day'Ron Sharpe</x:v>
      </x:c>
      <x:c r="D36" s="59" t="str">
        <x:v>BKN</x:v>
      </x:c>
      <x:c r="E36" s="58" t="n">
        <x:v>62</x:v>
      </x:c>
      <x:c r="F36" s="60" t="n">
        <x:v>26.15</x:v>
      </x:c>
      <x:c r="G36" s="60" t="n">
        <x:v>18.65</x:v>
      </x:c>
      <x:c r="H36" s="60" t="n">
        <x:v>26.83</x:v>
      </x:c>
      <x:c r="I36" s="58" t="n">
        <x:v>60</x:v>
      </x:c>
      <x:c r="J36" s="59" t="str">
        <x:v>DEEP</x:v>
      </x:c>
      <x:c r="K36" s="59" t="str">
        <x:v>C</x:v>
      </x:c>
      <x:c r="L36" s="62" t="str">
        <x:v>Deep-pool model: 2025-26 custom-score production shrunk toward a conservative 2026-27 role estimate; not a published projection.</x:v>
      </x:c>
    </x:row>
    <x:row r="37" ht="20" customHeight="1">
      <x:c r="A37" s="59" t="n">
        <x:v>32</x:v>
      </x:c>
      <x:c r="B37" s="59" t="n">
        <x:v>193</x:v>
      </x:c>
      <x:c r="C37" s="59" t="str">
        <x:v>Mitchell Robinson</x:v>
      </x:c>
      <x:c r="D37" s="59" t="str">
        <x:v>BOS</x:v>
      </x:c>
      <x:c r="E37" s="58"/>
      <x:c r="F37" s="60"/>
      <x:c r="G37" s="60" t="n">
        <x:v>17.64</x:v>
      </x:c>
      <x:c r="H37" s="60" t="n">
        <x:v>24.64</x:v>
      </x:c>
      <x:c r="I37" s="58" t="n">
        <x:v>70</x:v>
      </x:c>
      <x:c r="J37" s="59" t="str">
        <x:v>DEEP</x:v>
      </x:c>
      <x:c r="K37" s="59" t="str">
        <x:v>C</x:v>
      </x:c>
      <x:c r="L37" s="62" t="str">
        <x:v>Deep-board candidate for a 10-team league; custom-format estimate emphasizes role, efficiency and rebounding. Recheck camp role and app eligibility before draft day.</x:v>
      </x:c>
    </x:row>
    <x:row r="38" ht="20" customHeight="1">
      <x:c r="A38" s="59" t="n">
        <x:v>33</x:v>
      </x:c>
      <x:c r="B38" s="59" t="n">
        <x:v>194</x:v>
      </x:c>
      <x:c r="C38" s="59" t="str">
        <x:v>Jock Landale</x:v>
      </x:c>
      <x:c r="D38" s="59" t="str">
        <x:v>ATL</x:v>
      </x:c>
      <x:c r="E38" s="58" t="n">
        <x:v>68</x:v>
      </x:c>
      <x:c r="F38" s="60" t="n">
        <x:v>25.9</x:v>
      </x:c>
      <x:c r="G38" s="60" t="n">
        <x:v>18.64</x:v>
      </x:c>
      <x:c r="H38" s="60" t="n">
        <x:v>26.82</x:v>
      </x:c>
      <x:c r="I38" s="58" t="n">
        <x:v>60</x:v>
      </x:c>
      <x:c r="J38" s="59" t="str">
        <x:v>DEEP</x:v>
      </x:c>
      <x:c r="K38" s="59" t="str">
        <x:v>C</x:v>
      </x:c>
      <x:c r="L38" s="62" t="str">
        <x:v>Deep-pool model: 2025-26 custom-score production shrunk toward a conservative 2026-27 role estimate; not a published projection.</x:v>
      </x:c>
    </x:row>
    <x:row r="39" ht="20" customHeight="1">
      <x:c r="A39" s="59" t="n">
        <x:v>34</x:v>
      </x:c>
      <x:c r="B39" s="59" t="n">
        <x:v>196</x:v>
      </x:c>
      <x:c r="C39" s="59" t="str">
        <x:v>Neemias Queta</x:v>
      </x:c>
      <x:c r="D39" s="59" t="str">
        <x:v>BOS</x:v>
      </x:c>
      <x:c r="E39" s="58"/>
      <x:c r="F39" s="60"/>
      <x:c r="G39" s="60" t="n">
        <x:v>17.52</x:v>
      </x:c>
      <x:c r="H39" s="60" t="n">
        <x:v>24.52</x:v>
      </x:c>
      <x:c r="I39" s="58" t="n">
        <x:v>70</x:v>
      </x:c>
      <x:c r="J39" s="59" t="str">
        <x:v>DEEP</x:v>
      </x:c>
      <x:c r="K39" s="59" t="str">
        <x:v>C</x:v>
      </x:c>
      <x:c r="L39" s="62" t="str">
        <x:v>Deep-board candidate for a 10-team league; custom-format estimate emphasizes role, efficiency and rebounding. Recheck camp role and app eligibility before draft day.</x:v>
      </x:c>
    </x:row>
    <x:row r="40" ht="20" customHeight="1">
      <x:c r="A40" s="59" t="n">
        <x:v>35</x:v>
      </x:c>
      <x:c r="B40" s="59" t="n">
        <x:v>197</x:v>
      </x:c>
      <x:c r="C40" s="59" t="str">
        <x:v>Kristaps Porzingis</x:v>
      </x:c>
      <x:c r="D40" s="59" t="str">
        <x:v>GSW</x:v>
      </x:c>
      <x:c r="E40" s="58" t="n">
        <x:v>32</x:v>
      </x:c>
      <x:c r="F40" s="60" t="n">
        <x:v>32.550000000000004</x:v>
      </x:c>
      <x:c r="G40" s="60" t="n">
        <x:v>26.46176861721606</x:v>
      </x:c>
      <x:c r="H40" s="60" t="n">
        <x:v>42.46176861721606</x:v>
      </x:c>
      <x:c r="I40" s="58" t="n">
        <x:v>35</x:v>
      </x:c>
      <x:c r="J40" s="59" t="str">
        <x:v>HIGH</x:v>
      </x:c>
      <x:c r="K40" s="59" t="str">
        <x:v>PF/C</x:v>
      </x:c>
      <x:c r="L40" s="62" t="str">
        <x:v>OUT INDEFINITELY with an unresolved health issue and no return timetable. Treat as late stash, not a normal mid-round target.</x:v>
      </x:c>
    </x:row>
    <x:row r="41" ht="20" customHeight="1">
      <x:c r="A41" s="59" t="n">
        <x:v>36</x:v>
      </x:c>
      <x:c r="B41" s="59" t="n">
        <x:v>201</x:v>
      </x:c>
      <x:c r="C41" s="59" t="str">
        <x:v>Clint Capela</x:v>
      </x:c>
      <x:c r="D41" s="59" t="str">
        <x:v>HOU</x:v>
      </x:c>
      <x:c r="E41" s="58"/>
      <x:c r="F41" s="60"/>
      <x:c r="G41" s="60" t="n">
        <x:v>17.29</x:v>
      </x:c>
      <x:c r="H41" s="60" t="n">
        <x:v>24.29</x:v>
      </x:c>
      <x:c r="I41" s="58" t="n">
        <x:v>70</x:v>
      </x:c>
      <x:c r="J41" s="59" t="str">
        <x:v>DEEP</x:v>
      </x:c>
      <x:c r="K41" s="59" t="str">
        <x:v>C</x:v>
      </x:c>
      <x:c r="L41" s="62" t="str">
        <x:v>Deep-board candidate for a 10-team league; custom-format estimate emphasizes role, efficiency and rebounding. Recheck camp role and app eligibility before draft day.</x:v>
      </x:c>
    </x:row>
    <x:row r="42" ht="20" customHeight="1">
      <x:c r="A42" s="59" t="n">
        <x:v>37</x:v>
      </x:c>
      <x:c r="B42" s="59" t="n">
        <x:v>202</x:v>
      </x:c>
      <x:c r="C42" s="59" t="str">
        <x:v>Sandro Mamukelashvili</x:v>
      </x:c>
      <x:c r="D42" s="59" t="str">
        <x:v>LAL</x:v>
      </x:c>
      <x:c r="E42" s="58" t="n">
        <x:v>80</x:v>
      </x:c>
      <x:c r="F42" s="60" t="n">
        <x:v>25.2</x:v>
      </x:c>
      <x:c r="G42" s="60" t="n">
        <x:v>18.14</x:v>
      </x:c>
      <x:c r="H42" s="60" t="n">
        <x:v>26.1</x:v>
      </x:c>
      <x:c r="I42" s="58" t="n">
        <x:v>60</x:v>
      </x:c>
      <x:c r="J42" s="59" t="str">
        <x:v>DEEP</x:v>
      </x:c>
      <x:c r="K42" s="59" t="str">
        <x:v>C</x:v>
      </x:c>
      <x:c r="L42" s="62" t="str">
        <x:v>Deep-pool model: 2025-26 custom-score production shrunk toward a conservative 2026-27 role estimate; not a published projection.</x:v>
      </x:c>
    </x:row>
    <x:row r="43" ht="20" customHeight="1">
      <x:c r="A43" s="59" t="n">
        <x:v>38</x:v>
      </x:c>
      <x:c r="B43" s="59" t="n">
        <x:v>203</x:v>
      </x:c>
      <x:c r="C43" s="59" t="str">
        <x:v>Jusuf Nurkic</x:v>
      </x:c>
      <x:c r="D43" s="59" t="str">
        <x:v>UTA</x:v>
      </x:c>
      <x:c r="E43" s="58" t="n">
        <x:v>41</x:v>
      </x:c>
      <x:c r="F43" s="60" t="n">
        <x:v>32.95</x:v>
      </x:c>
      <x:c r="G43" s="60" t="n">
        <x:v>18.97</x:v>
      </x:c>
      <x:c r="H43" s="60" t="n">
        <x:v>34.97</x:v>
      </x:c>
      <x:c r="I43" s="58" t="n">
        <x:v>50</x:v>
      </x:c>
      <x:c r="J43" s="59" t="str">
        <x:v>HIGH</x:v>
      </x:c>
      <x:c r="K43" s="59" t="str">
        <x:v>C</x:v>
      </x:c>
      <x:c r="L43" s="62" t="str">
        <x:v>Partial plantar plate tear in right foot; scheduled for re-evaluation in four weeks. Significant draft-day downgrade.</x:v>
      </x:c>
    </x:row>
    <x:row r="44" ht="20" customHeight="1">
      <x:c r="A44" s="59" t="n">
        <x:v>39</x:v>
      </x:c>
      <x:c r="B44" s="59" t="n">
        <x:v>205</x:v>
      </x:c>
      <x:c r="C44" s="59" t="str">
        <x:v>Luke Kornet</x:v>
      </x:c>
      <x:c r="D44" s="59" t="str">
        <x:v>SAS</x:v>
      </x:c>
      <x:c r="E44" s="58" t="n">
        <x:v>68</x:v>
      </x:c>
      <x:c r="F44" s="60" t="n">
        <x:v>24.85</x:v>
      </x:c>
      <x:c r="G44" s="60" t="n">
        <x:v>17.8</x:v>
      </x:c>
      <x:c r="H44" s="60" t="n">
        <x:v>25.62</x:v>
      </x:c>
      <x:c r="I44" s="58" t="n">
        <x:v>60</x:v>
      </x:c>
      <x:c r="J44" s="59" t="str">
        <x:v>DEEP</x:v>
      </x:c>
      <x:c r="K44" s="59" t="str">
        <x:v>C</x:v>
      </x:c>
      <x:c r="L44" s="62" t="str">
        <x:v>Deep-pool model: 2025-26 custom-score production shrunk toward a conservative 2026-27 role estimate; not a published projection.</x:v>
      </x:c>
    </x:row>
    <x:row r="45" ht="20" customHeight="1">
      <x:c r="A45" s="59" t="n">
        <x:v>40</x:v>
      </x:c>
      <x:c r="B45" s="59" t="n">
        <x:v>214</x:v>
      </x:c>
      <x:c r="C45" s="59" t="str">
        <x:v>Steven Adams</x:v>
      </x:c>
      <x:c r="D45" s="59" t="str">
        <x:v>HOU</x:v>
      </x:c>
      <x:c r="E45" s="58" t="n">
        <x:v>32</x:v>
      </x:c>
      <x:c r="F45" s="60" t="n">
        <x:v>26.35</x:v>
      </x:c>
      <x:c r="G45" s="60" t="n">
        <x:v>17.445</x:v>
      </x:c>
      <x:c r="H45" s="60" t="n">
        <x:v>25.095</x:v>
      </x:c>
      <x:c r="I45" s="58" t="n">
        <x:v>60</x:v>
      </x:c>
      <x:c r="J45" s="59" t="str">
        <x:v>DEEP</x:v>
      </x:c>
      <x:c r="K45" s="59" t="str">
        <x:v>C</x:v>
      </x:c>
      <x:c r="L45" s="62" t="str">
        <x:v>Deep-pool model: 2025-26 custom-score production shrunk toward a conservative 2026-27 role estimate; not a published projection.</x:v>
      </x:c>
    </x:row>
    <x:row r="46" ht="20" customHeight="1">
      <x:c r="A46" s="59" t="n">
        <x:v>41</x:v>
      </x:c>
      <x:c r="B46" s="59" t="n">
        <x:v>216</x:v>
      </x:c>
      <x:c r="C46" s="59" t="str">
        <x:v>Robert Williams III</x:v>
      </x:c>
      <x:c r="D46" s="59" t="str">
        <x:v>POR</x:v>
      </x:c>
      <x:c r="E46" s="58" t="n">
        <x:v>59</x:v>
      </x:c>
      <x:c r="F46" s="60" t="n">
        <x:v>24.05</x:v>
      </x:c>
      <x:c r="G46" s="60" t="n">
        <x:v>17.41</x:v>
      </x:c>
      <x:c r="H46" s="60" t="n">
        <x:v>25.05</x:v>
      </x:c>
      <x:c r="I46" s="58" t="n">
        <x:v>60</x:v>
      </x:c>
      <x:c r="J46" s="59" t="str">
        <x:v>DEEP</x:v>
      </x:c>
      <x:c r="K46" s="59" t="str">
        <x:v>C</x:v>
      </x:c>
      <x:c r="L46" s="62" t="str">
        <x:v>Deep-pool model: 2025-26 custom-score production shrunk toward a conservative 2026-27 role estimate; not a published projection.</x:v>
      </x:c>
    </x:row>
    <x:row r="47" ht="20" customHeight="1">
      <x:c r="A47" s="59" t="n">
        <x:v>42</x:v>
      </x:c>
      <x:c r="B47" s="59" t="n">
        <x:v>217</x:v>
      </x:c>
      <x:c r="C47" s="59" t="str">
        <x:v>Isaiah Stewart</x:v>
      </x:c>
      <x:c r="D47" s="59" t="str">
        <x:v>DET</x:v>
      </x:c>
      <x:c r="E47" s="58"/>
      <x:c r="F47" s="60"/>
      <x:c r="G47" s="60" t="n">
        <x:v>16.16</x:v>
      </x:c>
      <x:c r="H47" s="60" t="n">
        <x:v>23.16</x:v>
      </x:c>
      <x:c r="I47" s="58" t="n">
        <x:v>70</x:v>
      </x:c>
      <x:c r="J47" s="59" t="str">
        <x:v>DEEP</x:v>
      </x:c>
      <x:c r="K47" s="59" t="str">
        <x:v>PF/C</x:v>
      </x:c>
      <x:c r="L47" s="62" t="str">
        <x:v>Deep-board candidate for a 10-team league; custom-format estimate emphasizes role, efficiency and rebounding. Recheck camp role and app eligibility before draft day.</x:v>
      </x:c>
    </x:row>
    <x:row r="48" ht="20" customHeight="1">
      <x:c r="A48" s="59" t="n">
        <x:v>43</x:v>
      </x:c>
      <x:c r="B48" s="59" t="n">
        <x:v>219</x:v>
      </x:c>
      <x:c r="C48" s="59" t="str">
        <x:v>Al Horford</x:v>
      </x:c>
      <x:c r="D48" s="59" t="str">
        <x:v>GSW</x:v>
      </x:c>
      <x:c r="E48" s="58"/>
      <x:c r="F48" s="60"/>
      <x:c r="G48" s="60" t="n">
        <x:v>16.04</x:v>
      </x:c>
      <x:c r="H48" s="60" t="n">
        <x:v>23.04</x:v>
      </x:c>
      <x:c r="I48" s="58" t="n">
        <x:v>70</x:v>
      </x:c>
      <x:c r="J48" s="59" t="str">
        <x:v>DEEP</x:v>
      </x:c>
      <x:c r="K48" s="59" t="str">
        <x:v>PF/C</x:v>
      </x:c>
      <x:c r="L48" s="62" t="str">
        <x:v>Deep-board candidate for a 10-team league; custom-format estimate emphasizes role, efficiency and rebounding. Recheck camp role and app eligibility before draft day.</x:v>
      </x:c>
    </x:row>
    <x:row r="49" ht="20" customHeight="1">
      <x:c r="A49" s="59" t="n">
        <x:v>44</x:v>
      </x:c>
      <x:c r="B49" s="59" t="n">
        <x:v>221</x:v>
      </x:c>
      <x:c r="C49" s="59" t="str">
        <x:v>Brook Lopez</x:v>
      </x:c>
      <x:c r="D49" s="59" t="str">
        <x:v>LAC</x:v>
      </x:c>
      <x:c r="E49" s="58"/>
      <x:c r="F49" s="60"/>
      <x:c r="G49" s="60" t="n">
        <x:v>15.93</x:v>
      </x:c>
      <x:c r="H49" s="60" t="n">
        <x:v>22.93</x:v>
      </x:c>
      <x:c r="I49" s="58" t="n">
        <x:v>70</x:v>
      </x:c>
      <x:c r="J49" s="59" t="str">
        <x:v>DEEP</x:v>
      </x:c>
      <x:c r="K49" s="59" t="str">
        <x:v>C</x:v>
      </x:c>
      <x:c r="L49" s="62" t="str">
        <x:v>Deep-board candidate for a 10-team league; custom-format estimate emphasizes role, efficiency and rebounding. Recheck camp role and app eligibility before draft day.</x:v>
      </x:c>
    </x:row>
    <x:row r="50" ht="20" customHeight="1">
      <x:c r="A50" s="59" t="n">
        <x:v>45</x:v>
      </x:c>
      <x:c r="B50" s="59" t="n">
        <x:v>224</x:v>
      </x:c>
      <x:c r="C50" s="59" t="str">
        <x:v>Andre Drummond</x:v>
      </x:c>
      <x:c r="D50" s="59" t="str">
        <x:v>NYK</x:v>
      </x:c>
      <x:c r="E50" s="58" t="n">
        <x:v>63</x:v>
      </x:c>
      <x:c r="F50" s="60" t="n">
        <x:v>24.05</x:v>
      </x:c>
      <x:c r="G50" s="60" t="n">
        <x:v>16.605</x:v>
      </x:c>
      <x:c r="H50" s="60" t="n">
        <x:v>23.895</x:v>
      </x:c>
      <x:c r="I50" s="58" t="n">
        <x:v>60</x:v>
      </x:c>
      <x:c r="J50" s="59" t="str">
        <x:v>DEEP</x:v>
      </x:c>
      <x:c r="K50" s="59" t="str">
        <x:v>C</x:v>
      </x:c>
      <x:c r="L50" s="62" t="str">
        <x:v>Deep-pool model: 2025-26 custom-score production shrunk toward a conservative 2026-27 role estimate; not a published projection.</x:v>
      </x:c>
    </x:row>
    <x:row r="51" ht="20" customHeight="1">
      <x:c r="A51" s="59" t="n">
        <x:v>46</x:v>
      </x:c>
      <x:c r="B51" s="59" t="n">
        <x:v>230</x:v>
      </x:c>
      <x:c r="C51" s="59" t="str">
        <x:v>Ryan Kalkbrenner</x:v>
      </x:c>
      <x:c r="D51" s="59" t="str">
        <x:v>CHA</x:v>
      </x:c>
      <x:c r="E51" s="58" t="n">
        <x:v>69</x:v>
      </x:c>
      <x:c r="F51" s="60" t="n">
        <x:v>23.45</x:v>
      </x:c>
      <x:c r="G51" s="60" t="n">
        <x:v>16.195</x:v>
      </x:c>
      <x:c r="H51" s="60" t="n">
        <x:v>23.305</x:v>
      </x:c>
      <x:c r="I51" s="58" t="n">
        <x:v>64</x:v>
      </x:c>
      <x:c r="J51" s="59" t="str">
        <x:v>DEEP</x:v>
      </x:c>
      <x:c r="K51" s="59" t="str">
        <x:v>C</x:v>
      </x:c>
      <x:c r="L51" s="62" t="str">
        <x:v>Deep-pool model: 2025-26 custom-score production shrunk toward a conservative 2026-27 role estimate; not a published projection.</x:v>
      </x:c>
    </x:row>
    <x:row r="52" ht="20" customHeight="1">
      <x:c r="A52" s="59" t="n">
        <x:v>47</x:v>
      </x:c>
      <x:c r="B52" s="59" t="n">
        <x:v>245</x:v>
      </x:c>
      <x:c r="C52" s="59" t="str">
        <x:v>Yves Missi</x:v>
      </x:c>
      <x:c r="D52" s="59" t="str">
        <x:v>NOP</x:v>
      </x:c>
      <x:c r="E52" s="58" t="n">
        <x:v>66</x:v>
      </x:c>
      <x:c r="F52" s="60" t="n">
        <x:v>20.9</x:v>
      </x:c>
      <x:c r="G52" s="60" t="n">
        <x:v>15.2</x:v>
      </x:c>
      <x:c r="H52" s="60" t="n">
        <x:v>22.2</x:v>
      </x:c>
      <x:c r="I52" s="58" t="n">
        <x:v>60</x:v>
      </x:c>
      <x:c r="J52" s="59" t="str">
        <x:v>DEEP</x:v>
      </x:c>
      <x:c r="K52" s="59" t="str">
        <x:v>C</x:v>
      </x:c>
      <x:c r="L52" s="62" t="str">
        <x:v>Deep-pool model: 2025-26 custom-score production shrunk toward a conservative 2026-27 role estimate; not a published projection.</x:v>
      </x:c>
    </x:row>
    <x:row r="53" ht="20" customHeight="1">
      <x:c r="A53" s="59" t="n">
        <x:v>48</x:v>
      </x:c>
      <x:c r="B53" s="59" t="n">
        <x:v>247</x:v>
      </x:c>
      <x:c r="C53" s="59" t="str">
        <x:v>Paul Reed</x:v>
      </x:c>
      <x:c r="D53" s="59" t="str">
        <x:v>DET</x:v>
      </x:c>
      <x:c r="E53" s="58" t="n">
        <x:v>65</x:v>
      </x:c>
      <x:c r="F53" s="60" t="n">
        <x:v>21.35</x:v>
      </x:c>
      <x:c r="G53" s="60" t="n">
        <x:v>15.030000000000001</x:v>
      </x:c>
      <x:c r="H53" s="60" t="n">
        <x:v>22.03</x:v>
      </x:c>
      <x:c r="I53" s="58" t="n">
        <x:v>60</x:v>
      </x:c>
      <x:c r="J53" s="59" t="str">
        <x:v>DEEP</x:v>
      </x:c>
      <x:c r="K53" s="59" t="str">
        <x:v>C</x:v>
      </x:c>
      <x:c r="L53" s="62" t="str">
        <x:v>Deep-pool model: 2025-26 custom-score production shrunk toward a conservative 2026-27 role estimate; not a published projection.</x:v>
      </x:c>
    </x:row>
    <x:row r="54" ht="20" customHeight="1">
      <x:c r="A54" s="59" t="n">
        <x:v>49</x:v>
      </x:c>
      <x:c r="B54" s="59" t="n">
        <x:v>250</x:v>
      </x:c>
      <x:c r="C54" s="59" t="str">
        <x:v>Micah Potter</x:v>
      </x:c>
      <x:c r="D54" s="59" t="str">
        <x:v>POR</x:v>
      </x:c>
      <x:c r="E54" s="58" t="n">
        <x:v>47</x:v>
      </x:c>
      <x:c r="F54" s="60" t="n">
        <x:v>22</x:v>
      </x:c>
      <x:c r="G54" s="60" t="n">
        <x:v>14.64</x:v>
      </x:c>
      <x:c r="H54" s="60" t="n">
        <x:v>21.64</x:v>
      </x:c>
      <x:c r="I54" s="58" t="n">
        <x:v>60</x:v>
      </x:c>
      <x:c r="J54" s="59" t="str">
        <x:v>DEEP</x:v>
      </x:c>
      <x:c r="K54" s="59" t="str">
        <x:v>C</x:v>
      </x:c>
      <x:c r="L54" s="62" t="str">
        <x:v>Deep-pool model: 2025-26 custom-score production shrunk toward a conservative 2026-27 role estimate; not a published projection.</x:v>
      </x:c>
    </x:row>
    <x:row r="55" ht="20" customHeight="1">
      <x:c r="A55" s="59" t="n">
        <x:v>50</x:v>
      </x:c>
      <x:c r="B55" s="59" t="n">
        <x:v>252</x:v>
      </x:c>
      <x:c r="C55" s="59" t="str">
        <x:v>Goga Bitadze</x:v>
      </x:c>
      <x:c r="D55" s="59" t="str">
        <x:v>ORL</x:v>
      </x:c>
      <x:c r="E55" s="58" t="n">
        <x:v>64</x:v>
      </x:c>
      <x:c r="F55" s="60" t="n">
        <x:v>20.35</x:v>
      </x:c>
      <x:c r="G55" s="60" t="n">
        <x:v>14.39</x:v>
      </x:c>
      <x:c r="H55" s="60" t="n">
        <x:v>21.39</x:v>
      </x:c>
      <x:c r="I55" s="58" t="n">
        <x:v>60</x:v>
      </x:c>
      <x:c r="J55" s="59" t="str">
        <x:v>DEEP</x:v>
      </x:c>
      <x:c r="K55" s="59" t="str">
        <x:v>C</x:v>
      </x:c>
      <x:c r="L55" s="62" t="str">
        <x:v>Deep-pool model: 2025-26 custom-score production shrunk toward a conservative 2026-27 role estimate; not a published projection.</x:v>
      </x:c>
    </x:row>
    <x:row r="56" ht="20" customHeight="1">
      <x:c r="A56" s="59" t="n">
        <x:v>51</x:v>
      </x:c>
      <x:c r="B56" s="59" t="n">
        <x:v>255</x:v>
      </x:c>
      <x:c r="C56" s="59" t="str">
        <x:v>Josh Oduro</x:v>
      </x:c>
      <x:c r="D56" s="59" t="str">
        <x:v>NOP</x:v>
      </x:c>
      <x:c r="E56" s="58" t="n">
        <x:v>3</x:v>
      </x:c>
      <x:c r="F56" s="60" t="n">
        <x:v>25.65</x:v>
      </x:c>
      <x:c r="G56" s="60" t="n">
        <x:v>12.64</x:v>
      </x:c>
      <x:c r="H56" s="60" t="n">
        <x:v>22.46</x:v>
      </x:c>
      <x:c r="I56" s="58" t="n">
        <x:v>64</x:v>
      </x:c>
      <x:c r="J56" s="59" t="str">
        <x:v>VERY_DEEP</x:v>
      </x:c>
      <x:c r="K56" s="59" t="str">
        <x:v>C</x:v>
      </x:c>
      <x:c r="L56" s="62" t="str">
        <x:v>Very-deep model estimate with limited sample/role certainty. Use as a search/watch-list value and refresh once final rotations are known.</x:v>
      </x:c>
    </x:row>
    <x:row r="57" ht="20" customHeight="1">
      <x:c r="A57" s="59" t="n">
        <x:v>52</x:v>
      </x:c>
      <x:c r="B57" s="59" t="n">
        <x:v>256</x:v>
      </x:c>
      <x:c r="C57" s="59" t="str">
        <x:v>Luka Garza</x:v>
      </x:c>
      <x:c r="D57" s="59" t="str">
        <x:v>BOS</x:v>
      </x:c>
      <x:c r="E57" s="58" t="n">
        <x:v>69</x:v>
      </x:c>
      <x:c r="F57" s="60" t="n">
        <x:v>20.8</x:v>
      </x:c>
      <x:c r="G57" s="60" t="n">
        <x:v>14.190000000000001</x:v>
      </x:c>
      <x:c r="H57" s="60" t="n">
        <x:v>21.19</x:v>
      </x:c>
      <x:c r="I57" s="58" t="n">
        <x:v>60</x:v>
      </x:c>
      <x:c r="J57" s="59" t="str">
        <x:v>DEEP</x:v>
      </x:c>
      <x:c r="K57" s="59" t="str">
        <x:v>C</x:v>
      </x:c>
      <x:c r="L57" s="62" t="str">
        <x:v>Deep-pool model: 2025-26 custom-score production shrunk toward a conservative 2026-27 role estimate; not a published projection.</x:v>
      </x:c>
    </x:row>
    <x:row r="58" ht="20" customHeight="1">
      <x:c r="A58" s="59" t="n">
        <x:v>53</x:v>
      </x:c>
      <x:c r="B58" s="59" t="n">
        <x:v>260</x:v>
      </x:c>
      <x:c r="C58" s="59" t="str">
        <x:v>Danny Wolf</x:v>
      </x:c>
      <x:c r="D58" s="59" t="str">
        <x:v>BKN</x:v>
      </x:c>
      <x:c r="E58" s="58" t="n">
        <x:v>57</x:v>
      </x:c>
      <x:c r="F58" s="60" t="n">
        <x:v>19.2</x:v>
      </x:c>
      <x:c r="G58" s="60" t="n">
        <x:v>13.719999999999999</x:v>
      </x:c>
      <x:c r="H58" s="60" t="n">
        <x:v>20.72</x:v>
      </x:c>
      <x:c r="I58" s="58" t="n">
        <x:v>64</x:v>
      </x:c>
      <x:c r="J58" s="59" t="str">
        <x:v>DEEP</x:v>
      </x:c>
      <x:c r="K58" s="59" t="str">
        <x:v>C</x:v>
      </x:c>
      <x:c r="L58" s="62" t="str">
        <x:v>Deep-pool model: 2025-26 custom-score production shrunk toward a conservative 2026-27 role estimate; not a published projection.</x:v>
      </x:c>
    </x:row>
    <x:row r="59" ht="20" customHeight="1">
      <x:c r="A59" s="59" t="n">
        <x:v>54</x:v>
      </x:c>
      <x:c r="B59" s="59" t="n">
        <x:v>262</x:v>
      </x:c>
      <x:c r="C59" s="59" t="str">
        <x:v>Lawson Lovering</x:v>
      </x:c>
      <x:c r="D59" s="59" t="str">
        <x:v>MEM</x:v>
      </x:c>
      <x:c r="E59" s="58" t="n">
        <x:v>2</x:v>
      </x:c>
      <x:c r="F59" s="60" t="n">
        <x:v>25</x:v>
      </x:c>
      <x:c r="G59" s="60" t="n">
        <x:v>12.349999999999998</x:v>
      </x:c>
      <x:c r="H59" s="60" t="n">
        <x:v>21.95</x:v>
      </x:c>
      <x:c r="I59" s="58" t="n">
        <x:v>64</x:v>
      </x:c>
      <x:c r="J59" s="59" t="str">
        <x:v>VERY_DEEP</x:v>
      </x:c>
      <x:c r="K59" s="59" t="str">
        <x:v>C</x:v>
      </x:c>
      <x:c r="L59" s="62" t="str">
        <x:v>Very-deep model estimate with limited sample/role certainty. Use as a search/watch-list value and refresh once final rotations are known.</x:v>
      </x:c>
    </x:row>
    <x:row r="60" ht="20" customHeight="1">
      <x:c r="A60" s="59" t="n">
        <x:v>55</x:v>
      </x:c>
      <x:c r="B60" s="59" t="n">
        <x:v>264</x:v>
      </x:c>
      <x:c r="C60" s="59" t="str">
        <x:v>Jaxson Hayes</x:v>
      </x:c>
      <x:c r="D60" s="59" t="str">
        <x:v>UTA</x:v>
      </x:c>
      <x:c r="E60" s="58" t="n">
        <x:v>66</x:v>
      </x:c>
      <x:c r="F60" s="60" t="n">
        <x:v>19.65</x:v>
      </x:c>
      <x:c r="G60" s="60" t="n">
        <x:v>13.690000000000001</x:v>
      </x:c>
      <x:c r="H60" s="60" t="n">
        <x:v>20.69</x:v>
      </x:c>
      <x:c r="I60" s="58" t="n">
        <x:v>60</x:v>
      </x:c>
      <x:c r="J60" s="59" t="str">
        <x:v>DEEP</x:v>
      </x:c>
      <x:c r="K60" s="59" t="str">
        <x:v>C</x:v>
      </x:c>
      <x:c r="L60" s="62" t="str">
        <x:v>Deep-pool model: 2025-26 custom-score production shrunk toward a conservative 2026-27 role estimate; not a published projection.</x:v>
      </x:c>
    </x:row>
    <x:row r="61" ht="20" customHeight="1">
      <x:c r="A61" s="59" t="n">
        <x:v>56</x:v>
      </x:c>
      <x:c r="B61" s="59" t="n">
        <x:v>271</x:v>
      </x:c>
      <x:c r="C61" s="59" t="str">
        <x:v>Oso Ighodaro</x:v>
      </x:c>
      <x:c r="D61" s="59" t="str">
        <x:v>PHX</x:v>
      </x:c>
      <x:c r="E61" s="58" t="n">
        <x:v>82</x:v>
      </x:c>
      <x:c r="F61" s="60" t="n">
        <x:v>20</x:v>
      </x:c>
      <x:c r="G61" s="60" t="n">
        <x:v>13.43</x:v>
      </x:c>
      <x:c r="H61" s="60" t="n">
        <x:v>20.43</x:v>
      </x:c>
      <x:c r="I61" s="58" t="n">
        <x:v>60</x:v>
      </x:c>
      <x:c r="J61" s="59" t="str">
        <x:v>DEEP</x:v>
      </x:c>
      <x:c r="K61" s="59" t="str">
        <x:v>C</x:v>
      </x:c>
      <x:c r="L61" s="62" t="str">
        <x:v>Deep-pool model: 2025-26 custom-score production shrunk toward a conservative 2026-27 role estimate; not a published projection.</x:v>
      </x:c>
    </x:row>
    <x:row r="62" ht="20" customHeight="1">
      <x:c r="A62" s="59" t="n">
        <x:v>57</x:v>
      </x:c>
      <x:c r="B62" s="59" t="n">
        <x:v>274</x:v>
      </x:c>
      <x:c r="C62" s="59" t="str">
        <x:v>Zach Collins</x:v>
      </x:c>
      <x:c r="D62" s="59" t="str">
        <x:v>CHI</x:v>
      </x:c>
      <x:c r="E62" s="58" t="n">
        <x:v>10</x:v>
      </x:c>
      <x:c r="F62" s="60" t="n">
        <x:v>22.45</x:v>
      </x:c>
      <x:c r="G62" s="60" t="n">
        <x:v>12.009999999999998</x:v>
      </x:c>
      <x:c r="H62" s="60" t="n">
        <x:v>21.35</x:v>
      </x:c>
      <x:c r="I62" s="58" t="n">
        <x:v>60</x:v>
      </x:c>
      <x:c r="J62" s="59" t="str">
        <x:v>VERY_DEEP</x:v>
      </x:c>
      <x:c r="K62" s="59" t="str">
        <x:v>C</x:v>
      </x:c>
      <x:c r="L62" s="62" t="str">
        <x:v>Very-deep model estimate with limited sample/role certainty. Use as a search/watch-list value and refresh once final rotations are known.</x:v>
      </x:c>
    </x:row>
    <x:row r="63" ht="20" customHeight="1">
      <x:c r="A63" s="59" t="n">
        <x:v>58</x:v>
      </x:c>
      <x:c r="B63" s="59" t="n">
        <x:v>276</x:v>
      </x:c>
      <x:c r="C63" s="59" t="str">
        <x:v>Jaylin Williams</x:v>
      </x:c>
      <x:c r="D63" s="59" t="str">
        <x:v>OKC</x:v>
      </x:c>
      <x:c r="E63" s="58" t="n">
        <x:v>65</x:v>
      </x:c>
      <x:c r="F63" s="60" t="n">
        <x:v>18.7</x:v>
      </x:c>
      <x:c r="G63" s="60" t="n">
        <x:v>13.059999999999999</x:v>
      </x:c>
      <x:c r="H63" s="60" t="n">
        <x:v>20.06</x:v>
      </x:c>
      <x:c r="I63" s="58" t="n">
        <x:v>60</x:v>
      </x:c>
      <x:c r="J63" s="59" t="str">
        <x:v>DEEP</x:v>
      </x:c>
      <x:c r="K63" s="59" t="str">
        <x:v>C</x:v>
      </x:c>
      <x:c r="L63" s="62" t="str">
        <x:v>Deep-pool model: 2025-26 custom-score production shrunk toward a conservative 2026-27 role estimate; not a published projection.</x:v>
      </x:c>
    </x:row>
    <x:row r="64" ht="20" customHeight="1">
      <x:c r="A64" s="59" t="n">
        <x:v>59</x:v>
      </x:c>
      <x:c r="B64" s="59" t="n">
        <x:v>277</x:v>
      </x:c>
      <x:c r="C64" s="59" t="str">
        <x:v>Aday Mara</x:v>
      </x:c>
      <x:c r="D64" s="59" t="str">
        <x:v>OKC</x:v>
      </x:c>
      <x:c r="E64" s="58"/>
      <x:c r="F64" s="60"/>
      <x:c r="G64" s="60" t="n">
        <x:v>11.945</x:v>
      </x:c>
      <x:c r="H64" s="60" t="n">
        <x:v>21.235</x:v>
      </x:c>
      <x:c r="I64" s="58" t="n">
        <x:v>55</x:v>
      </x:c>
      <x:c r="J64" s="59" t="str">
        <x:v>VERY_DEEP</x:v>
      </x:c>
      <x:c r="K64" s="59" t="str">
        <x:v>C</x:v>
      </x:c>
      <x:c r="L64" s="62" t="str">
        <x:v>Rookie/depth role estimate with a wide band and limited NBA evidence. Treat as a watch-list projection, not a published forecast.</x:v>
      </x:c>
    </x:row>
    <x:row r="65" ht="20" customHeight="1">
      <x:c r="A65" s="59" t="n">
        <x:v>60</x:v>
      </x:c>
      <x:c r="B65" s="59" t="n">
        <x:v>282</x:v>
      </x:c>
      <x:c r="C65" s="59" t="str">
        <x:v>Hannes Steinbach</x:v>
      </x:c>
      <x:c r="D65" s="59" t="str">
        <x:v>CHA</x:v>
      </x:c>
      <x:c r="E65" s="58"/>
      <x:c r="F65" s="60"/>
      <x:c r="G65" s="60" t="n">
        <x:v>11.844999999999999</x:v>
      </x:c>
      <x:c r="H65" s="60" t="n">
        <x:v>21.055</x:v>
      </x:c>
      <x:c r="I65" s="58" t="n">
        <x:v>55</x:v>
      </x:c>
      <x:c r="J65" s="59" t="str">
        <x:v>VERY_DEEP</x:v>
      </x:c>
      <x:c r="K65" s="59" t="str">
        <x:v>FC</x:v>
      </x:c>
      <x:c r="L65" s="62" t="str">
        <x:v>Rookie/depth role estimate with a wide band and limited NBA evidence. Treat as a watch-list projection, not a published forecast.</x:v>
      </x:c>
    </x:row>
    <x:row r="66" ht="20" customHeight="1">
      <x:c r="A66" s="59" t="n">
        <x:v>61</x:v>
      </x:c>
      <x:c r="B66" s="59" t="n">
        <x:v>290</x:v>
      </x:c>
      <x:c r="C66" s="59" t="str">
        <x:v>Jayden Quaintance</x:v>
      </x:c>
      <x:c r="D66" s="59" t="str">
        <x:v>SAS</x:v>
      </x:c>
      <x:c r="E66" s="58"/>
      <x:c r="F66" s="60"/>
      <x:c r="G66" s="60" t="n">
        <x:v>11.57</x:v>
      </x:c>
      <x:c r="H66" s="60" t="n">
        <x:v>20.57</x:v>
      </x:c>
      <x:c r="I66" s="58" t="n">
        <x:v>55</x:v>
      </x:c>
      <x:c r="J66" s="59" t="str">
        <x:v>VERY_DEEP</x:v>
      </x:c>
      <x:c r="K66" s="59" t="str">
        <x:v>FC</x:v>
      </x:c>
      <x:c r="L66" s="62" t="str">
        <x:v>Rookie/depth role estimate with a wide band and limited NBA evidence. Treat as a watch-list projection, not a published forecast.</x:v>
      </x:c>
    </x:row>
    <x:row r="67" ht="20" customHeight="1">
      <x:c r="A67" s="59" t="n">
        <x:v>62</x:v>
      </x:c>
      <x:c r="B67" s="59" t="n">
        <x:v>294</x:v>
      </x:c>
      <x:c r="C67" s="59" t="str">
        <x:v>Zuby Ejiofor</x:v>
      </x:c>
      <x:c r="D67" s="59" t="str">
        <x:v>ATL</x:v>
      </x:c>
      <x:c r="E67" s="58"/>
      <x:c r="F67" s="60"/>
      <x:c r="G67" s="60" t="n">
        <x:v>11.455</x:v>
      </x:c>
      <x:c r="H67" s="60" t="n">
        <x:v>20.365000000000002</x:v>
      </x:c>
      <x:c r="I67" s="58" t="n">
        <x:v>55</x:v>
      </x:c>
      <x:c r="J67" s="59" t="str">
        <x:v>VERY_DEEP</x:v>
      </x:c>
      <x:c r="K67" s="59" t="str">
        <x:v>FC</x:v>
      </x:c>
      <x:c r="L67" s="62" t="str">
        <x:v>Rookie/depth role estimate with a wide band and limited NBA evidence. Treat as a watch-list projection, not a published forecast.</x:v>
      </x:c>
    </x:row>
    <x:row r="68" ht="20" customHeight="1">
      <x:c r="A68" s="59" t="n">
        <x:v>63</x:v>
      </x:c>
      <x:c r="B68" s="59" t="n">
        <x:v>298</x:v>
      </x:c>
      <x:c r="C68" s="59" t="str">
        <x:v>Yaxel Lendeborg</x:v>
      </x:c>
      <x:c r="D68" s="59" t="str">
        <x:v>GSW</x:v>
      </x:c>
      <x:c r="E68" s="58"/>
      <x:c r="F68" s="60"/>
      <x:c r="G68" s="60" t="n">
        <x:v>11.425</x:v>
      </x:c>
      <x:c r="H68" s="60" t="n">
        <x:v>20.294999999999998</x:v>
      </x:c>
      <x:c r="I68" s="58" t="n">
        <x:v>55</x:v>
      </x:c>
      <x:c r="J68" s="59" t="str">
        <x:v>VERY_DEEP</x:v>
      </x:c>
      <x:c r="K68" s="59" t="str">
        <x:v>FC</x:v>
      </x:c>
      <x:c r="L68" s="62" t="str">
        <x:v>Rookie/depth role estimate with a wide band and limited NBA evidence. Treat as a watch-list projection, not a published forecast.</x:v>
      </x:c>
    </x:row>
    <x:row r="69" ht="20" customHeight="1">
      <x:c r="A69" s="59" t="n">
        <x:v>64</x:v>
      </x:c>
      <x:c r="B69" s="59" t="n">
        <x:v>300</x:v>
      </x:c>
      <x:c r="C69" s="59" t="str">
        <x:v>Jericho Sims</x:v>
      </x:c>
      <x:c r="D69" s="59" t="str">
        <x:v>MIL</x:v>
      </x:c>
      <x:c r="E69" s="58" t="n">
        <x:v>67</x:v>
      </x:c>
      <x:c r="F69" s="60" t="n">
        <x:v>18.05</x:v>
      </x:c>
      <x:c r="G69" s="60" t="n">
        <x:v>11.96</x:v>
      </x:c>
      <x:c r="H69" s="60" t="n">
        <x:v>18.96</x:v>
      </x:c>
      <x:c r="I69" s="58" t="n">
        <x:v>60</x:v>
      </x:c>
      <x:c r="J69" s="59" t="str">
        <x:v>DEEP</x:v>
      </x:c>
      <x:c r="K69" s="59" t="str">
        <x:v>C</x:v>
      </x:c>
      <x:c r="L69" s="62" t="str">
        <x:v>Deep-pool model: 2025-26 custom-score production shrunk toward a conservative 2026-27 role estimate; not a published projection.</x:v>
      </x:c>
    </x:row>
    <x:row r="70" ht="20" customHeight="1">
      <x:c r="A70" s="59" t="n">
        <x:v>65</x:v>
      </x:c>
      <x:c r="B70" s="59" t="n">
        <x:v>303</x:v>
      </x:c>
      <x:c r="C70" s="59" t="str">
        <x:v>Jay Huff</x:v>
      </x:c>
      <x:c r="D70" s="59" t="str">
        <x:v>IND</x:v>
      </x:c>
      <x:c r="E70" s="58" t="n">
        <x:v>82</x:v>
      </x:c>
      <x:c r="F70" s="60" t="n">
        <x:v>21.4</x:v>
      </x:c>
      <x:c r="G70" s="60" t="n">
        <x:v>11.405000000000001</x:v>
      </x:c>
      <x:c r="H70" s="60" t="n">
        <x:v>20.275</x:v>
      </x:c>
      <x:c r="I70" s="58" t="n">
        <x:v>42</x:v>
      </x:c>
      <x:c r="J70" s="59" t="str">
        <x:v>VERY_DEEP</x:v>
      </x:c>
      <x:c r="K70" s="59" t="str">
        <x:v>C</x:v>
      </x:c>
      <x:c r="L70" s="62" t="str">
        <x:v>Very-deep roster candidate. Non-guaranteed status and role uncertainty are discounted; verify final roster before draft use.</x:v>
      </x:c>
    </x:row>
    <x:row r="71" ht="20" customHeight="1">
      <x:c r="A71" s="59" t="n">
        <x:v>66</x:v>
      </x:c>
      <x:c r="B71" s="59" t="n">
        <x:v>309</x:v>
      </x:c>
      <x:c r="C71" s="59" t="str">
        <x:v>Quinten Post</x:v>
      </x:c>
      <x:c r="D71" s="59" t="str">
        <x:v>MEM</x:v>
      </x:c>
      <x:c r="E71" s="58" t="n">
        <x:v>67</x:v>
      </x:c>
      <x:c r="F71" s="60" t="n">
        <x:v>16.75</x:v>
      </x:c>
      <x:c r="G71" s="60" t="n">
        <x:v>11.57</x:v>
      </x:c>
      <x:c r="H71" s="60" t="n">
        <x:v>18.57</x:v>
      </x:c>
      <x:c r="I71" s="58" t="n">
        <x:v>60</x:v>
      </x:c>
      <x:c r="J71" s="59" t="str">
        <x:v>DEEP</x:v>
      </x:c>
      <x:c r="K71" s="59" t="str">
        <x:v>C</x:v>
      </x:c>
      <x:c r="L71" s="62" t="str">
        <x:v>Deep-pool model: 2025-26 custom-score production shrunk toward a conservative 2026-27 role estimate; not a published projection.</x:v>
      </x:c>
    </x:row>
    <x:row r="72" ht="20" customHeight="1">
      <x:c r="A72" s="59" t="n">
        <x:v>67</x:v>
      </x:c>
      <x:c r="B72" s="59" t="n">
        <x:v>318</x:v>
      </x:c>
      <x:c r="C72" s="59" t="str">
        <x:v>Tristan Vukcevic</x:v>
      </x:c>
      <x:c r="D72" s="59" t="str">
        <x:v>WAS</x:v>
      </x:c>
      <x:c r="E72" s="58" t="n">
        <x:v>49</x:v>
      </x:c>
      <x:c r="F72" s="60" t="n">
        <x:v>16.5</x:v>
      </x:c>
      <x:c r="G72" s="60" t="n">
        <x:v>11.25</x:v>
      </x:c>
      <x:c r="H72" s="60" t="n">
        <x:v>18.25</x:v>
      </x:c>
      <x:c r="I72" s="58" t="n">
        <x:v>60</x:v>
      </x:c>
      <x:c r="J72" s="59" t="str">
        <x:v>DEEP</x:v>
      </x:c>
      <x:c r="K72" s="59" t="str">
        <x:v>C</x:v>
      </x:c>
      <x:c r="L72" s="62" t="str">
        <x:v>Deep-pool model: 2025-26 custom-score production shrunk toward a conservative 2026-27 role estimate; not a published projection.</x:v>
      </x:c>
    </x:row>
    <x:row r="73" ht="20" customHeight="1">
      <x:c r="A73" s="59" t="n">
        <x:v>68</x:v>
      </x:c>
      <x:c r="B73" s="59" t="n">
        <x:v>320</x:v>
      </x:c>
      <x:c r="C73" s="59" t="str">
        <x:v>Dereck Lively II</x:v>
      </x:c>
      <x:c r="D73" s="59" t="str">
        <x:v>DAL</x:v>
      </x:c>
      <x:c r="E73" s="58" t="n">
        <x:v>7</x:v>
      </x:c>
      <x:c r="F73" s="60" t="n">
        <x:v>18.65</x:v>
      </x:c>
      <x:c r="G73" s="60" t="n">
        <x:v>10.55</x:v>
      </x:c>
      <x:c r="H73" s="60" t="n">
        <x:v>18.75</x:v>
      </x:c>
      <x:c r="I73" s="58" t="n">
        <x:v>60</x:v>
      </x:c>
      <x:c r="J73" s="59" t="str">
        <x:v>VERY_DEEP</x:v>
      </x:c>
      <x:c r="K73" s="59" t="str">
        <x:v>C</x:v>
      </x:c>
      <x:c r="L73" s="62" t="str">
        <x:v>Very-deep model estimate with limited sample/role certainty. Use as a search/watch-list value and refresh once final rotations are known.</x:v>
      </x:c>
    </x:row>
    <x:row r="74" ht="20" customHeight="1">
      <x:c r="A74" s="59" t="n">
        <x:v>69</x:v>
      </x:c>
      <x:c r="B74" s="59" t="n">
        <x:v>323</x:v>
      </x:c>
      <x:c r="C74" s="59" t="str">
        <x:v>Morez Johnson Jr.</x:v>
      </x:c>
      <x:c r="D74" s="59" t="str">
        <x:v>DAL</x:v>
      </x:c>
      <x:c r="E74" s="58"/>
      <x:c r="F74" s="60"/>
      <x:c r="G74" s="60" t="n">
        <x:v>8.575</x:v>
      </x:c>
      <x:c r="H74" s="60" t="n">
        <x:v>20.005</x:v>
      </x:c>
      <x:c r="I74" s="58" t="n">
        <x:v>60</x:v>
      </x:c>
      <x:c r="J74" s="59" t="str">
        <x:v>WATCH</x:v>
      </x:c>
      <x:c r="K74" s="59" t="str">
        <x:v>C</x:v>
      </x:c>
      <x:c r="L74" s="62" t="str">
        <x:v>Rookie/depth role estimate with a wide band and limited NBA evidence. Treat as a watch-list projection, not a published forecast.</x:v>
      </x:c>
    </x:row>
    <x:row r="75" ht="20" customHeight="1">
      <x:c r="A75" s="59" t="n">
        <x:v>70</x:v>
      </x:c>
      <x:c r="B75" s="59" t="n">
        <x:v>329</x:v>
      </x:c>
      <x:c r="C75" s="59" t="str">
        <x:v>Adem Bona</x:v>
      </x:c>
      <x:c r="D75" s="59" t="str">
        <x:v>PHI</x:v>
      </x:c>
      <x:c r="E75" s="58" t="n">
        <x:v>71</x:v>
      </x:c>
      <x:c r="F75" s="60" t="n">
        <x:v>15.55</x:v>
      </x:c>
      <x:c r="G75" s="60" t="n">
        <x:v>10.62</x:v>
      </x:c>
      <x:c r="H75" s="60" t="n">
        <x:v>17.619999999999997</x:v>
      </x:c>
      <x:c r="I75" s="58" t="n">
        <x:v>60</x:v>
      </x:c>
      <x:c r="J75" s="59" t="str">
        <x:v>DEEP</x:v>
      </x:c>
      <x:c r="K75" s="59" t="str">
        <x:v>C</x:v>
      </x:c>
      <x:c r="L75" s="62" t="str">
        <x:v>Deep-pool model: 2025-26 custom-score production shrunk toward a conservative 2026-27 role estimate; not a published projection.</x:v>
      </x:c>
    </x:row>
    <x:row r="76" ht="20" customHeight="1">
      <x:c r="A76" s="59" t="n">
        <x:v>71</x:v>
      </x:c>
      <x:c r="B76" s="59" t="n">
        <x:v>334</x:v>
      </x:c>
      <x:c r="C76" s="59" t="str">
        <x:v>Thomas Sorber</x:v>
      </x:c>
      <x:c r="D76" s="59" t="str">
        <x:v>OKC</x:v>
      </x:c>
      <x:c r="E76" s="58"/>
      <x:c r="F76" s="60"/>
      <x:c r="G76" s="60" t="n">
        <x:v>8.325</x:v>
      </x:c>
      <x:c r="H76" s="60" t="n">
        <x:v>19.415</x:v>
      </x:c>
      <x:c r="I76" s="58" t="n">
        <x:v>60</x:v>
      </x:c>
      <x:c r="J76" s="59" t="str">
        <x:v>WATCH</x:v>
      </x:c>
      <x:c r="K76" s="59" t="str">
        <x:v>C</x:v>
      </x:c>
      <x:c r="L76" s="62" t="str">
        <x:v>Rookie/depth role estimate with a wide band and limited NBA evidence. Treat as a watch-list projection, not a published forecast.</x:v>
      </x:c>
    </x:row>
    <x:row r="77" ht="20" customHeight="1">
      <x:c r="A77" s="59" t="n">
        <x:v>72</x:v>
      </x:c>
      <x:c r="B77" s="59" t="n">
        <x:v>349</x:v>
      </x:c>
      <x:c r="C77" s="59" t="str">
        <x:v>Tarris Reed Jr.</x:v>
      </x:c>
      <x:c r="D77" s="59" t="str">
        <x:v>SAS</x:v>
      </x:c>
      <x:c r="E77" s="58"/>
      <x:c r="F77" s="60"/>
      <x:c r="G77" s="60" t="n">
        <x:v>7.955</x:v>
      </x:c>
      <x:c r="H77" s="60" t="n">
        <x:v>18.564999999999998</x:v>
      </x:c>
      <x:c r="I77" s="58" t="n">
        <x:v>60</x:v>
      </x:c>
      <x:c r="J77" s="59" t="str">
        <x:v>WATCH</x:v>
      </x:c>
      <x:c r="K77" s="59" t="str">
        <x:v>C</x:v>
      </x:c>
      <x:c r="L77" s="62" t="str">
        <x:v>Rookie/depth role estimate with a wide band and limited NBA evidence. Treat as a watch-list projection, not a published forecast.</x:v>
      </x:c>
    </x:row>
    <x:row r="78" ht="20" customHeight="1">
      <x:c r="A78" s="59" t="n">
        <x:v>73</x:v>
      </x:c>
      <x:c r="B78" s="59" t="n">
        <x:v>361</x:v>
      </x:c>
      <x:c r="C78" s="59" t="str">
        <x:v>DeAndre Jordan</x:v>
      </x:c>
      <x:c r="D78" s="59" t="str">
        <x:v>NOP</x:v>
      </x:c>
      <x:c r="E78" s="58" t="n">
        <x:v>12</x:v>
      </x:c>
      <x:c r="F78" s="60" t="n">
        <x:v>17.95</x:v>
      </x:c>
      <x:c r="G78" s="60" t="n">
        <x:v>9.065</x:v>
      </x:c>
      <x:c r="H78" s="60" t="n">
        <x:v>16.115000000000002</x:v>
      </x:c>
      <x:c r="I78" s="58" t="n">
        <x:v>60</x:v>
      </x:c>
      <x:c r="J78" s="59" t="str">
        <x:v>VERY_DEEP</x:v>
      </x:c>
      <x:c r="K78" s="59" t="str">
        <x:v>C</x:v>
      </x:c>
      <x:c r="L78" s="62" t="str">
        <x:v>Very-deep model estimate with limited sample/role certainty. Use as a search/watch-list value and refresh once final rotations are known.</x:v>
      </x:c>
    </x:row>
    <x:row r="79" ht="20" customHeight="1">
      <x:c r="A79" s="59" t="n">
        <x:v>74</x:v>
      </x:c>
      <x:c r="B79" s="59" t="n">
        <x:v>362</x:v>
      </x:c>
      <x:c r="C79" s="59" t="str">
        <x:v>Thomas Bryant</x:v>
      </x:c>
      <x:c r="D79" s="59" t="str">
        <x:v>CLE</x:v>
      </x:c>
      <x:c r="E79" s="58" t="n">
        <x:v>60</x:v>
      </x:c>
      <x:c r="F79" s="60" t="n">
        <x:v>14.3</x:v>
      </x:c>
      <x:c r="G79" s="60" t="n">
        <x:v>8.85</x:v>
      </x:c>
      <x:c r="H79" s="60" t="n">
        <x:v>15.85</x:v>
      </x:c>
      <x:c r="I79" s="58" t="n">
        <x:v>60</x:v>
      </x:c>
      <x:c r="J79" s="59" t="str">
        <x:v>DEEP</x:v>
      </x:c>
      <x:c r="K79" s="59" t="str">
        <x:v>C</x:v>
      </x:c>
      <x:c r="L79" s="62" t="str">
        <x:v>Deep-pool model: 2025-26 custom-score production shrunk toward a conservative 2026-27 role estimate; not a published projection.</x:v>
      </x:c>
    </x:row>
    <x:row r="80" ht="20" customHeight="1">
      <x:c r="A80" s="59" t="n">
        <x:v>75</x:v>
      </x:c>
      <x:c r="B80" s="59" t="n">
        <x:v>366</x:v>
      </x:c>
      <x:c r="C80" s="59" t="str">
        <x:v>Nae'qwan Tomlin</x:v>
      </x:c>
      <x:c r="D80" s="59" t="str">
        <x:v>CLE</x:v>
      </x:c>
      <x:c r="E80" s="58" t="n">
        <x:v>64</x:v>
      </x:c>
      <x:c r="F80" s="60" t="n">
        <x:v>13.95</x:v>
      </x:c>
      <x:c r="G80" s="60" t="n">
        <x:v>8.56</x:v>
      </x:c>
      <x:c r="H80" s="60" t="n">
        <x:v>15.56</x:v>
      </x:c>
      <x:c r="I80" s="58" t="n">
        <x:v>64</x:v>
      </x:c>
      <x:c r="J80" s="59" t="str">
        <x:v>DEEP</x:v>
      </x:c>
      <x:c r="K80" s="59" t="str">
        <x:v>FC</x:v>
      </x:c>
      <x:c r="L80" s="62" t="str">
        <x:v>Deep-pool model: 2025-26 custom-score production shrunk toward a conservative 2026-27 role estimate; not a published projection.</x:v>
      </x:c>
    </x:row>
    <x:row r="81" ht="20" customHeight="1">
      <x:c r="A81" s="59" t="n">
        <x:v>76</x:v>
      </x:c>
      <x:c r="B81" s="59" t="n">
        <x:v>367</x:v>
      </x:c>
      <x:c r="C81" s="59" t="str">
        <x:v>Nick Richards</x:v>
      </x:c>
      <x:c r="D81" s="59" t="str">
        <x:v>MIA</x:v>
      </x:c>
      <x:c r="E81" s="58" t="n">
        <x:v>48</x:v>
      </x:c>
      <x:c r="F81" s="60" t="n">
        <x:v>14.4</x:v>
      </x:c>
      <x:c r="G81" s="60" t="n">
        <x:v>8.63</x:v>
      </x:c>
      <x:c r="H81" s="60" t="n">
        <x:v>15.63</x:v>
      </x:c>
      <x:c r="I81" s="58" t="n">
        <x:v>60</x:v>
      </x:c>
      <x:c r="J81" s="59" t="str">
        <x:v>DEEP</x:v>
      </x:c>
      <x:c r="K81" s="59" t="str">
        <x:v>C</x:v>
      </x:c>
      <x:c r="L81" s="62" t="str">
        <x:v>Deep-pool model: 2025-26 custom-score production shrunk toward a conservative 2026-27 role estimate; not a published projection.</x:v>
      </x:c>
    </x:row>
    <x:row r="82" ht="20" customHeight="1">
      <x:c r="A82" s="59" t="n">
        <x:v>77</x:v>
      </x:c>
      <x:c r="B82" s="59" t="n">
        <x:v>368</x:v>
      </x:c>
      <x:c r="C82" s="59" t="str">
        <x:v>Kevon Looney</x:v>
      </x:c>
      <x:c r="D82" s="59" t="str">
        <x:v>LAL</x:v>
      </x:c>
      <x:c r="E82" s="58" t="n">
        <x:v>21</x:v>
      </x:c>
      <x:c r="F82" s="60" t="n">
        <x:v>15.85</x:v>
      </x:c>
      <x:c r="G82" s="60" t="n">
        <x:v>8.52</x:v>
      </x:c>
      <x:c r="H82" s="60" t="n">
        <x:v>15.52</x:v>
      </x:c>
      <x:c r="I82" s="58" t="n">
        <x:v>60</x:v>
      </x:c>
      <x:c r="J82" s="59" t="str">
        <x:v>VERY_DEEP</x:v>
      </x:c>
      <x:c r="K82" s="59" t="str">
        <x:v>C</x:v>
      </x:c>
      <x:c r="L82" s="62" t="str">
        <x:v>Very-deep model estimate with limited sample/role certainty. Use as a search/watch-list value and refresh once final rotations are known.</x:v>
      </x:c>
    </x:row>
    <x:row r="83" ht="20" customHeight="1">
      <x:c r="A83" s="59" t="n">
        <x:v>78</x:v>
      </x:c>
      <x:c r="B83" s="59" t="n">
        <x:v>370</x:v>
      </x:c>
      <x:c r="C83" s="59" t="str">
        <x:v>Moritz Wagner</x:v>
      </x:c>
      <x:c r="D83" s="59" t="str">
        <x:v>BKN</x:v>
      </x:c>
      <x:c r="E83" s="58" t="n">
        <x:v>36</x:v>
      </x:c>
      <x:c r="F83" s="60" t="n">
        <x:v>13.85</x:v>
      </x:c>
      <x:c r="G83" s="60" t="n">
        <x:v>8.44</x:v>
      </x:c>
      <x:c r="H83" s="60" t="n">
        <x:v>15.44</x:v>
      </x:c>
      <x:c r="I83" s="58" t="n">
        <x:v>60</x:v>
      </x:c>
      <x:c r="J83" s="59" t="str">
        <x:v>DEEP</x:v>
      </x:c>
      <x:c r="K83" s="59" t="str">
        <x:v>C</x:v>
      </x:c>
      <x:c r="L83" s="62" t="str">
        <x:v>Deep-pool model: 2025-26 custom-score production shrunk toward a conservative 2026-27 role estimate; not a published projection.</x:v>
      </x:c>
    </x:row>
    <x:row r="84" ht="20" customHeight="1">
      <x:c r="A84" s="59" t="n">
        <x:v>79</x:v>
      </x:c>
      <x:c r="B84" s="59" t="n">
        <x:v>391</x:v>
      </x:c>
      <x:c r="C84" s="59" t="str">
        <x:v>Trevon Brazile</x:v>
      </x:c>
      <x:c r="D84" s="59" t="str">
        <x:v>DEN</x:v>
      </x:c>
      <x:c r="E84" s="58"/>
      <x:c r="F84" s="60"/>
      <x:c r="G84" s="60" t="n">
        <x:v>7.4</x:v>
      </x:c>
      <x:c r="H84" s="60" t="n">
        <x:v>14.4</x:v>
      </x:c>
      <x:c r="I84" s="58" t="n">
        <x:v>55</x:v>
      </x:c>
      <x:c r="J84" s="59" t="str">
        <x:v>VERY_DEEP</x:v>
      </x:c>
      <x:c r="K84" s="59" t="str">
        <x:v>FC</x:v>
      </x:c>
      <x:c r="L84" s="62" t="str">
        <x:v>Rookie/depth role estimate with a wide band and limited NBA evidence. Treat as a watch-list projection, not a published forecast.</x:v>
      </x:c>
    </x:row>
    <x:row r="85" ht="20" customHeight="1">
      <x:c r="A85" s="59" t="n">
        <x:v>80</x:v>
      </x:c>
      <x:c r="B85" s="59" t="n">
        <x:v>395</x:v>
      </x:c>
      <x:c r="C85" s="59" t="str">
        <x:v>Branden Carlson</x:v>
      </x:c>
      <x:c r="D85" s="59" t="str">
        <x:v>POR</x:v>
      </x:c>
      <x:c r="E85" s="58" t="n">
        <x:v>42</x:v>
      </x:c>
      <x:c r="F85" s="60" t="n">
        <x:v>12.85</x:v>
      </x:c>
      <x:c r="G85" s="60" t="n">
        <x:v>7.18</x:v>
      </x:c>
      <x:c r="H85" s="60" t="n">
        <x:v>14.18</x:v>
      </x:c>
      <x:c r="I85" s="58" t="n">
        <x:v>60</x:v>
      </x:c>
      <x:c r="J85" s="59" t="str">
        <x:v>DEEP</x:v>
      </x:c>
      <x:c r="K85" s="59" t="str">
        <x:v>C</x:v>
      </x:c>
      <x:c r="L85" s="62" t="str">
        <x:v>Deep-pool model: 2025-26 custom-score production shrunk toward a conservative 2026-27 role estimate; not a published projection.</x:v>
      </x:c>
    </x:row>
    <x:row r="86" ht="20" customHeight="1">
      <x:c r="A86" s="59" t="n">
        <x:v>81</x:v>
      </x:c>
      <x:c r="B86" s="59" t="n">
        <x:v>396</x:v>
      </x:c>
      <x:c r="C86" s="59" t="str">
        <x:v>Charles Bassey</x:v>
      </x:c>
      <x:c r="D86" s="59" t="str">
        <x:v>GSW</x:v>
      </x:c>
      <x:c r="E86" s="58" t="n">
        <x:v>13</x:v>
      </x:c>
      <x:c r="F86" s="60" t="n">
        <x:v>17.25</x:v>
      </x:c>
      <x:c r="G86" s="60" t="n">
        <x:v>7.529999999999999</x:v>
      </x:c>
      <x:c r="H86" s="60" t="n">
        <x:v>14.53</x:v>
      </x:c>
      <x:c r="I86" s="58" t="n">
        <x:v>42</x:v>
      </x:c>
      <x:c r="J86" s="59" t="str">
        <x:v>VERY_DEEP</x:v>
      </x:c>
      <x:c r="K86" s="59" t="str">
        <x:v>C</x:v>
      </x:c>
      <x:c r="L86" s="62" t="str">
        <x:v>Very-deep roster candidate. Non-guaranteed status and role uncertainty are discounted; verify final roster before draft use.</x:v>
      </x:c>
    </x:row>
    <x:row r="87" ht="20" customHeight="1">
      <x:c r="A87" s="59" t="n">
        <x:v>82</x:v>
      </x:c>
      <x:c r="B87" s="59" t="n">
        <x:v>401</x:v>
      </x:c>
      <x:c r="C87" s="59" t="str">
        <x:v>Joan Beringer</x:v>
      </x:c>
      <x:c r="D87" s="59" t="str">
        <x:v>MIN</x:v>
      </x:c>
      <x:c r="E87" s="58" t="n">
        <x:v>40</x:v>
      </x:c>
      <x:c r="F87" s="60" t="n">
        <x:v>10.9</x:v>
      </x:c>
      <x:c r="G87" s="60" t="n">
        <x:v>6.75</x:v>
      </x:c>
      <x:c r="H87" s="60" t="n">
        <x:v>13.75</x:v>
      </x:c>
      <x:c r="I87" s="58" t="n">
        <x:v>64</x:v>
      </x:c>
      <x:c r="J87" s="59" t="str">
        <x:v>DEEP</x:v>
      </x:c>
      <x:c r="K87" s="59" t="str">
        <x:v>C</x:v>
      </x:c>
      <x:c r="L87" s="62" t="str">
        <x:v>Deep-pool model: 2025-26 custom-score production shrunk toward a conservative 2026-27 role estimate; not a published projection.</x:v>
      </x:c>
    </x:row>
    <x:row r="88" ht="20" customHeight="1">
      <x:c r="A88" s="59" t="n">
        <x:v>83</x:v>
      </x:c>
      <x:c r="B88" s="59" t="n">
        <x:v>413</x:v>
      </x:c>
      <x:c r="C88" s="59" t="str">
        <x:v>Rasheer Fleming</x:v>
      </x:c>
      <x:c r="D88" s="59" t="str">
        <x:v>PHX</x:v>
      </x:c>
      <x:c r="E88" s="58" t="n">
        <x:v>55</x:v>
      </x:c>
      <x:c r="F88" s="60" t="n">
        <x:v>9.55</x:v>
      </x:c>
      <x:c r="G88" s="60" t="n">
        <x:v>5.73</x:v>
      </x:c>
      <x:c r="H88" s="60" t="n">
        <x:v>12.73</x:v>
      </x:c>
      <x:c r="I88" s="58" t="n">
        <x:v>64</x:v>
      </x:c>
      <x:c r="J88" s="59" t="str">
        <x:v>DEEP</x:v>
      </x:c>
      <x:c r="K88" s="59" t="str">
        <x:v>FC</x:v>
      </x:c>
      <x:c r="L88" s="62" t="str">
        <x:v>Deep-pool model: 2025-26 custom-score production shrunk toward a conservative 2026-27 role estimate; not a published projection.</x:v>
      </x:c>
    </x:row>
    <x:row r="89" ht="20" customHeight="1">
      <x:c r="A89" s="59" t="n">
        <x:v>84</x:v>
      </x:c>
      <x:c r="B89" s="59" t="n">
        <x:v>415</x:v>
      </x:c>
      <x:c r="C89" s="59" t="str">
        <x:v>Khaman Maluach</x:v>
      </x:c>
      <x:c r="D89" s="59" t="str">
        <x:v>PHX</x:v>
      </x:c>
      <x:c r="E89" s="58" t="n">
        <x:v>46</x:v>
      </x:c>
      <x:c r="F89" s="60" t="n">
        <x:v>9</x:v>
      </x:c>
      <x:c r="G89" s="60" t="n">
        <x:v>5.65</x:v>
      </x:c>
      <x:c r="H89" s="60" t="n">
        <x:v>12.65</x:v>
      </x:c>
      <x:c r="I89" s="58" t="n">
        <x:v>64</x:v>
      </x:c>
      <x:c r="J89" s="59" t="str">
        <x:v>DEEP</x:v>
      </x:c>
      <x:c r="K89" s="59" t="str">
        <x:v>C</x:v>
      </x:c>
      <x:c r="L89" s="62" t="str">
        <x:v>Deep-pool model: 2025-26 custom-score production shrunk toward a conservative 2026-27 role estimate; not a published projection.</x:v>
      </x:c>
    </x:row>
    <x:row r="90" ht="20" customHeight="1">
      <x:c r="A90" s="59" t="n">
        <x:v>85</x:v>
      </x:c>
      <x:c r="B90" s="59" t="n">
        <x:v>416</x:v>
      </x:c>
      <x:c r="C90" s="59" t="str">
        <x:v>Henri Veesaar</x:v>
      </x:c>
      <x:c r="D90" s="59" t="str">
        <x:v>ATL</x:v>
      </x:c>
      <x:c r="E90" s="58"/>
      <x:c r="F90" s="60"/>
      <x:c r="G90" s="60" t="n">
        <x:v>5.519999999999999</x:v>
      </x:c>
      <x:c r="H90" s="60" t="n">
        <x:v>12.879999999999999</x:v>
      </x:c>
      <x:c r="I90" s="58" t="n">
        <x:v>60</x:v>
      </x:c>
      <x:c r="J90" s="59" t="str">
        <x:v>WATCH</x:v>
      </x:c>
      <x:c r="K90" s="59" t="str">
        <x:v>C</x:v>
      </x:c>
      <x:c r="L90" s="62" t="str">
        <x:v>Rookie/depth role estimate with a wide band and limited NBA evidence. Treat as a watch-list projection, not a published forecast.</x:v>
      </x:c>
    </x:row>
    <x:row r="91" ht="20" customHeight="1">
      <x:c r="A91" s="59" t="n">
        <x:v>86</x:v>
      </x:c>
      <x:c r="B91" s="59" t="n">
        <x:v>437</x:v>
      </x:c>
      <x:c r="C91" s="59" t="str">
        <x:v>Alex Reese</x:v>
      </x:c>
      <x:c r="D91" s="59" t="str">
        <x:v>IND</x:v>
      </x:c>
      <x:c r="E91" s="58"/>
      <x:c r="F91" s="60"/>
      <x:c r="G91" s="60" t="n">
        <x:v>0</x:v>
      </x:c>
      <x:c r="H91" s="60" t="n">
        <x:v>3.5</x:v>
      </x:c>
      <x:c r="I91" s="58" t="n">
        <x:v>0</x:v>
      </x:c>
      <x:c r="J91" s="59" t="str">
        <x:v>WATCH</x:v>
      </x:c>
      <x:c r="K91" s="59" t="str">
        <x:v>FC</x:v>
      </x:c>
      <x:c r="L91" s="62" t="str">
        <x:v>Camp/summer-depth watch entry; no reliable 2026-27 fantasy projection. Verify final NBA contract, roster status and role before draft use.</x:v>
      </x:c>
    </x:row>
    <x:row r="92" ht="20" customHeight="1">
      <x:c r="A92" s="59" t="n">
        <x:v>87</x:v>
      </x:c>
      <x:c r="B92" s="59" t="n">
        <x:v>439</x:v>
      </x:c>
      <x:c r="C92" s="59" t="str">
        <x:v>Aliou Diarra</x:v>
      </x:c>
      <x:c r="D92" s="59" t="str">
        <x:v>POR</x:v>
      </x:c>
      <x:c r="E92" s="58"/>
      <x:c r="F92" s="60"/>
      <x:c r="G92" s="60" t="n">
        <x:v>0</x:v>
      </x:c>
      <x:c r="H92" s="60" t="n">
        <x:v>3.5</x:v>
      </x:c>
      <x:c r="I92" s="58" t="n">
        <x:v>0</x:v>
      </x:c>
      <x:c r="J92" s="59" t="str">
        <x:v>WATCH</x:v>
      </x:c>
      <x:c r="K92" s="59" t="str">
        <x:v>FC</x:v>
      </x:c>
      <x:c r="L92" s="62" t="str">
        <x:v>Camp/summer-depth watch entry; no reliable 2026-27 fantasy projection. Verify final NBA contract, roster status and role before draft use.</x:v>
      </x:c>
    </x:row>
    <x:row r="93" ht="20" customHeight="1">
      <x:c r="A93" s="59" t="n">
        <x:v>88</x:v>
      </x:c>
      <x:c r="B93" s="59" t="n">
        <x:v>441</x:v>
      </x:c>
      <x:c r="C93" s="59" t="str">
        <x:v>Andrew Carr</x:v>
      </x:c>
      <x:c r="D93" s="59" t="str">
        <x:v>POR</x:v>
      </x:c>
      <x:c r="E93" s="58"/>
      <x:c r="F93" s="60"/>
      <x:c r="G93" s="60" t="n">
        <x:v>0</x:v>
      </x:c>
      <x:c r="H93" s="60" t="n">
        <x:v>3.5</x:v>
      </x:c>
      <x:c r="I93" s="58" t="n">
        <x:v>0</x:v>
      </x:c>
      <x:c r="J93" s="59" t="str">
        <x:v>WATCH</x:v>
      </x:c>
      <x:c r="K93" s="59" t="str">
        <x:v>FC</x:v>
      </x:c>
      <x:c r="L93" s="62" t="str">
        <x:v>Camp/summer-depth watch entry; no reliable 2026-27 fantasy projection. Verify final NBA contract, roster status and role before draft use.</x:v>
      </x:c>
    </x:row>
    <x:row r="94" ht="20" customHeight="1">
      <x:c r="A94" s="59" t="n">
        <x:v>89</x:v>
      </x:c>
      <x:c r="B94" s="59" t="n">
        <x:v>446</x:v>
      </x:c>
      <x:c r="C94" s="59" t="str">
        <x:v>Arnas Sakenis</x:v>
      </x:c>
      <x:c r="D94" s="59" t="str">
        <x:v>MIA</x:v>
      </x:c>
      <x:c r="E94" s="58"/>
      <x:c r="F94" s="60"/>
      <x:c r="G94" s="60" t="n">
        <x:v>0</x:v>
      </x:c>
      <x:c r="H94" s="60" t="n">
        <x:v>3.5</x:v>
      </x:c>
      <x:c r="I94" s="58" t="n">
        <x:v>0</x:v>
      </x:c>
      <x:c r="J94" s="59" t="str">
        <x:v>WATCH</x:v>
      </x:c>
      <x:c r="K94" s="59" t="str">
        <x:v>C</x:v>
      </x:c>
      <x:c r="L94" s="62" t="str">
        <x:v>Camp/summer-depth watch entry; no reliable 2026-27 fantasy projection. Verify final NBA contract, roster status and role before draft use.</x:v>
      </x:c>
    </x:row>
    <x:row r="95" ht="20" customHeight="1">
      <x:c r="A95" s="59" t="n">
        <x:v>90</x:v>
      </x:c>
      <x:c r="B95" s="59" t="n">
        <x:v>448</x:v>
      </x:c>
      <x:c r="C95" s="59" t="str">
        <x:v>Aziz Bandaogo</x:v>
      </x:c>
      <x:c r="D95" s="59" t="str">
        <x:v>TOR</x:v>
      </x:c>
      <x:c r="E95" s="58"/>
      <x:c r="F95" s="60"/>
      <x:c r="G95" s="60" t="n">
        <x:v>0</x:v>
      </x:c>
      <x:c r="H95" s="60" t="n">
        <x:v>3.5</x:v>
      </x:c>
      <x:c r="I95" s="58" t="n">
        <x:v>0</x:v>
      </x:c>
      <x:c r="J95" s="59" t="str">
        <x:v>WATCH</x:v>
      </x:c>
      <x:c r="K95" s="59" t="str">
        <x:v>FC</x:v>
      </x:c>
      <x:c r="L95" s="62" t="str">
        <x:v>Camp/summer-depth watch entry; no reliable 2026-27 fantasy projection. Verify final NBA contract, roster status and role before draft use.</x:v>
      </x:c>
    </x:row>
    <x:row r="96" ht="20" customHeight="1">
      <x:c r="A96" s="59" t="n">
        <x:v>91</x:v>
      </x:c>
      <x:c r="B96" s="59" t="n">
        <x:v>451</x:v>
      </x:c>
      <x:c r="C96" s="59" t="str">
        <x:v>Basheer Jihad</x:v>
      </x:c>
      <x:c r="D96" s="59" t="str">
        <x:v>DET</x:v>
      </x:c>
      <x:c r="E96" s="58"/>
      <x:c r="F96" s="60"/>
      <x:c r="G96" s="60" t="n">
        <x:v>0</x:v>
      </x:c>
      <x:c r="H96" s="60" t="n">
        <x:v>3.5</x:v>
      </x:c>
      <x:c r="I96" s="58" t="n">
        <x:v>0</x:v>
      </x:c>
      <x:c r="J96" s="59" t="str">
        <x:v>WATCH</x:v>
      </x:c>
      <x:c r="K96" s="59" t="str">
        <x:v>FC</x:v>
      </x:c>
      <x:c r="L96" s="62" t="str">
        <x:v>Camp/summer-depth watch entry; no reliable 2026-27 fantasy projection. Verify final NBA contract, roster status and role before draft use.</x:v>
      </x:c>
    </x:row>
    <x:row r="97" ht="20" customHeight="1">
      <x:c r="A97" s="59" t="n">
        <x:v>92</x:v>
      </x:c>
      <x:c r="B97" s="59" t="n">
        <x:v>453</x:v>
      </x:c>
      <x:c r="C97" s="59" t="str">
        <x:v>Ben Middlebrooks</x:v>
      </x:c>
      <x:c r="D97" s="59" t="str">
        <x:v>HOU</x:v>
      </x:c>
      <x:c r="E97" s="58"/>
      <x:c r="F97" s="60"/>
      <x:c r="G97" s="60" t="n">
        <x:v>0</x:v>
      </x:c>
      <x:c r="H97" s="60" t="n">
        <x:v>3.5</x:v>
      </x:c>
      <x:c r="I97" s="58" t="n">
        <x:v>0</x:v>
      </x:c>
      <x:c r="J97" s="59" t="str">
        <x:v>WATCH</x:v>
      </x:c>
      <x:c r="K97" s="59" t="str">
        <x:v>FC</x:v>
      </x:c>
      <x:c r="L97" s="62" t="str">
        <x:v>Camp/summer-depth watch entry; no reliable 2026-27 fantasy projection. Verify final NBA contract, roster status and role before draft use.</x:v>
      </x:c>
    </x:row>
    <x:row r="98" ht="20" customHeight="1">
      <x:c r="A98" s="59" t="n">
        <x:v>93</x:v>
      </x:c>
      <x:c r="B98" s="59" t="n">
        <x:v>467</x:v>
      </x:c>
      <x:c r="C98" s="59" t="str">
        <x:v>Cameron Corhen</x:v>
      </x:c>
      <x:c r="D98" s="59" t="str">
        <x:v>ATL</x:v>
      </x:c>
      <x:c r="E98" s="58"/>
      <x:c r="F98" s="60"/>
      <x:c r="G98" s="60" t="n">
        <x:v>0</x:v>
      </x:c>
      <x:c r="H98" s="60" t="n">
        <x:v>3.5</x:v>
      </x:c>
      <x:c r="I98" s="58" t="n">
        <x:v>0</x:v>
      </x:c>
      <x:c r="J98" s="59" t="str">
        <x:v>WATCH</x:v>
      </x:c>
      <x:c r="K98" s="59" t="str">
        <x:v>FC</x:v>
      </x:c>
      <x:c r="L98" s="62" t="str">
        <x:v>Camp/summer-depth watch entry; no reliable 2026-27 fantasy projection. Verify final NBA contract, roster status and role before draft use.</x:v>
      </x:c>
    </x:row>
    <x:row r="99" ht="20" customHeight="1">
      <x:c r="A99" s="59" t="n">
        <x:v>94</x:v>
      </x:c>
      <x:c r="B99" s="59" t="n">
        <x:v>471</x:v>
      </x:c>
      <x:c r="C99" s="59" t="str">
        <x:v>Carson Cooper</x:v>
      </x:c>
      <x:c r="D99" s="59" t="str">
        <x:v>MEM</x:v>
      </x:c>
      <x:c r="E99" s="58"/>
      <x:c r="F99" s="60"/>
      <x:c r="G99" s="60" t="n">
        <x:v>0</x:v>
      </x:c>
      <x:c r="H99" s="60" t="n">
        <x:v>3.5</x:v>
      </x:c>
      <x:c r="I99" s="58" t="n">
        <x:v>0</x:v>
      </x:c>
      <x:c r="J99" s="59" t="str">
        <x:v>WATCH</x:v>
      </x:c>
      <x:c r="K99" s="59" t="str">
        <x:v>C</x:v>
      </x:c>
      <x:c r="L99" s="62" t="str">
        <x:v>Camp/summer-depth watch entry; no reliable 2026-27 fantasy projection. Verify final NBA contract, roster status and role before draft use.</x:v>
      </x:c>
    </x:row>
    <x:row r="100" ht="20" customHeight="1">
      <x:c r="A100" s="59" t="n">
        <x:v>95</x:v>
      </x:c>
      <x:c r="B100" s="59" t="n">
        <x:v>473</x:v>
      </x:c>
      <x:c r="C100" s="59" t="str">
        <x:v>Charles Bediako</x:v>
      </x:c>
      <x:c r="D100" s="59" t="str">
        <x:v>CHI</x:v>
      </x:c>
      <x:c r="E100" s="58"/>
      <x:c r="F100" s="60"/>
      <x:c r="G100" s="60" t="n">
        <x:v>0</x:v>
      </x:c>
      <x:c r="H100" s="60" t="n">
        <x:v>3.5</x:v>
      </x:c>
      <x:c r="I100" s="58" t="n">
        <x:v>0</x:v>
      </x:c>
      <x:c r="J100" s="59" t="str">
        <x:v>WATCH</x:v>
      </x:c>
      <x:c r="K100" s="59" t="str">
        <x:v>FC</x:v>
      </x:c>
      <x:c r="L100" s="62" t="str">
        <x:v>Camp/summer-depth watch entry; no reliable 2026-27 fantasy projection. Verify final NBA contract, roster status and role before draft use.</x:v>
      </x:c>
    </x:row>
    <x:row r="101" ht="20" customHeight="1">
      <x:c r="A101" s="59" t="n">
        <x:v>96</x:v>
      </x:c>
      <x:c r="B101" s="59" t="n">
        <x:v>480</x:v>
      </x:c>
      <x:c r="C101" s="59" t="str">
        <x:v>Christoph Tilly</x:v>
      </x:c>
      <x:c r="D101" s="59" t="str">
        <x:v>OKC</x:v>
      </x:c>
      <x:c r="E101" s="58"/>
      <x:c r="F101" s="60"/>
      <x:c r="G101" s="60" t="n">
        <x:v>0</x:v>
      </x:c>
      <x:c r="H101" s="60" t="n">
        <x:v>3.5</x:v>
      </x:c>
      <x:c r="I101" s="58" t="n">
        <x:v>0</x:v>
      </x:c>
      <x:c r="J101" s="59" t="str">
        <x:v>WATCH</x:v>
      </x:c>
      <x:c r="K101" s="59" t="str">
        <x:v>C</x:v>
      </x:c>
      <x:c r="L101" s="62" t="str">
        <x:v>Camp/summer-depth watch entry; no reliable 2026-27 fantasy projection. Verify final NBA contract, roster status and role before draft use.</x:v>
      </x:c>
    </x:row>
    <x:row r="102" ht="20" customHeight="1">
      <x:c r="A102" s="59" t="n">
        <x:v>97</x:v>
      </x:c>
      <x:c r="B102" s="59" t="n">
        <x:v>481</x:v>
      </x:c>
      <x:c r="C102" s="59" t="str">
        <x:v>Coleman Hawkins</x:v>
      </x:c>
      <x:c r="D102" s="59" t="str">
        <x:v>DEN</x:v>
      </x:c>
      <x:c r="E102" s="58"/>
      <x:c r="F102" s="60"/>
      <x:c r="G102" s="60" t="n">
        <x:v>0</x:v>
      </x:c>
      <x:c r="H102" s="60" t="n">
        <x:v>3.5</x:v>
      </x:c>
      <x:c r="I102" s="58" t="n">
        <x:v>0</x:v>
      </x:c>
      <x:c r="J102" s="59" t="str">
        <x:v>WATCH</x:v>
      </x:c>
      <x:c r="K102" s="59" t="str">
        <x:v>FC</x:v>
      </x:c>
      <x:c r="L102" s="62" t="str">
        <x:v>Camp/summer-depth watch entry; no reliable 2026-27 fantasy projection. Verify final NBA contract, roster status and role before draft use.</x:v>
      </x:c>
    </x:row>
    <x:row r="103" ht="20" customHeight="1">
      <x:c r="A103" s="59" t="n">
        <x:v>98</x:v>
      </x:c>
      <x:c r="B103" s="59" t="n">
        <x:v>488</x:v>
      </x:c>
      <x:c r="C103" s="59" t="str">
        <x:v>David Muoka</x:v>
      </x:c>
      <x:c r="D103" s="59" t="str">
        <x:v>SAS</x:v>
      </x:c>
      <x:c r="E103" s="58"/>
      <x:c r="F103" s="60"/>
      <x:c r="G103" s="60" t="n">
        <x:v>0</x:v>
      </x:c>
      <x:c r="H103" s="60" t="n">
        <x:v>3.5</x:v>
      </x:c>
      <x:c r="I103" s="58" t="n">
        <x:v>0</x:v>
      </x:c>
      <x:c r="J103" s="59" t="str">
        <x:v>WATCH</x:v>
      </x:c>
      <x:c r="K103" s="59" t="str">
        <x:v>C</x:v>
      </x:c>
      <x:c r="L103" s="62" t="str">
        <x:v>Camp/summer-depth watch entry; no reliable 2026-27 fantasy projection. Verify final NBA contract, roster status and role before draft use.</x:v>
      </x:c>
    </x:row>
    <x:row r="104" ht="20" customHeight="1">
      <x:c r="A104" s="59" t="n">
        <x:v>99</x:v>
      </x:c>
      <x:c r="B104" s="59" t="n">
        <x:v>500</x:v>
      </x:c>
      <x:c r="C104" s="59" t="str">
        <x:v>Drew Cisse</x:v>
      </x:c>
      <x:c r="D104" s="59" t="str">
        <x:v>PHI</x:v>
      </x:c>
      <x:c r="E104" s="58"/>
      <x:c r="F104" s="60"/>
      <x:c r="G104" s="60" t="n">
        <x:v>0</x:v>
      </x:c>
      <x:c r="H104" s="60" t="n">
        <x:v>3.5</x:v>
      </x:c>
      <x:c r="I104" s="58" t="n">
        <x:v>0</x:v>
      </x:c>
      <x:c r="J104" s="59" t="str">
        <x:v>WATCH</x:v>
      </x:c>
      <x:c r="K104" s="59" t="str">
        <x:v>C</x:v>
      </x:c>
      <x:c r="L104" s="62" t="str">
        <x:v>Camp/summer-depth watch entry; no reliable 2026-27 fantasy projection. Verify final NBA contract, roster status and role before draft use.</x:v>
      </x:c>
    </x:row>
    <x:row r="105" ht="20" customHeight="1">
      <x:c r="A105" s="59" t="n">
        <x:v>100</x:v>
      </x:c>
      <x:c r="B105" s="59" t="n">
        <x:v>501</x:v>
      </x:c>
      <x:c r="C105" s="59" t="str">
        <x:v>Duke Brennan</x:v>
      </x:c>
      <x:c r="D105" s="59" t="str">
        <x:v>BKN</x:v>
      </x:c>
      <x:c r="E105" s="58"/>
      <x:c r="F105" s="60"/>
      <x:c r="G105" s="60" t="n">
        <x:v>0</x:v>
      </x:c>
      <x:c r="H105" s="60" t="n">
        <x:v>3.5</x:v>
      </x:c>
      <x:c r="I105" s="58" t="n">
        <x:v>0</x:v>
      </x:c>
      <x:c r="J105" s="59" t="str">
        <x:v>WATCH</x:v>
      </x:c>
      <x:c r="K105" s="59" t="str">
        <x:v>C</x:v>
      </x:c>
      <x:c r="L105" s="62" t="str">
        <x:v>Camp/summer-depth watch entry; no reliable 2026-27 fantasy projection. Verify final NBA contract, roster status and role before draft use.</x:v>
      </x:c>
    </x:row>
    <x:row r="106" ht="20" customHeight="1">
      <x:c r="A106" s="59" t="n">
        <x:v>101</x:v>
      </x:c>
      <x:c r="B106" s="59" t="n">
        <x:v>504</x:v>
      </x:c>
      <x:c r="C106" s="59" t="str">
        <x:v>Efe Abogidi</x:v>
      </x:c>
      <x:c r="D106" s="59" t="str">
        <x:v>DEN</x:v>
      </x:c>
      <x:c r="E106" s="58"/>
      <x:c r="F106" s="60"/>
      <x:c r="G106" s="60" t="n">
        <x:v>0</x:v>
      </x:c>
      <x:c r="H106" s="60" t="n">
        <x:v>3.5</x:v>
      </x:c>
      <x:c r="I106" s="58" t="n">
        <x:v>0</x:v>
      </x:c>
      <x:c r="J106" s="59" t="str">
        <x:v>WATCH</x:v>
      </x:c>
      <x:c r="K106" s="59" t="str">
        <x:v>C</x:v>
      </x:c>
      <x:c r="L106" s="62" t="str">
        <x:v>Camp/summer-depth watch entry; no reliable 2026-27 fantasy projection. Verify final NBA contract, roster status and role before draft use.</x:v>
      </x:c>
    </x:row>
    <x:row r="107" ht="20" customHeight="1">
      <x:c r="A107" s="59" t="n">
        <x:v>102</x:v>
      </x:c>
      <x:c r="B107" s="59" t="n">
        <x:v>510</x:v>
      </x:c>
      <x:c r="C107" s="59" t="str">
        <x:v>Felix Okpara</x:v>
      </x:c>
      <x:c r="D107" s="59" t="str">
        <x:v>WAS</x:v>
      </x:c>
      <x:c r="E107" s="58"/>
      <x:c r="F107" s="60"/>
      <x:c r="G107" s="60" t="n">
        <x:v>0</x:v>
      </x:c>
      <x:c r="H107" s="60" t="n">
        <x:v>3.5</x:v>
      </x:c>
      <x:c r="I107" s="58" t="n">
        <x:v>0</x:v>
      </x:c>
      <x:c r="J107" s="59" t="str">
        <x:v>WATCH</x:v>
      </x:c>
      <x:c r="K107" s="59" t="str">
        <x:v>C</x:v>
      </x:c>
      <x:c r="L107" s="62" t="str">
        <x:v>Camp/summer-depth watch entry; no reliable 2026-27 fantasy projection. Verify final NBA contract, roster status and role before draft use.</x:v>
      </x:c>
    </x:row>
    <x:row r="108" ht="20" customHeight="1">
      <x:c r="A108" s="59" t="n">
        <x:v>103</x:v>
      </x:c>
      <x:c r="B108" s="59" t="n">
        <x:v>516</x:v>
      </x:c>
      <x:c r="C108" s="59" t="str">
        <x:v>Giovanni Emejuru</x:v>
      </x:c>
      <x:c r="D108" s="59" t="str">
        <x:v>DEN</x:v>
      </x:c>
      <x:c r="E108" s="58"/>
      <x:c r="F108" s="60"/>
      <x:c r="G108" s="60" t="n">
        <x:v>0</x:v>
      </x:c>
      <x:c r="H108" s="60" t="n">
        <x:v>3.5</x:v>
      </x:c>
      <x:c r="I108" s="58" t="n">
        <x:v>0</x:v>
      </x:c>
      <x:c r="J108" s="59" t="str">
        <x:v>WATCH</x:v>
      </x:c>
      <x:c r="K108" s="59" t="str">
        <x:v>C</x:v>
      </x:c>
      <x:c r="L108" s="62" t="str">
        <x:v>Camp/summer-depth watch entry; no reliable 2026-27 fantasy projection. Verify final NBA contract, roster status and role before draft use.</x:v>
      </x:c>
    </x:row>
    <x:row r="109" ht="20" customHeight="1">
      <x:c r="A109" s="59" t="n">
        <x:v>104</x:v>
      </x:c>
      <x:c r="B109" s="59" t="n">
        <x:v>517</x:v>
      </x:c>
      <x:c r="C109" s="59" t="str">
        <x:v>Graham Ike</x:v>
      </x:c>
      <x:c r="D109" s="59" t="str">
        <x:v>GSW</x:v>
      </x:c>
      <x:c r="E109" s="58"/>
      <x:c r="F109" s="60"/>
      <x:c r="G109" s="60" t="n">
        <x:v>0</x:v>
      </x:c>
      <x:c r="H109" s="60" t="n">
        <x:v>3.5</x:v>
      </x:c>
      <x:c r="I109" s="58" t="n">
        <x:v>0</x:v>
      </x:c>
      <x:c r="J109" s="59" t="str">
        <x:v>WATCH</x:v>
      </x:c>
      <x:c r="K109" s="59" t="str">
        <x:v>FC</x:v>
      </x:c>
      <x:c r="L109" s="62" t="str">
        <x:v>Camp/summer-depth watch entry; no reliable 2026-27 fantasy projection. Verify final NBA contract, roster status and role before draft use.</x:v>
      </x:c>
    </x:row>
    <x:row r="110" ht="20" customHeight="1">
      <x:c r="A110" s="59" t="n">
        <x:v>105</x:v>
      </x:c>
      <x:c r="B110" s="59" t="n">
        <x:v>520</x:v>
      </x:c>
      <x:c r="C110" s="59" t="str">
        <x:v>Hansen Yang</x:v>
      </x:c>
      <x:c r="D110" s="59" t="str">
        <x:v>POR</x:v>
      </x:c>
      <x:c r="E110" s="58"/>
      <x:c r="F110" s="60"/>
      <x:c r="G110" s="60" t="n">
        <x:v>0</x:v>
      </x:c>
      <x:c r="H110" s="60" t="n">
        <x:v>3.5</x:v>
      </x:c>
      <x:c r="I110" s="58" t="n">
        <x:v>0</x:v>
      </x:c>
      <x:c r="J110" s="59" t="str">
        <x:v>WATCH</x:v>
      </x:c>
      <x:c r="K110" s="59" t="str">
        <x:v>C</x:v>
      </x:c>
      <x:c r="L110" s="62" t="str">
        <x:v>Camp/summer-depth watch entry; no reliable 2026-27 fantasy projection. Verify final NBA contract, roster status and role before draft use.</x:v>
      </x:c>
    </x:row>
    <x:row r="111" ht="20" customHeight="1">
      <x:c r="A111" s="59" t="n">
        <x:v>106</x:v>
      </x:c>
      <x:c r="B111" s="59" t="n">
        <x:v>521</x:v>
      </x:c>
      <x:c r="C111" s="59" t="str">
        <x:v>Harry Wessels</x:v>
      </x:c>
      <x:c r="D111" s="59" t="str">
        <x:v>SAS</x:v>
      </x:c>
      <x:c r="E111" s="58"/>
      <x:c r="F111" s="60"/>
      <x:c r="G111" s="60" t="n">
        <x:v>0</x:v>
      </x:c>
      <x:c r="H111" s="60" t="n">
        <x:v>3.5</x:v>
      </x:c>
      <x:c r="I111" s="58" t="n">
        <x:v>0</x:v>
      </x:c>
      <x:c r="J111" s="59" t="str">
        <x:v>WATCH</x:v>
      </x:c>
      <x:c r="K111" s="59" t="str">
        <x:v>C</x:v>
      </x:c>
      <x:c r="L111" s="62" t="str">
        <x:v>Camp/summer-depth watch entry; no reliable 2026-27 fantasy projection. Verify final NBA contract, roster status and role before draft use.</x:v>
      </x:c>
    </x:row>
    <x:row r="112" ht="20" customHeight="1">
      <x:c r="A112" s="59" t="n">
        <x:v>107</x:v>
      </x:c>
      <x:c r="B112" s="59" t="n">
        <x:v>526</x:v>
      </x:c>
      <x:c r="C112" s="59" t="str">
        <x:v>Isaac Johnson</x:v>
      </x:c>
      <x:c r="D112" s="59" t="str">
        <x:v>PHI</x:v>
      </x:c>
      <x:c r="E112" s="58"/>
      <x:c r="F112" s="60"/>
      <x:c r="G112" s="60" t="n">
        <x:v>0</x:v>
      </x:c>
      <x:c r="H112" s="60" t="n">
        <x:v>3.5</x:v>
      </x:c>
      <x:c r="I112" s="58" t="n">
        <x:v>0</x:v>
      </x:c>
      <x:c r="J112" s="59" t="str">
        <x:v>WATCH</x:v>
      </x:c>
      <x:c r="K112" s="59" t="str">
        <x:v>C</x:v>
      </x:c>
      <x:c r="L112" s="62" t="str">
        <x:v>Camp/summer-depth watch entry; no reliable 2026-27 fantasy projection. Verify final NBA contract, roster status and role before draft use.</x:v>
      </x:c>
    </x:row>
    <x:row r="113" ht="20" customHeight="1">
      <x:c r="A113" s="59" t="n">
        <x:v>108</x:v>
      </x:c>
      <x:c r="B113" s="59" t="n">
        <x:v>529</x:v>
      </x:c>
      <x:c r="C113" s="59" t="str">
        <x:v>Izaiyah Nelson</x:v>
      </x:c>
      <x:c r="D113" s="59" t="str">
        <x:v>ORL</x:v>
      </x:c>
      <x:c r="E113" s="58"/>
      <x:c r="F113" s="60"/>
      <x:c r="G113" s="60" t="n">
        <x:v>0</x:v>
      </x:c>
      <x:c r="H113" s="60" t="n">
        <x:v>3.5</x:v>
      </x:c>
      <x:c r="I113" s="58" t="n">
        <x:v>0</x:v>
      </x:c>
      <x:c r="J113" s="59" t="str">
        <x:v>WATCH</x:v>
      </x:c>
      <x:c r="K113" s="59" t="str">
        <x:v>FC</x:v>
      </x:c>
      <x:c r="L113" s="62" t="str">
        <x:v>Camp/summer-depth watch entry; no reliable 2026-27 fantasy projection. Verify final NBA contract, roster status and role before draft use.</x:v>
      </x:c>
    </x:row>
    <x:row r="114" ht="20" customHeight="1">
      <x:c r="A114" s="59" t="n">
        <x:v>109</x:v>
      </x:c>
      <x:c r="B114" s="59" t="n">
        <x:v>533</x:v>
      </x:c>
      <x:c r="C114" s="59" t="str">
        <x:v>Ja'Vier Francis</x:v>
      </x:c>
      <x:c r="D114" s="59" t="str">
        <x:v>DAL</x:v>
      </x:c>
      <x:c r="E114" s="58"/>
      <x:c r="F114" s="60"/>
      <x:c r="G114" s="60" t="n">
        <x:v>0</x:v>
      </x:c>
      <x:c r="H114" s="60" t="n">
        <x:v>3.5</x:v>
      </x:c>
      <x:c r="I114" s="58" t="n">
        <x:v>0</x:v>
      </x:c>
      <x:c r="J114" s="59" t="str">
        <x:v>WATCH</x:v>
      </x:c>
      <x:c r="K114" s="59" t="str">
        <x:v>FC</x:v>
      </x:c>
      <x:c r="L114" s="62" t="str">
        <x:v>Camp/summer-depth watch entry; no reliable 2026-27 fantasy projection. Verify final NBA contract, roster status and role before draft use.</x:v>
      </x:c>
    </x:row>
    <x:row r="115" ht="20" customHeight="1">
      <x:c r="A115" s="59" t="n">
        <x:v>110</x:v>
      </x:c>
      <x:c r="B115" s="59" t="n">
        <x:v>538</x:v>
      </x:c>
      <x:c r="C115" s="59" t="str">
        <x:v>Jacksen Moni</x:v>
      </x:c>
      <x:c r="D115" s="59" t="str">
        <x:v>GSW</x:v>
      </x:c>
      <x:c r="E115" s="58"/>
      <x:c r="F115" s="60"/>
      <x:c r="G115" s="60" t="n">
        <x:v>0</x:v>
      </x:c>
      <x:c r="H115" s="60" t="n">
        <x:v>3.5</x:v>
      </x:c>
      <x:c r="I115" s="58" t="n">
        <x:v>0</x:v>
      </x:c>
      <x:c r="J115" s="59" t="str">
        <x:v>WATCH</x:v>
      </x:c>
      <x:c r="K115" s="59" t="str">
        <x:v>FC</x:v>
      </x:c>
      <x:c r="L115" s="62" t="str">
        <x:v>Camp/summer-depth watch entry; no reliable 2026-27 fantasy projection. Verify final NBA contract, roster status and role before draft use.</x:v>
      </x:c>
    </x:row>
    <x:row r="116" ht="20" customHeight="1">
      <x:c r="A116" s="59" t="n">
        <x:v>111</x:v>
      </x:c>
      <x:c r="B116" s="59" t="n">
        <x:v>544</x:v>
      </x:c>
      <x:c r="C116" s="59" t="str">
        <x:v>Jake Stephens</x:v>
      </x:c>
      <x:c r="D116" s="59" t="str">
        <x:v>PHX</x:v>
      </x:c>
      <x:c r="E116" s="58"/>
      <x:c r="F116" s="60"/>
      <x:c r="G116" s="60" t="n">
        <x:v>0</x:v>
      </x:c>
      <x:c r="H116" s="60" t="n">
        <x:v>3.5</x:v>
      </x:c>
      <x:c r="I116" s="58" t="n">
        <x:v>0</x:v>
      </x:c>
      <x:c r="J116" s="59" t="str">
        <x:v>WATCH</x:v>
      </x:c>
      <x:c r="K116" s="59" t="str">
        <x:v>C</x:v>
      </x:c>
      <x:c r="L116" s="62" t="str">
        <x:v>Camp/summer-depth watch entry; no reliable 2026-27 fantasy projection. Verify final NBA contract, roster status and role before draft use.</x:v>
      </x:c>
    </x:row>
    <x:row r="117" ht="20" customHeight="1">
      <x:c r="A117" s="59" t="n">
        <x:v>112</x:v>
      </x:c>
      <x:c r="B117" s="59" t="n">
        <x:v>548</x:v>
      </x:c>
      <x:c r="C117" s="59" t="str">
        <x:v>Jalen Washington</x:v>
      </x:c>
      <x:c r="D117" s="59" t="str">
        <x:v>CHI</x:v>
      </x:c>
      <x:c r="E117" s="58"/>
      <x:c r="F117" s="60"/>
      <x:c r="G117" s="60" t="n">
        <x:v>0</x:v>
      </x:c>
      <x:c r="H117" s="60" t="n">
        <x:v>3.5</x:v>
      </x:c>
      <x:c r="I117" s="58" t="n">
        <x:v>0</x:v>
      </x:c>
      <x:c r="J117" s="59" t="str">
        <x:v>WATCH</x:v>
      </x:c>
      <x:c r="K117" s="59" t="str">
        <x:v>C</x:v>
      </x:c>
      <x:c r="L117" s="62" t="str">
        <x:v>Camp/summer-depth watch entry; no reliable 2026-27 fantasy projection. Verify final NBA contract, roster status and role before draft use.</x:v>
      </x:c>
    </x:row>
    <x:row r="118" ht="20" customHeight="1">
      <x:c r="A118" s="59" t="n">
        <x:v>113</x:v>
      </x:c>
      <x:c r="B118" s="59" t="n">
        <x:v>550</x:v>
      </x:c>
      <x:c r="C118" s="59" t="str">
        <x:v>Jamarion Sharp</x:v>
      </x:c>
      <x:c r="D118" s="59" t="str">
        <x:v>TOR</x:v>
      </x:c>
      <x:c r="E118" s="58"/>
      <x:c r="F118" s="60"/>
      <x:c r="G118" s="60" t="n">
        <x:v>0</x:v>
      </x:c>
      <x:c r="H118" s="60" t="n">
        <x:v>3.5</x:v>
      </x:c>
      <x:c r="I118" s="58" t="n">
        <x:v>0</x:v>
      </x:c>
      <x:c r="J118" s="59" t="str">
        <x:v>WATCH</x:v>
      </x:c>
      <x:c r="K118" s="59" t="str">
        <x:v>C</x:v>
      </x:c>
      <x:c r="L118" s="62" t="str">
        <x:v>Camp/summer-depth watch entry; no reliable 2026-27 fantasy projection. Verify final NBA contract, roster status and role before draft use.</x:v>
      </x:c>
    </x:row>
    <x:row r="119" ht="20" customHeight="1">
      <x:c r="A119" s="59" t="n">
        <x:v>114</x:v>
      </x:c>
      <x:c r="B119" s="59" t="n">
        <x:v>556</x:v>
      </x:c>
      <x:c r="C119" s="59" t="str">
        <x:v>Jesse Edwards</x:v>
      </x:c>
      <x:c r="D119" s="59" t="str">
        <x:v>MIL</x:v>
      </x:c>
      <x:c r="E119" s="58"/>
      <x:c r="F119" s="60"/>
      <x:c r="G119" s="60" t="n">
        <x:v>0</x:v>
      </x:c>
      <x:c r="H119" s="60" t="n">
        <x:v>3.5</x:v>
      </x:c>
      <x:c r="I119" s="58" t="n">
        <x:v>0</x:v>
      </x:c>
      <x:c r="J119" s="59" t="str">
        <x:v>WATCH</x:v>
      </x:c>
      <x:c r="K119" s="59" t="str">
        <x:v>C</x:v>
      </x:c>
      <x:c r="L119" s="62" t="str">
        <x:v>Camp/summer-depth watch entry; no reliable 2026-27 fantasy projection. Verify final NBA contract, roster status and role before draft use.</x:v>
      </x:c>
    </x:row>
    <x:row r="120" ht="20" customHeight="1">
      <x:c r="A120" s="59" t="n">
        <x:v>115</x:v>
      </x:c>
      <x:c r="B120" s="59" t="n">
        <x:v>563</x:v>
      </x:c>
      <x:c r="C120" s="59" t="str">
        <x:v>Jonas Aidoo</x:v>
      </x:c>
      <x:c r="D120" s="59" t="str">
        <x:v>UTA</x:v>
      </x:c>
      <x:c r="E120" s="58"/>
      <x:c r="F120" s="60"/>
      <x:c r="G120" s="60" t="n">
        <x:v>0</x:v>
      </x:c>
      <x:c r="H120" s="60" t="n">
        <x:v>3.5</x:v>
      </x:c>
      <x:c r="I120" s="58" t="n">
        <x:v>0</x:v>
      </x:c>
      <x:c r="J120" s="59" t="str">
        <x:v>WATCH</x:v>
      </x:c>
      <x:c r="K120" s="59" t="str">
        <x:v>C</x:v>
      </x:c>
      <x:c r="L120" s="62" t="str">
        <x:v>Camp/summer-depth watch entry; no reliable 2026-27 fantasy projection. Verify final NBA contract, roster status and role before draft use.</x:v>
      </x:c>
    </x:row>
    <x:row r="121" ht="20" customHeight="1">
      <x:c r="A121" s="59" t="n">
        <x:v>116</x:v>
      </x:c>
      <x:c r="B121" s="59" t="n">
        <x:v>566</x:v>
      </x:c>
      <x:c r="C121" s="59" t="str">
        <x:v>Josiah Allick</x:v>
      </x:c>
      <x:c r="D121" s="59" t="str">
        <x:v>CHA</x:v>
      </x:c>
      <x:c r="E121" s="58"/>
      <x:c r="F121" s="60"/>
      <x:c r="G121" s="60" t="n">
        <x:v>0</x:v>
      </x:c>
      <x:c r="H121" s="60" t="n">
        <x:v>3.5</x:v>
      </x:c>
      <x:c r="I121" s="58" t="n">
        <x:v>0</x:v>
      </x:c>
      <x:c r="J121" s="59" t="str">
        <x:v>WATCH</x:v>
      </x:c>
      <x:c r="K121" s="59" t="str">
        <x:v>FC</x:v>
      </x:c>
      <x:c r="L121" s="62" t="str">
        <x:v>Camp/summer-depth watch entry; no reliable 2026-27 fantasy projection. Verify final NBA contract, roster status and role before draft use.</x:v>
      </x:c>
    </x:row>
    <x:row r="122" ht="20" customHeight="1">
      <x:c r="A122" s="59" t="n">
        <x:v>117</x:v>
      </x:c>
      <x:c r="B122" s="59" t="n">
        <x:v>568</x:v>
      </x:c>
      <x:c r="C122" s="59" t="str">
        <x:v>Kaodirichi Akobundu-Ehiogu</x:v>
      </x:c>
      <x:c r="D122" s="59" t="str">
        <x:v>DAL</x:v>
      </x:c>
      <x:c r="E122" s="58"/>
      <x:c r="F122" s="60"/>
      <x:c r="G122" s="60" t="n">
        <x:v>0</x:v>
      </x:c>
      <x:c r="H122" s="60" t="n">
        <x:v>3.5</x:v>
      </x:c>
      <x:c r="I122" s="58" t="n">
        <x:v>0</x:v>
      </x:c>
      <x:c r="J122" s="59" t="str">
        <x:v>WATCH</x:v>
      </x:c>
      <x:c r="K122" s="59" t="str">
        <x:v>FC</x:v>
      </x:c>
      <x:c r="L122" s="62" t="str">
        <x:v>Camp/summer-depth watch entry; no reliable 2026-27 fantasy projection. Verify final NBA contract, roster status and role before draft use.</x:v>
      </x:c>
    </x:row>
    <x:row r="123" ht="20" customHeight="1">
      <x:c r="A123" s="59" t="n">
        <x:v>118</x:v>
      </x:c>
      <x:c r="B123" s="59" t="n">
        <x:v>569</x:v>
      </x:c>
      <x:c r="C123" s="59" t="str">
        <x:v>Keba Keita</x:v>
      </x:c>
      <x:c r="D123" s="59" t="str">
        <x:v>IND</x:v>
      </x:c>
      <x:c r="E123" s="58"/>
      <x:c r="F123" s="60"/>
      <x:c r="G123" s="60" t="n">
        <x:v>0</x:v>
      </x:c>
      <x:c r="H123" s="60" t="n">
        <x:v>3.5</x:v>
      </x:c>
      <x:c r="I123" s="58" t="n">
        <x:v>0</x:v>
      </x:c>
      <x:c r="J123" s="59" t="str">
        <x:v>WATCH</x:v>
      </x:c>
      <x:c r="K123" s="59" t="str">
        <x:v>FC</x:v>
      </x:c>
      <x:c r="L123" s="62" t="str">
        <x:v>Camp/summer-depth watch entry; no reliable 2026-27 fantasy projection. Verify final NBA contract, roster status and role before draft use.</x:v>
      </x:c>
    </x:row>
    <x:row r="124" ht="20" customHeight="1">
      <x:c r="A124" s="59" t="n">
        <x:v>119</x:v>
      </x:c>
      <x:c r="B124" s="59" t="n">
        <x:v>580</x:v>
      </x:c>
      <x:c r="C124" s="59" t="str">
        <x:v>Kylor Kelley</x:v>
      </x:c>
      <x:c r="D124" s="59" t="str">
        <x:v>UTA</x:v>
      </x:c>
      <x:c r="E124" s="58"/>
      <x:c r="F124" s="60"/>
      <x:c r="G124" s="60" t="n">
        <x:v>0</x:v>
      </x:c>
      <x:c r="H124" s="60" t="n">
        <x:v>3.5</x:v>
      </x:c>
      <x:c r="I124" s="58" t="n">
        <x:v>0</x:v>
      </x:c>
      <x:c r="J124" s="59" t="str">
        <x:v>WATCH</x:v>
      </x:c>
      <x:c r="K124" s="59" t="str">
        <x:v>FC</x:v>
      </x:c>
      <x:c r="L124" s="62" t="str">
        <x:v>Camp/summer-depth watch entry; no reliable 2026-27 fantasy projection. Verify final NBA contract, roster status and role before draft use.</x:v>
      </x:c>
    </x:row>
    <x:row r="125" ht="20" customHeight="1">
      <x:c r="A125" s="59" t="n">
        <x:v>120</x:v>
      </x:c>
      <x:c r="B125" s="59" t="n">
        <x:v>587</x:v>
      </x:c>
      <x:c r="C125" s="59" t="str">
        <x:v>Liam Robbins</x:v>
      </x:c>
      <x:c r="D125" s="59" t="str">
        <x:v>NYK</x:v>
      </x:c>
      <x:c r="E125" s="58"/>
      <x:c r="F125" s="60"/>
      <x:c r="G125" s="60" t="n">
        <x:v>0</x:v>
      </x:c>
      <x:c r="H125" s="60" t="n">
        <x:v>3.5</x:v>
      </x:c>
      <x:c r="I125" s="58" t="n">
        <x:v>0</x:v>
      </x:c>
      <x:c r="J125" s="59" t="str">
        <x:v>WATCH</x:v>
      </x:c>
      <x:c r="K125" s="59" t="str">
        <x:v>C</x:v>
      </x:c>
      <x:c r="L125" s="62" t="str">
        <x:v>Camp/summer-depth watch entry; no reliable 2026-27 fantasy projection. Verify final NBA contract, roster status and role before draft use.</x:v>
      </x:c>
    </x:row>
    <x:row r="126" ht="20" customHeight="1">
      <x:c r="A126" s="59" t="n">
        <x:v>121</x:v>
      </x:c>
      <x:c r="B126" s="59" t="n">
        <x:v>589</x:v>
      </x:c>
      <x:c r="C126" s="59" t="str">
        <x:v>Malik Dia</x:v>
      </x:c>
      <x:c r="D126" s="59" t="str">
        <x:v>NOP</x:v>
      </x:c>
      <x:c r="E126" s="58"/>
      <x:c r="F126" s="60"/>
      <x:c r="G126" s="60" t="n">
        <x:v>0</x:v>
      </x:c>
      <x:c r="H126" s="60" t="n">
        <x:v>3.5</x:v>
      </x:c>
      <x:c r="I126" s="58" t="n">
        <x:v>0</x:v>
      </x:c>
      <x:c r="J126" s="59" t="str">
        <x:v>WATCH</x:v>
      </x:c>
      <x:c r="K126" s="59" t="str">
        <x:v>FC</x:v>
      </x:c>
      <x:c r="L126" s="62" t="str">
        <x:v>Camp/summer-depth watch entry; no reliable 2026-27 fantasy projection. Verify final NBA contract, roster status and role before draft use.</x:v>
      </x:c>
    </x:row>
    <x:row r="127" ht="20" customHeight="1">
      <x:c r="A127" s="59" t="n">
        <x:v>122</x:v>
      </x:c>
      <x:c r="B127" s="59" t="n">
        <x:v>592</x:v>
      </x:c>
      <x:c r="C127" s="59" t="str">
        <x:v>Malik Williams</x:v>
      </x:c>
      <x:c r="D127" s="59" t="str">
        <x:v>CHI</x:v>
      </x:c>
      <x:c r="E127" s="58"/>
      <x:c r="F127" s="60"/>
      <x:c r="G127" s="60" t="n">
        <x:v>0</x:v>
      </x:c>
      <x:c r="H127" s="60" t="n">
        <x:v>3.5</x:v>
      </x:c>
      <x:c r="I127" s="58" t="n">
        <x:v>0</x:v>
      </x:c>
      <x:c r="J127" s="59" t="str">
        <x:v>WATCH</x:v>
      </x:c>
      <x:c r="K127" s="59" t="str">
        <x:v>C</x:v>
      </x:c>
      <x:c r="L127" s="62" t="str">
        <x:v>Camp/summer-depth watch entry; no reliable 2026-27 fantasy projection. Verify final NBA contract, roster status and role before draft use.</x:v>
      </x:c>
    </x:row>
    <x:row r="128">
      <x:c r="A128"/>
      <x:c r="B128"/>
      <x:c r="C128"/>
      <x:c r="D128"/>
      <x:c r="E128" s="47"/>
      <x:c r="F128" s="22"/>
      <x:c r="G128" s="22"/>
      <x:c r="H128" s="22"/>
      <x:c r="I128" s="47"/>
      <x:c r="J128"/>
      <x:c r="K128"/>
      <x:c r="L128" s="16"/>
    </x:row>
  </x:sheetData>
  <x:mergeCells>
    <x:mergeCell ref="A1:K1"/>
    <x:mergeCell ref="A2:K3"/>
  </x:mergeCells>
  <x:conditionalFormatting sqref="J6:J30">
    <x:cfRule type="expression" dxfId="10" priority="1">
      <x:formula>OR(J6="HIGH",J6="IR / RETURN")</x:formula>
    </x:cfRule>
    <x:cfRule type="expression" dxfId="11" priority="2">
      <x:formula>OR(J6="MEDIUM",J6="CONTRACT")</x:formula>
    </x:cfRule>
  </x:conditionalFormatting>
  <x:conditionalFormatting sqref="A6:L128">
    <x:cfRule type="expression" dxfId="24" priority="3">
      <x:formula>MOD(ROW(),2)=0</x:formula>
    </x:cfRule>
  </x:conditionalFormatting>
  <x:conditionalFormatting sqref="J6:J128">
    <x:cfRule type="expression" dxfId="25" priority="4">
      <x:formula>$J6="WATCH"</x:formula>
    </x:cfRule>
  </x:conditionalFormatting>
  <x:conditionalFormatting sqref="A6:L127">
    <x:cfRule type="expression" dxfId="35" priority="5">
      <x:formula>MOD(ROW(),2)=0</x:formula>
    </x:cfRule>
  </x:conditionalFormatting>
  <x:conditionalFormatting sqref="J6:J127">
    <x:cfRule type="expression" dxfId="36" priority="6">
      <x:formula>$J6="WATCH"</x:formula>
    </x:cfRule>
  </x:conditionalFormatting>
  <x:pageMargins left="0.7" right="0.7" top="0.75" bottom="0.75" header="0.3" footer="0.3"/>
  <x:tableParts count="1">
    <x:tablePart xmlns:r="http://schemas.openxmlformats.org/officeDocument/2006/relationships" r:id="R3ed06a84fbeb429e"/>
  </x:tableParts>
</x:worksheet>
</file>

<file path=xl/worksheets/sheet8.xml><?xml version="1.0" encoding="utf-8"?>
<x:worksheet xmlns:x="http://schemas.openxmlformats.org/spreadsheetml/2006/main">
  <x:sheetFormatPr defaultRowHeight="15"/>
  <x:cols>
    <x:col min="1" max="1" width="26" hidden="0" customWidth="1"/>
    <x:col min="2" max="2" width="12" hidden="0" customWidth="1"/>
    <x:col min="3" max="3" width="12" hidden="0" customWidth="1"/>
    <x:col min="4" max="4" width="40" hidden="0" customWidth="1"/>
    <x:col min="5" max="5" width="12" hidden="0" customWidth="1"/>
    <x:col min="6" max="6" width="24" hidden="0" customWidth="1"/>
    <x:col min="7" max="7" width="12" hidden="0" customWidth="1"/>
    <x:col min="8" max="8" width="34" hidden="0" customWidth="1"/>
  </x:cols>
  <x:sheetData>
    <x:row r="1" ht="30" customHeight="1">
      <x:c r="A1" s="3" t="str">
        <x:v>YOUR LEAGUE | SCORING ENGINE</x:v>
      </x:c>
      <x:c r="B1" s="3"/>
      <x:c r="C1" s="3"/>
      <x:c r="D1" s="3"/>
      <x:c r="E1" s="3"/>
      <x:c r="F1" s="3"/>
      <x:c r="G1" s="3"/>
      <x:c r="H1" s="3"/>
    </x:row>
    <x:row r="2" ht="23" customHeight="1">
      <x:c r="A2" s="7" t="str">
        <x:v>Transcribed from the four supplied screenshots. Blue numbers are editable inputs. Ejections are enabled in the league but excluded from forecast/history calculations because no reliable inputs were available.</x:v>
      </x:c>
      <x:c r="B2" s="7"/>
      <x:c r="C2" s="7"/>
      <x:c r="D2" s="7"/>
      <x:c r="E2" s="7"/>
      <x:c r="F2" s="7"/>
      <x:c r="G2" s="7"/>
      <x:c r="H2" s="7"/>
    </x:row>
    <x:row r="3" ht="23" customHeight="1">
      <x:c r="A3" s="7"/>
      <x:c r="B3" s="7"/>
      <x:c r="C3" s="7"/>
      <x:c r="D3" s="7"/>
      <x:c r="E3" s="7"/>
      <x:c r="F3" s="7"/>
      <x:c r="G3" s="7"/>
      <x:c r="H3" s="7"/>
    </x:row>
    <x:row r="5" ht="36" customHeight="1">
      <x:c r="A5" s="12" t="str">
        <x:v>Stat</x:v>
      </x:c>
      <x:c r="B5" s="12" t="str">
        <x:v>Points</x:v>
      </x:c>
      <x:c r="C5" s="12" t="str">
        <x:v>Enabled</x:v>
      </x:c>
      <x:c r="D5" s="12" t="str">
        <x:v>Interpretation</x:v>
      </x:c>
      <x:c r="E5" s="12"/>
      <x:c r="F5" s="12" t="str">
        <x:v>Roster</x:v>
      </x:c>
      <x:c r="G5" s="12" t="str">
        <x:v>Count</x:v>
      </x:c>
      <x:c r="H5" s="12" t="str">
        <x:v>Notes</x:v>
      </x:c>
    </x:row>
    <x:row r="6" ht="22" customHeight="1">
      <x:c r="A6" t="str">
        <x:v>Points</x:v>
      </x:c>
      <x:c r="B6" s="20" t="n">
        <x:v>1</x:v>
      </x:c>
      <x:c r="C6" t="str">
        <x:v>YES</x:v>
      </x:c>
      <x:c r="D6" s="16" t="str">
        <x:v>Actual points scored</x:v>
      </x:c>
      <x:c r="F6" s="16" t="str">
        <x:v>Starters</x:v>
      </x:c>
      <x:c r="G6" s="16" t="n">
        <x:v>11</x:v>
      </x:c>
      <x:c r="H6" s="16" t="str">
        <x:v>PG SG SF PF C G F + 4 UTIL</x:v>
      </x:c>
    </x:row>
    <x:row r="7" ht="22" customHeight="1">
      <x:c r="A7" t="str">
        <x:v>Field goals made</x:v>
      </x:c>
      <x:c r="B7" s="20" t="n">
        <x:v>1</x:v>
      </x:c>
      <x:c r="C7" t="str">
        <x:v>YES</x:v>
      </x:c>
      <x:c r="D7" s="16" t="str">
        <x:v>Stacks with actual points</x:v>
      </x:c>
      <x:c r="F7" s="16" t="str">
        <x:v>Bench</x:v>
      </x:c>
      <x:c r="G7" s="16" t="n">
        <x:v>4</x:v>
      </x:c>
      <x:c r="H7" s="16" t="str">
        <x:v>15 regular roster spots</x:v>
      </x:c>
    </x:row>
    <x:row r="8" ht="22" customHeight="1">
      <x:c r="A8" t="str">
        <x:v>Field goals missed</x:v>
      </x:c>
      <x:c r="B8" s="20" t="n">
        <x:v>-1</x:v>
      </x:c>
      <x:c r="C8" t="str">
        <x:v>YES</x:v>
      </x:c>
      <x:c r="D8" s="16" t="str">
        <x:v>FGA minus FGM</x:v>
      </x:c>
      <x:c r="F8" s="16" t="str">
        <x:v>IR</x:v>
      </x:c>
      <x:c r="G8" s="16" t="n">
        <x:v>2</x:v>
      </x:c>
      <x:c r="H8" s="16" t="str">
        <x:v>Separate from regular roster</x:v>
      </x:c>
    </x:row>
    <x:row r="9" ht="22" customHeight="1">
      <x:c r="A9" t="str">
        <x:v>Free throws made</x:v>
      </x:c>
      <x:c r="B9" s="20" t="n">
        <x:v>1</x:v>
      </x:c>
      <x:c r="C9" t="str">
        <x:v>YES</x:v>
      </x:c>
      <x:c r="D9" s="16" t="str">
        <x:v>Stacks with actual points</x:v>
      </x:c>
      <x:c r="F9" s="16" t="str">
        <x:v>Teams (assumed)</x:v>
      </x:c>
      <x:c r="G9" s="16" t="n">
        <x:v>8</x:v>
      </x:c>
      <x:c r="H9" s="16" t="str">
        <x:v>Not confirmed for 2026-27</x:v>
      </x:c>
    </x:row>
    <x:row r="10" ht="22" customHeight="1">
      <x:c r="A10" t="str">
        <x:v>Free throws missed</x:v>
      </x:c>
      <x:c r="B10" s="20" t="n">
        <x:v>-1</x:v>
      </x:c>
      <x:c r="C10" t="str">
        <x:v>YES</x:v>
      </x:c>
      <x:c r="D10" s="16" t="str">
        <x:v>FTA minus FTM</x:v>
      </x:c>
      <x:c r="F10" s="16" t="str">
        <x:v>Lineups (assumed)</x:v>
      </x:c>
      <x:c r="G10" s="16" t="str">
        <x:v>Daily</x:v>
      </x:c>
      <x:c r="H10" s="16" t="str">
        <x:v>No games cap assumed; confirm</x:v>
      </x:c>
    </x:row>
    <x:row r="11" ht="22" customHeight="1">
      <x:c r="A11" t="str">
        <x:v>Three-pointers made</x:v>
      </x:c>
      <x:c r="B11" s="20" t="n">
        <x:v>1</x:v>
      </x:c>
      <x:c r="C11" t="str">
        <x:v>YES</x:v>
      </x:c>
      <x:c r="D11" s="16" t="str">
        <x:v>Stacks with FGM and actual points</x:v>
      </x:c>
      <x:c r="F11" s="16" t="str">
        <x:v>Format (assumed)</x:v>
      </x:c>
      <x:c r="G11" s="16" t="str">
        <x:v>Redraft</x:v>
      </x:c>
      <x:c r="H11" s="16" t="str">
        <x:v>Head-to-head points; confirm</x:v>
      </x:c>
    </x:row>
    <x:row r="12" ht="22" customHeight="1">
      <x:c r="A12" t="str">
        <x:v>Offensive rebounds</x:v>
      </x:c>
      <x:c r="B12" s="20" t="n">
        <x:v>2</x:v>
      </x:c>
      <x:c r="C12" t="str">
        <x:v>YES</x:v>
      </x:c>
      <x:c r="D12" s="16" t="str">
        <x:v>Bonus on top of total rebounds</x:v>
      </x:c>
    </x:row>
    <x:row r="13" ht="22" customHeight="1">
      <x:c r="A13" t="str">
        <x:v>Total rebounds</x:v>
      </x:c>
      <x:c r="B13" s="20" t="n">
        <x:v>1</x:v>
      </x:c>
      <x:c r="C13" t="str">
        <x:v>YES</x:v>
      </x:c>
      <x:c r="D13" s="16" t="str">
        <x:v>Includes offensive rebounds</x:v>
      </x:c>
    </x:row>
    <x:row r="14" ht="22" customHeight="1">
      <x:c r="A14" t="str">
        <x:v>Assists</x:v>
      </x:c>
      <x:c r="B14" s="20" t="n">
        <x:v>1.5</x:v>
      </x:c>
      <x:c r="C14" t="str">
        <x:v>YES</x:v>
      </x:c>
      <x:c r="D14" s="16" t="str"/>
      <x:c r="F14" s="16" t="str">
        <x:v>Range assumptions</x:v>
      </x:c>
      <x:c r="G14" s="16" t="str">
        <x:v>FP/G</x:v>
      </x:c>
      <x:c r="H14" s="16" t="str">
        <x:v>Not confidence intervals</x:v>
      </x:c>
    </x:row>
    <x:row r="15" ht="22" customHeight="1">
      <x:c r="A15" t="str">
        <x:v>Steals</x:v>
      </x:c>
      <x:c r="B15" s="20" t="n">
        <x:v>2</x:v>
      </x:c>
      <x:c r="C15" t="str">
        <x:v>YES</x:v>
      </x:c>
      <x:c r="D15" s="16" t="str"/>
      <x:c r="F15" s="16" t="str">
        <x:v>Disagreement cushion</x:v>
      </x:c>
      <x:c r="G15" s="28" t="n">
        <x:v>2</x:v>
      </x:c>
      <x:c r="H15" s="16" t="str">
        <x:v>Half source gap + cushion</x:v>
      </x:c>
    </x:row>
    <x:row r="16" ht="22" customHeight="1">
      <x:c r="A16" t="str">
        <x:v>Blocks</x:v>
      </x:c>
      <x:c r="B16" s="20" t="n">
        <x:v>1.5</x:v>
      </x:c>
      <x:c r="C16" t="str">
        <x:v>YES</x:v>
      </x:c>
      <x:c r="D16" s="16" t="str"/>
      <x:c r="F16" s="16" t="str">
        <x:v>Standard half-width</x:v>
      </x:c>
      <x:c r="G16" s="28" t="n">
        <x:v>3</x:v>
      </x:c>
      <x:c r="H16" s="16" t="str">
        <x:v>Minimum planning band</x:v>
      </x:c>
    </x:row>
    <x:row r="17" ht="22" customHeight="1">
      <x:c r="A17" t="str">
        <x:v>Turnovers</x:v>
      </x:c>
      <x:c r="B17" s="20" t="n">
        <x:v>-2</x:v>
      </x:c>
      <x:c r="C17" t="str">
        <x:v>YES</x:v>
      </x:c>
      <x:c r="D17" s="16" t="str"/>
      <x:c r="F17" s="16" t="str">
        <x:v>Elevated-risk half-width</x:v>
      </x:c>
      <x:c r="G17" s="28" t="n">
        <x:v>5</x:v>
      </x:c>
      <x:c r="H17" s="16" t="str">
        <x:v>Minimum planning band</x:v>
      </x:c>
    </x:row>
    <x:row r="18" ht="22" customHeight="1">
      <x:c r="A18" t="str">
        <x:v>Ejections</x:v>
      </x:c>
      <x:c r="B18" s="20" t="n">
        <x:v>10</x:v>
      </x:c>
      <x:c r="C18" t="str">
        <x:v>YES</x:v>
      </x:c>
      <x:c r="D18" s="16" t="str">
        <x:v>Not projected; confirm this setting is intentional</x:v>
      </x:c>
      <x:c r="F18" s="16" t="str">
        <x:v>Rookie half-width</x:v>
      </x:c>
      <x:c r="G18" s="28" t="n">
        <x:v>6</x:v>
      </x:c>
      <x:c r="H18" s="16" t="str">
        <x:v>No NBA prior-year sample</x:v>
      </x:c>
    </x:row>
    <x:row r="19" ht="22" customHeight="1"/>
    <x:row r="20" ht="22" customHeight="1"/>
    <x:row r="21" ht="22" customHeight="1"/>
    <x:row r="22" ht="22" customHeight="1">
      <x:c r="A22" t="str">
        <x:v>Scoring event</x:v>
      </x:c>
      <x:c r="B22" t="str">
        <x:v>Fantasy points</x:v>
      </x:c>
      <x:c r="C22" t="str"/>
      <x:c r="D22" t="str">
        <x:v>Why</x:v>
      </x:c>
    </x:row>
    <x:row r="23" ht="22" customHeight="1">
      <x:c r="A23" t="str">
        <x:v>Made 2-pointer</x:v>
      </x:c>
      <x:c r="B23" t="n">
        <x:f>2*$B$6+$B$7</x:f>
        <x:v>3</x:v>
      </x:c>
      <x:c r="C23" t="str"/>
      <x:c r="D23" t="str">
        <x:v>2 PTS + 1 FGM</x:v>
      </x:c>
    </x:row>
    <x:row r="24" ht="22" customHeight="1">
      <x:c r="A24" t="str">
        <x:v>Made 3-pointer</x:v>
      </x:c>
      <x:c r="B24" t="n">
        <x:f>3*$B$6+$B$7+$B$11</x:f>
        <x:v>5</x:v>
      </x:c>
      <x:c r="C24" t="str"/>
      <x:c r="D24" t="str">
        <x:v>3 PTS + 1 FGM + 1 3PM</x:v>
      </x:c>
    </x:row>
    <x:row r="25" ht="22" customHeight="1">
      <x:c r="A25" t="str">
        <x:v>Made free throw</x:v>
      </x:c>
      <x:c r="B25" t="n">
        <x:f>$B$6+$B$9</x:f>
        <x:v>2</x:v>
      </x:c>
      <x:c r="C25" t="str"/>
      <x:c r="D25" t="str">
        <x:v>1 PTS + 1 FTM</x:v>
      </x:c>
    </x:row>
    <x:row r="26" ht="22" customHeight="1">
      <x:c r="A26" t="str">
        <x:v>Offensive rebound</x:v>
      </x:c>
      <x:c r="B26" t="n">
        <x:f>$B$12+$B$13</x:f>
        <x:v>3</x:v>
      </x:c>
      <x:c r="C26" t="str"/>
      <x:c r="D26" t="str">
        <x:v>1 REB + 2 OREB</x:v>
      </x:c>
    </x:row>
    <x:row r="27" ht="22" customHeight="1">
      <x:c r="A27" t="str">
        <x:v>Defensive rebound</x:v>
      </x:c>
      <x:c r="B27" t="n">
        <x:f>$B$13</x:f>
        <x:v>1</x:v>
      </x:c>
      <x:c r="C27" t="str"/>
      <x:c r="D27" t="str">
        <x:v>1 REB</x:v>
      </x:c>
    </x:row>
    <x:row r="28" ht="22" customHeight="1"/>
    <x:row r="29" ht="22" customHeight="1"/>
    <x:row r="30" ht="22" customHeight="1">
      <x:c r="A30" s="16" t="str">
        <x:v>Model excludes ejections, double/triple doubles, fouls, games and minutes as scoring events. Change scoring inputs only when the actual league settings change. Position eligibility is determined by your fantasy platform, not this workbook.</x:v>
      </x:c>
      <x:c r="B30" s="16"/>
      <x:c r="C30" s="16"/>
      <x:c r="D30" s="16"/>
      <x:c r="E30" s="16"/>
      <x:c r="F30" s="16"/>
      <x:c r="G30" s="16"/>
      <x:c r="H30" s="16"/>
    </x:row>
    <x:row r="31" ht="22" customHeight="1">
      <x:c r="A31" s="16"/>
      <x:c r="B31" s="16"/>
      <x:c r="C31" s="16"/>
      <x:c r="D31" s="16"/>
      <x:c r="E31" s="16"/>
      <x:c r="F31" s="16"/>
      <x:c r="G31" s="16"/>
      <x:c r="H31" s="16"/>
    </x:row>
    <x:row r="32" ht="22" customHeight="1">
      <x:c r="A32" s="16"/>
      <x:c r="B32" s="16"/>
      <x:c r="C32" s="16"/>
      <x:c r="D32" s="16"/>
      <x:c r="E32" s="16"/>
      <x:c r="F32" s="16"/>
      <x:c r="G32" s="16"/>
      <x:c r="H32" s="16"/>
    </x:row>
    <x:row r="33" ht="22" customHeight="1">
      <x:c r="A33" s="16"/>
      <x:c r="B33" s="16"/>
      <x:c r="C33" s="16"/>
      <x:c r="D33" s="16"/>
      <x:c r="E33" s="16"/>
      <x:c r="F33" s="16"/>
      <x:c r="G33" s="16"/>
      <x:c r="H33" s="16"/>
    </x:row>
    <x:row r="34" ht="22" customHeight="1"/>
    <x:row r="35" ht="22" customHeight="1"/>
    <x:row r="36" ht="22" customHeight="1"/>
    <x:row r="37" ht="22" customHeight="1"/>
    <x:row r="38" ht="22" customHeight="1"/>
  </x:sheetData>
  <x:mergeCells>
    <x:mergeCell ref="A1:H1"/>
    <x:mergeCell ref="A2:H3"/>
    <x:mergeCell ref="A30:H33"/>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0" hidden="0" customWidth="1"/>
    <x:col min="3" max="3" width="11" hidden="0" customWidth="1"/>
    <x:col min="4" max="4" width="12" hidden="0" customWidth="1"/>
    <x:col min="5" max="5" width="14" hidden="0" customWidth="1"/>
    <x:col min="6" max="6" width="15" hidden="0" customWidth="1"/>
    <x:col min="7" max="7" width="13" hidden="0" customWidth="1"/>
    <x:col min="8" max="8" width="11" hidden="0" customWidth="1"/>
    <x:col min="9" max="9" width="11" hidden="0" customWidth="1"/>
    <x:col min="10" max="10" width="26" hidden="0" customWidth="1"/>
    <x:col min="11" max="11" width="52" hidden="0" customWidth="1"/>
    <x:col min="12" max="12" width="40" hidden="0" customWidth="1"/>
    <x:col min="13" max="13" width="40" hidden="0" customWidth="1"/>
  </x:cols>
  <x:sheetData>
    <x:row r="1" ht="30" customHeight="1">
      <x:c r="A1" s="40" t="str">
        <x:v>ANALYST ASSUMPTIONS | 600 PLAYER MASTER</x:v>
      </x:c>
      <x:c r="B1" s="40"/>
      <x:c r="C1" s="40"/>
      <x:c r="D1" s="40"/>
      <x:c r="E1" s="40"/>
      <x:c r="F1" s="40"/>
      <x:c r="G1" s="40"/>
      <x:c r="H1" s="40"/>
      <x:c r="I1" s="40"/>
      <x:c r="J1" s="40"/>
      <x:c r="K1" s="40"/>
      <x:c r="L1" s="3"/>
      <x:c r="M1" s="3"/>
    </x:row>
    <x:row r="2" ht="23" customHeight="1">
      <x:c r="A2" s="42" t="str">
        <x:v>Original Top-200 assumptions are retained except one duplicate cleanup. Ranks 201–429 are conservative deep-pool model scenarios; ranks 430–600 are watch entries with intentionally blank projections. Planning GP is a scenario, not a medical/contract guarantee.</x:v>
      </x:c>
      <x:c r="B2" s="42"/>
      <x:c r="C2" s="42"/>
      <x:c r="D2" s="42"/>
      <x:c r="E2" s="42"/>
      <x:c r="F2" s="42"/>
      <x:c r="G2" s="42"/>
      <x:c r="H2" s="42"/>
      <x:c r="I2" s="42"/>
      <x:c r="J2" s="42"/>
      <x:c r="K2" s="42"/>
      <x:c r="L2" s="7"/>
      <x:c r="M2" s="7"/>
    </x:row>
    <x:row r="3" ht="23" customHeight="1">
      <x:c r="A3" s="42"/>
      <x:c r="B3" s="42"/>
      <x:c r="C3" s="42"/>
      <x:c r="D3" s="42"/>
      <x:c r="E3" s="42"/>
      <x:c r="F3" s="42"/>
      <x:c r="G3" s="42"/>
      <x:c r="H3" s="42"/>
      <x:c r="I3" s="42"/>
      <x:c r="J3" s="42"/>
      <x:c r="K3" s="42"/>
      <x:c r="L3" s="7"/>
      <x:c r="M3" s="7"/>
    </x:row>
    <x:row r="5" ht="36" customHeight="1">
      <x:c r="A5" s="44" t="str">
        <x:v>Player</x:v>
      </x:c>
      <x:c r="B5" s="44" t="str">
        <x:v>Draft rank</x:v>
      </x:c>
      <x:c r="C5" s="44" t="str">
        <x:v>Main group</x:v>
      </x:c>
      <x:c r="D5" s="44" t="str">
        <x:v>Planning GP</x:v>
      </x:c>
      <x:c r="E5" s="44" t="str">
        <x:v>FP/G adjustment</x:v>
      </x:c>
      <x:c r="F5" s="44" t="str">
        <x:v>Range half-width</x:v>
      </x:c>
      <x:c r="G5" s="44" t="str">
        <x:v>Risk flag</x:v>
      </x:c>
      <x:c r="H5" s="44" t="str">
        <x:v>FTM / PTS</x:v>
      </x:c>
      <x:c r="I5" s="44" t="str">
        <x:v>OREB / MIN</x:v>
      </x:c>
      <x:c r="J5" s="44" t="str">
        <x:v>Rate basis</x:v>
      </x:c>
      <x:c r="K5" s="44" t="str">
        <x:v>Analyst rationale</x:v>
      </x:c>
      <x:c r="L5" s="44" t="str">
        <x:v>Context source</x:v>
      </x:c>
      <x:c r="M5" s="44" t="str">
        <x:v>Rate source</x:v>
      </x:c>
    </x:row>
    <x:row r="6" ht="22" customHeight="1">
      <x:c r="A6" t="str">
        <x:v>Nikola Jokic</x:v>
      </x:c>
      <x:c r="B6" s="18" t="n">
        <x:v>1</x:v>
      </x:c>
      <x:c r="C6" s="18" t="str">
        <x:v>C</x:v>
      </x:c>
      <x:c r="D6" s="18" t="n">
        <x:v>75</x:v>
      </x:c>
      <x:c r="E6" s="20" t="n">
        <x:v>0</x:v>
      </x:c>
      <x:c r="F6" s="20" t="n">
        <x:v>3.5</x:v>
      </x:c>
      <x:c r="G6" s="18" t="str">
        <x:v>STANDARD</x:v>
      </x:c>
      <x:c r="H6" s="24" t="n">
        <x:v>0.22021660649819494</x:v>
      </x:c>
      <x:c r="I6" s="24" t="n">
        <x:v>0.08620689655172414</x:v>
      </x:c>
      <x:c r="J6" t="str">
        <x:v>2025-26 rates</x:v>
      </x:c>
      <x:c r="K6" s="16" t="str">
        <x:v>Best overall fit: scoring efficiency, assists and offensive boards; clear first pick.</x:v>
      </x:c>
      <x:c r="L6" t="str">
        <x:v>https://www.fantasypros.com/nba/projections/overall.php | https://hashtagbasketball.com/fantasy-basketball-projections</x:v>
      </x:c>
      <x:c r="M6" t="str">
        <x:v>https://basketball.realgm.com/nba/stats/2026/Averages/All/points/All/desc/1/Regular_Season</x:v>
      </x:c>
    </x:row>
    <x:row r="7" ht="22" customHeight="1">
      <x:c r="A7" t="str">
        <x:v>Shai Gilgeous-Alexander</x:v>
      </x:c>
      <x:c r="B7" s="18" t="n">
        <x:v>2</x:v>
      </x:c>
      <x:c r="C7" s="18" t="str">
        <x:v>PG</x:v>
      </x:c>
      <x:c r="D7" s="18" t="n">
        <x:v>77</x:v>
      </x:c>
      <x:c r="E7" s="20" t="n">
        <x:v>0</x:v>
      </x:c>
      <x:c r="F7" s="20" t="n">
        <x:v>3.5</x:v>
      </x:c>
      <x:c r="G7" s="18" t="str">
        <x:v>STANDARD</x:v>
      </x:c>
      <x:c r="H7" s="24" t="n">
        <x:v>0.2540192926045016</x:v>
      </x:c>
      <x:c r="I7" s="24" t="n">
        <x:v>0.018072289156626505</x:v>
      </x:c>
      <x:c r="J7" t="str">
        <x:v>2025-26 rates</x:v>
      </x:c>
      <x:c r="K7" s="16" t="str">
        <x:v>Elite efficient guard; excellent first-round combination of per-game value and availability.</x:v>
      </x:c>
      <x:c r="L7" t="str">
        <x:v>https://www.fantasypros.com/nba/projections/overall.php | https://hashtagbasketball.com/fantasy-basketball-projections</x:v>
      </x:c>
      <x:c r="M7" t="str">
        <x:v>https://basketball.realgm.com/nba/stats/2026/Averages/All/points/All/desc/1/Regular_Season</x:v>
      </x:c>
    </x:row>
    <x:row r="8" ht="22" customHeight="1">
      <x:c r="A8" t="str">
        <x:v>Luka Doncic</x:v>
      </x:c>
      <x:c r="B8" s="18" t="n">
        <x:v>3</x:v>
      </x:c>
      <x:c r="C8" s="18" t="str">
        <x:v>PG</x:v>
      </x:c>
      <x:c r="D8" s="18" t="n">
        <x:v>74</x:v>
      </x:c>
      <x:c r="E8" s="20" t="n">
        <x:v>0.25</x:v>
      </x:c>
      <x:c r="F8" s="20" t="n">
        <x:v>3.5</x:v>
      </x:c>
      <x:c r="G8" s="18" t="str">
        <x:v>STANDARD</x:v>
      </x:c>
      <x:c r="H8" s="24" t="n">
        <x:v>0.23582089552238808</x:v>
      </x:c>
      <x:c r="I8" s="24" t="n">
        <x:v>0.01675977653631285</x:v>
      </x:c>
      <x:c r="J8" t="str">
        <x:v>2025-26 rates</x:v>
      </x:c>
      <x:c r="K8" s="16" t="str">
        <x:v>Incremental upside with LeBron gone; misses and turnovers still reduce raw scoring value.</x:v>
      </x:c>
      <x:c r="L8" t="str">
        <x:v>https://www.fantasypros.com/nba/projections/overall.php | https://hashtagbasketball.com/fantasy-basketball-projections</x:v>
      </x:c>
      <x:c r="M8" t="str">
        <x:v>https://basketball.realgm.com/nba/stats/2026/Averages/All/points/All/desc/1/Regular_Season</x:v>
      </x:c>
    </x:row>
    <x:row r="9" ht="22" customHeight="1">
      <x:c r="A9" t="str">
        <x:v>Giannis Antetokounmpo</x:v>
      </x:c>
      <x:c r="B9" s="18" t="n">
        <x:v>4</x:v>
      </x:c>
      <x:c r="C9" s="18" t="str">
        <x:v>PF</x:v>
      </x:c>
      <x:c r="D9" s="18" t="n">
        <x:v>73</x:v>
      </x:c>
      <x:c r="E9" s="20" t="n">
        <x:v>-0.375</x:v>
      </x:c>
      <x:c r="F9" s="20" t="n">
        <x:v>5.5</x:v>
      </x:c>
      <x:c r="G9" s="18" t="str">
        <x:v>MEDIUM</x:v>
      </x:c>
      <x:c r="H9" s="24" t="n">
        <x:v>0.2318840579710145</x:v>
      </x:c>
      <x:c r="I9" s="24" t="n">
        <x:v>0.0934256055363322</x:v>
      </x:c>
      <x:c r="J9" t="str">
        <x:v>2025-26 rates</x:v>
      </x:c>
      <x:c r="K9" s="16" t="str">
        <x:v>Miami move; huge per-game ceiling. Temper minutes and games assumptions after 36-game season.</x:v>
      </x:c>
      <x:c r="L9" t="str">
        <x:v>https://www.fantasypros.com/nba/projections/overall.php | https://hashtagbasketball.com/fantasy-basketball-projections</x:v>
      </x:c>
      <x:c r="M9" t="str">
        <x:v>https://basketball.realgm.com/nba/stats/2026/Averages/All/points/All/desc/1/Regular_Season</x:v>
      </x:c>
    </x:row>
    <x:row r="10" ht="22" customHeight="1">
      <x:c r="A10" t="str">
        <x:v>Victor Wembanyama</x:v>
      </x:c>
      <x:c r="B10" s="18" t="n">
        <x:v>5</x:v>
      </x:c>
      <x:c r="C10" s="18" t="str">
        <x:v>C</x:v>
      </x:c>
      <x:c r="D10" s="18" t="n">
        <x:v>73</x:v>
      </x:c>
      <x:c r="E10" s="20" t="n">
        <x:v>0</x:v>
      </x:c>
      <x:c r="F10" s="20" t="n">
        <x:v>5.5</x:v>
      </x:c>
      <x:c r="G10" s="18" t="str">
        <x:v>MEDIUM</x:v>
      </x:c>
      <x:c r="H10" s="24" t="n">
        <x:v>0.23199999999999998</x:v>
      </x:c>
      <x:c r="I10" s="24" t="n">
        <x:v>0.0684931506849315</x:v>
      </x:c>
      <x:c r="J10" t="str">
        <x:v>2025-26 rates</x:v>
      </x:c>
      <x:c r="K10" s="16" t="str">
        <x:v>Elite, but blocks count only 1.5 here. Do not import a category-league No. 1 valuation.</x:v>
      </x:c>
      <x:c r="L10" t="str">
        <x:v>https://www.fantasypros.com/nba/projections/overall.php | https://hashtagbasketball.com/fantasy-basketball-projections</x:v>
      </x:c>
      <x:c r="M10" t="str">
        <x:v>https://basketball.realgm.com/nba/stats/2026/Averages/All/points/All/desc/1/Regular_Season</x:v>
      </x:c>
    </x:row>
    <x:row r="11" ht="22" customHeight="1">
      <x:c r="A11" t="str">
        <x:v>Karl-Anthony Towns</x:v>
      </x:c>
      <x:c r="B11" s="18" t="n">
        <x:v>6</x:v>
      </x:c>
      <x:c r="C11" s="18" t="str">
        <x:v>C</x:v>
      </x:c>
      <x:c r="D11" s="18" t="n">
        <x:v>74</x:v>
      </x:c>
      <x:c r="E11" s="20" t="n">
        <x:v>0</x:v>
      </x:c>
      <x:c r="F11" s="20" t="n">
        <x:v>3.5</x:v>
      </x:c>
      <x:c r="G11" s="18" t="str">
        <x:v>STANDARD</x:v>
      </x:c>
      <x:c r="H11" s="24" t="n">
        <x:v>0.2388059701492537</x:v>
      </x:c>
      <x:c r="I11" s="24" t="n">
        <x:v>0.1</x:v>
      </x:c>
      <x:c r="J11" t="str">
        <x:v>2025-26 rates</x:v>
      </x:c>
      <x:c r="K11" s="16" t="str">
        <x:v>Premium combination of offensive rebounding, shooting and scoring for this formula.</x:v>
      </x:c>
      <x:c r="L11" t="str">
        <x:v>https://www.fantasypros.com/nba/projections/overall.php | https://hashtagbasketball.com/fantasy-basketball-projections</x:v>
      </x:c>
      <x:c r="M11" t="str">
        <x:v>https://basketball.realgm.com/nba/stats/2026/Averages/All/points/All/desc/1/Regular_Season</x:v>
      </x:c>
    </x:row>
    <x:row r="12" ht="22" customHeight="1">
      <x:c r="A12" t="str">
        <x:v>Jayson Tatum</x:v>
      </x:c>
      <x:c r="B12" s="18" t="n">
        <x:v>7</x:v>
      </x:c>
      <x:c r="C12" s="18" t="str">
        <x:v>SF</x:v>
      </x:c>
      <x:c r="D12" s="18" t="n">
        <x:v>74</x:v>
      </x:c>
      <x:c r="E12" s="20" t="n">
        <x:v>0</x:v>
      </x:c>
      <x:c r="F12" s="20" t="n">
        <x:v>5.5</x:v>
      </x:c>
      <x:c r="G12" s="18" t="str">
        <x:v>MEDIUM</x:v>
      </x:c>
      <x:c r="H12" s="24" t="n">
        <x:v>0.18807339449541283</x:v>
      </x:c>
      <x:c r="I12" s="24" t="n">
        <x:v>0.015337423312883436</x:v>
      </x:c>
      <x:c r="J12" t="str">
        <x:v>2025-26 rates</x:v>
      </x:c>
      <x:c r="K12" s="16" t="str">
        <x:v>Boston's central scorer again; 16-game 2025-26 sample is not a full-season baseline.</x:v>
      </x:c>
      <x:c r="L12" t="str">
        <x:v>https://www.fantasypros.com/nba/projections/overall.php | https://hashtagbasketball.com/fantasy-basketball-projections</x:v>
      </x:c>
      <x:c r="M12" t="str">
        <x:v>https://basketball.realgm.com/nba/stats/2026/Averages/All/points/All/desc/1/Regular_Season</x:v>
      </x:c>
    </x:row>
    <x:row r="13" ht="22" customHeight="1">
      <x:c r="A13" t="str">
        <x:v>Cade Cunningham</x:v>
      </x:c>
      <x:c r="B13" s="18" t="n">
        <x:v>8</x:v>
      </x:c>
      <x:c r="C13" s="18" t="str">
        <x:v>PG</x:v>
      </x:c>
      <x:c r="D13" s="18" t="n">
        <x:v>74</x:v>
      </x:c>
      <x:c r="E13" s="20" t="n">
        <x:v>0</x:v>
      </x:c>
      <x:c r="F13" s="20" t="n">
        <x:v>3.5</x:v>
      </x:c>
      <x:c r="G13" s="18" t="str">
        <x:v>STANDARD</x:v>
      </x:c>
      <x:c r="H13" s="24" t="n">
        <x:v>0.200836820083682</x:v>
      </x:c>
      <x:c r="I13" s="24" t="n">
        <x:v>0.026548672566371685</x:v>
      </x:c>
      <x:c r="J13" t="str">
        <x:v>2025-26 rates</x:v>
      </x:c>
      <x:c r="K13" s="16" t="str">
        <x:v>Core guard target; assists help, but turnovers stop him matching the top three.</x:v>
      </x:c>
      <x:c r="L13" t="str">
        <x:v>https://www.fantasypros.com/nba/projections/overall.php | https://hashtagbasketball.com/fantasy-basketball-projections</x:v>
      </x:c>
      <x:c r="M13" t="str">
        <x:v>https://basketball.realgm.com/nba/stats/2026/Averages/All/points/All/desc/1/Regular_Season</x:v>
      </x:c>
    </x:row>
    <x:row r="14" ht="22" customHeight="1">
      <x:c r="A14" t="str">
        <x:v>Anthony Edwards</x:v>
      </x:c>
      <x:c r="B14" s="18" t="n">
        <x:v>9</x:v>
      </x:c>
      <x:c r="C14" s="18" t="str">
        <x:v>SG</x:v>
      </x:c>
      <x:c r="D14" s="18" t="n">
        <x:v>75</x:v>
      </x:c>
      <x:c r="E14" s="20" t="n">
        <x:v>0</x:v>
      </x:c>
      <x:c r="F14" s="20" t="n">
        <x:v>3.5</x:v>
      </x:c>
      <x:c r="G14" s="18" t="str">
        <x:v>STANDARD</x:v>
      </x:c>
      <x:c r="H14" s="24" t="n">
        <x:v>0.19791666666666666</x:v>
      </x:c>
      <x:c r="I14" s="24" t="n">
        <x:v>0.017142857142857144</x:v>
      </x:c>
      <x:c r="J14" t="str">
        <x:v>2025-26 rates</x:v>
      </x:c>
      <x:c r="K14" s="16" t="str">
        <x:v>Minnesota now includes LaMelo; avoid assuming both get full primary-handler usage.</x:v>
      </x:c>
      <x:c r="L14" t="str">
        <x:v>https://www.fantasypros.com/nba/projections/overall.php | https://hashtagbasketball.com/fantasy-basketball-projections</x:v>
      </x:c>
      <x:c r="M14" t="str">
        <x:v>https://basketball.realgm.com/nba/stats/2026/Averages/All/points/All/desc/1/Regular_Season</x:v>
      </x:c>
    </x:row>
    <x:row r="15" ht="22" customHeight="1">
      <x:c r="A15" t="str">
        <x:v>Jalen Johnson</x:v>
      </x:c>
      <x:c r="B15" s="18" t="n">
        <x:v>10</x:v>
      </x:c>
      <x:c r="C15" s="18" t="str">
        <x:v>PF</x:v>
      </x:c>
      <x:c r="D15" s="18" t="n">
        <x:v>75</x:v>
      </x:c>
      <x:c r="E15" s="20" t="n">
        <x:v>0.25</x:v>
      </x:c>
      <x:c r="F15" s="20" t="n">
        <x:v>3.5</x:v>
      </x:c>
      <x:c r="G15" s="18" t="str">
        <x:v>STANDARD</x:v>
      </x:c>
      <x:c r="H15" s="24" t="n">
        <x:v>0.18666666666666668</x:v>
      </x:c>
      <x:c r="I15" s="24" t="n">
        <x:v>0.039772727272727265</x:v>
      </x:c>
      <x:c r="J15" t="str">
        <x:v>2025-26 rates</x:v>
      </x:c>
      <x:c r="K15" s="16" t="str">
        <x:v>Strong all-around production; slight growth preference over the consensus input.</x:v>
      </x:c>
      <x:c r="L15" t="str">
        <x:v>https://www.fantasypros.com/nba/projections/overall.php | https://hashtagbasketball.com/fantasy-basketball-projections</x:v>
      </x:c>
      <x:c r="M15" t="str">
        <x:v>https://basketball.realgm.com/nba/stats/2026/Averages/All/points/All/desc/1/Regular_Season</x:v>
      </x:c>
    </x:row>
    <x:row r="16" ht="22" customHeight="1">
      <x:c r="A16" t="str">
        <x:v>Donovan Mitchell</x:v>
      </x:c>
      <x:c r="B16" s="18" t="n">
        <x:v>11</x:v>
      </x:c>
      <x:c r="C16" s="18" t="str">
        <x:v>SG</x:v>
      </x:c>
      <x:c r="D16" s="18" t="n">
        <x:v>75</x:v>
      </x:c>
      <x:c r="E16" s="20" t="n">
        <x:v>0</x:v>
      </x:c>
      <x:c r="F16" s="20" t="n">
        <x:v>3.5</x:v>
      </x:c>
      <x:c r="G16" s="18" t="str">
        <x:v>STANDARD</x:v>
      </x:c>
      <x:c r="H16" s="24" t="n">
        <x:v>0.1899641577060932</x:v>
      </x:c>
      <x:c r="I16" s="24" t="n">
        <x:v>0.0208955223880597</x:v>
      </x:c>
      <x:c r="J16" t="str">
        <x:v>2025-26 rates</x:v>
      </x:c>
      <x:c r="K16" s="16" t="str">
        <x:v>Cleveland's Harden partnership already reflected in baseline; strong scoring-efficiency target.</x:v>
      </x:c>
      <x:c r="L16" t="str">
        <x:v>https://www.fantasypros.com/nba/projections/overall.php | https://hashtagbasketball.com/fantasy-basketball-projections</x:v>
      </x:c>
      <x:c r="M16" t="str">
        <x:v>https://basketball.realgm.com/nba/stats/2026/Averages/All/points/All/desc/1/Regular_Season</x:v>
      </x:c>
    </x:row>
    <x:row r="17" ht="22" customHeight="1">
      <x:c r="A17" t="str">
        <x:v>Domantas Sabonis</x:v>
      </x:c>
      <x:c r="B17" s="18" t="n">
        <x:v>12</x:v>
      </x:c>
      <x:c r="C17" s="18" t="str">
        <x:v>C</x:v>
      </x:c>
      <x:c r="D17" s="18" t="n">
        <x:v>70</x:v>
      </x:c>
      <x:c r="E17" s="20" t="n">
        <x:v>-0.25</x:v>
      </x:c>
      <x:c r="F17" s="20" t="n">
        <x:v>5.5</x:v>
      </x:c>
      <x:c r="G17" s="18" t="str">
        <x:v>MEDIUM</x:v>
      </x:c>
      <x:c r="H17" s="24" t="n">
        <x:v>0.18354430379746833</x:v>
      </x:c>
      <x:c r="I17" s="24" t="n">
        <x:v>0.11447811447811448</x:v>
      </x:c>
      <x:c r="J17" t="str">
        <x:v>2025-26 rates</x:v>
      </x:c>
      <x:c r="K17" s="16" t="str">
        <x:v>Preseason absence/issue merits a small buffer, not a major downgrade absent a serious timetable.</x:v>
      </x:c>
      <x:c r="L17" t="str">
        <x:v>https://www.fantasypros.com/nba/projections/overall.php</x:v>
      </x:c>
      <x:c r="M17" t="str">
        <x:v>https://basketball.realgm.com/nba/stats/2026/Averages/All/points/All/desc/1/Regular_Season</x:v>
      </x:c>
    </x:row>
    <x:row r="18" ht="22" customHeight="1">
      <x:c r="A18" t="str">
        <x:v>Jalen Duren</x:v>
      </x:c>
      <x:c r="B18" s="18" t="n">
        <x:v>13</x:v>
      </x:c>
      <x:c r="C18" s="18" t="str">
        <x:v>C</x:v>
      </x:c>
      <x:c r="D18" s="18" t="n">
        <x:v>73</x:v>
      </x:c>
      <x:c r="E18" s="20" t="n">
        <x:v>0</x:v>
      </x:c>
      <x:c r="F18" s="20" t="n">
        <x:v>3.5</x:v>
      </x:c>
      <x:c r="G18" s="18" t="str">
        <x:v>STANDARD</x:v>
      </x:c>
      <x:c r="H18" s="24" t="n">
        <x:v>0.2358974358974359</x:v>
      </x:c>
      <x:c r="I18" s="24" t="n">
        <x:v>0.1347517730496454</x:v>
      </x:c>
      <x:c r="J18" t="str">
        <x:v>2025-26 rates</x:v>
      </x:c>
      <x:c r="K18" s="16" t="str">
        <x:v>Contract resolved: five-year extension signed; back practicing and expected to play in preseason. Remove prior holdout/contract discount.</x:v>
      </x:c>
      <x:c r="L18" t="str">
        <x:v>https://www.nba.com/news/pistons-jalen-duren-rookie-extension</x:v>
      </x:c>
      <x:c r="M18" t="str">
        <x:v>https://basketball.realgm.com/nba/stats/2026/Averages/All/points/All/desc/1/Regular_Season</x:v>
      </x:c>
    </x:row>
    <x:row r="19" ht="22" customHeight="1">
      <x:c r="A19" t="str">
        <x:v>Alperen Sengun</x:v>
      </x:c>
      <x:c r="B19" s="18" t="n">
        <x:v>14</x:v>
      </x:c>
      <x:c r="C19" s="18" t="str">
        <x:v>C</x:v>
      </x:c>
      <x:c r="D19" s="18" t="n">
        <x:v>75</x:v>
      </x:c>
      <x:c r="E19" s="20" t="n">
        <x:v>0.125</x:v>
      </x:c>
      <x:c r="F19" s="20" t="n">
        <x:v>3.5</x:v>
      </x:c>
      <x:c r="G19" s="18" t="str">
        <x:v>STANDARD</x:v>
      </x:c>
      <x:c r="H19" s="24" t="n">
        <x:v>0.17647058823529413</x:v>
      </x:c>
      <x:c r="I19" s="24" t="n">
        <x:v>0.0900900900900901</x:v>
      </x:c>
      <x:c r="J19" t="str">
        <x:v>2025-26 rates</x:v>
      </x:c>
      <x:c r="K19" s="16" t="str">
        <x:v>High-value big-man blend; slight growth adjustment, not an assumption of unlimited touches.</x:v>
      </x:c>
      <x:c r="L19" t="str">
        <x:v>https://www.fantasypros.com/nba/projections/overall.php</x:v>
      </x:c>
      <x:c r="M19" t="str">
        <x:v>https://basketball.realgm.com/nba/stats/2026/Averages/All/points/All/desc/1/Regular_Season</x:v>
      </x:c>
    </x:row>
    <x:row r="20" ht="22" customHeight="1">
      <x:c r="A20" t="str">
        <x:v>Cooper Flagg</x:v>
      </x:c>
      <x:c r="B20" s="18" t="n">
        <x:v>15</x:v>
      </x:c>
      <x:c r="C20" s="18" t="str">
        <x:v>SF</x:v>
      </x:c>
      <x:c r="D20" s="18" t="n">
        <x:v>75</x:v>
      </x:c>
      <x:c r="E20" s="20" t="n">
        <x:v>0.25</x:v>
      </x:c>
      <x:c r="F20" s="20" t="n">
        <x:v>3.5</x:v>
      </x:c>
      <x:c r="G20" s="18" t="str">
        <x:v>STANDARD</x:v>
      </x:c>
      <x:c r="H20" s="24" t="n">
        <x:v>0.19047619047619047</x:v>
      </x:c>
      <x:c r="I20" s="24" t="n">
        <x:v>0.03582089552238806</x:v>
      </x:c>
      <x:c r="J20" t="str">
        <x:v>2025-26 rates</x:v>
      </x:c>
      <x:c r="K20" s="16" t="str">
        <x:v>Second-year growth case; slight upside adjustment, with a wider range than established stars.</x:v>
      </x:c>
      <x:c r="L20" t="str">
        <x:v>https://www.fantasypros.com/nba/projections/overall.php | https://hashtagbasketball.com/fantasy-basketball-projections</x:v>
      </x:c>
      <x:c r="M20" t="str">
        <x:v>https://basketball.realgm.com/nba/stats/2026/Averages/All/points/All/desc/1/Regular_Season</x:v>
      </x:c>
    </x:row>
    <x:row r="21" ht="22" customHeight="1">
      <x:c r="A21" t="str">
        <x:v>Tyrese Maxey</x:v>
      </x:c>
      <x:c r="B21" s="18" t="n">
        <x:v>16</x:v>
      </x:c>
      <x:c r="C21" s="18" t="str">
        <x:v>PG</x:v>
      </x:c>
      <x:c r="D21" s="18" t="n">
        <x:v>75</x:v>
      </x:c>
      <x:c r="E21" s="20" t="n">
        <x:v>-0.125</x:v>
      </x:c>
      <x:c r="F21" s="20" t="n">
        <x:v>3.5</x:v>
      </x:c>
      <x:c r="G21" s="18" t="str">
        <x:v>STANDARD</x:v>
      </x:c>
      <x:c r="H21" s="24" t="n">
        <x:v>0.1872791519434629</x:v>
      </x:c>
      <x:c r="I21" s="24" t="n">
        <x:v>0.007894736842105263</x:v>
      </x:c>
      <x:c r="J21" t="str">
        <x:v>2025-26 rates</x:v>
      </x:c>
      <x:c r="K21" s="16" t="str">
        <x:v>Philadelphia's crowded star rotation warrants a substantial fall from last season.</x:v>
      </x:c>
      <x:c r="L21" t="str">
        <x:v>https://www.fantasypros.com/nba/projections/overall.php | https://hashtagbasketball.com/fantasy-basketball-projections</x:v>
      </x:c>
      <x:c r="M21" t="str">
        <x:v>https://basketball.realgm.com/nba/stats/2026/Averages/All/points/All/desc/1/Regular_Season</x:v>
      </x:c>
    </x:row>
    <x:row r="22" ht="22" customHeight="1">
      <x:c r="A22" t="str">
        <x:v>Anthony Davis</x:v>
      </x:c>
      <x:c r="B22" s="18" t="n">
        <x:v>17</x:v>
      </x:c>
      <x:c r="C22" s="18" t="str">
        <x:v>PF</x:v>
      </x:c>
      <x:c r="D22" s="18" t="n">
        <x:v>66</x:v>
      </x:c>
      <x:c r="E22" s="20" t="n">
        <x:v>0</x:v>
      </x:c>
      <x:c r="F22" s="20" t="n">
        <x:v>5.5</x:v>
      </x:c>
      <x:c r="G22" s="18" t="str">
        <x:v>MEDIUM</x:v>
      </x:c>
      <x:c r="H22" s="24" t="n">
        <x:v>0.14705882352941177</x:v>
      </x:c>
      <x:c r="I22" s="24" t="n">
        <x:v>0.09904153354632587</x:v>
      </x:c>
      <x:c r="J22" t="str">
        <x:v>2025-26 rates</x:v>
      </x:c>
      <x:c r="K22" s="16" t="str">
        <x:v>Healthy in camp and productive in preseason debut. Availability history still warrants a modest games discount.</x:v>
      </x:c>
      <x:c r="L22" t="str">
        <x:v>https://www.nba.com/wizards/player/203076/anthony-davis</x:v>
      </x:c>
      <x:c r="M22" t="str">
        <x:v>https://basketball.realgm.com/nba/stats/2026/Averages/All/points/All/desc/1/Regular_Season</x:v>
      </x:c>
    </x:row>
    <x:row r="23" ht="22" customHeight="1">
      <x:c r="A23" t="str">
        <x:v>Devin Booker</x:v>
      </x:c>
      <x:c r="B23" s="18" t="n">
        <x:v>18</x:v>
      </x:c>
      <x:c r="C23" s="18" t="str">
        <x:v>SG</x:v>
      </x:c>
      <x:c r="D23" s="18" t="n">
        <x:v>75</x:v>
      </x:c>
      <x:c r="E23" s="20" t="n">
        <x:v>0</x:v>
      </x:c>
      <x:c r="F23" s="20" t="n">
        <x:v>3.5</x:v>
      </x:c>
      <x:c r="G23" s="18" t="str">
        <x:v>STANDARD</x:v>
      </x:c>
      <x:c r="H23" s="24" t="n">
        <x:v>0.27203065134099613</x:v>
      </x:c>
      <x:c r="I23" s="24" t="n">
        <x:v>0.023880597014925373</x:v>
      </x:c>
      <x:c r="J23" t="str">
        <x:v>2025-26 rates</x:v>
      </x:c>
      <x:c r="K23" s="16" t="str">
        <x:v>Strong scoring foundation; more reliable target than speculative breakout guards.</x:v>
      </x:c>
      <x:c r="L23" t="str">
        <x:v>https://www.fantasypros.com/nba/projections/overall.php | https://hashtagbasketball.com/fantasy-basketball-projections</x:v>
      </x:c>
      <x:c r="M23" t="str">
        <x:v>https://basketball.realgm.com/nba/stats/2026/Averages/All/points/All/desc/1/Regular_Season</x:v>
      </x:c>
    </x:row>
    <x:row r="24" ht="22" customHeight="1">
      <x:c r="A24" t="str">
        <x:v>Jalen Brunson</x:v>
      </x:c>
      <x:c r="B24" s="18" t="n">
        <x:v>19</x:v>
      </x:c>
      <x:c r="C24" s="18" t="str">
        <x:v>PG</x:v>
      </x:c>
      <x:c r="D24" s="18" t="n">
        <x:v>75</x:v>
      </x:c>
      <x:c r="E24" s="20" t="n">
        <x:v>0</x:v>
      </x:c>
      <x:c r="F24" s="20" t="n">
        <x:v>3.5</x:v>
      </x:c>
      <x:c r="G24" s="18" t="str">
        <x:v>STANDARD</x:v>
      </x:c>
      <x:c r="H24" s="24" t="n">
        <x:v>0.1846153846153846</x:v>
      </x:c>
      <x:c r="I24" s="24" t="n">
        <x:v>0.011428571428571429</x:v>
      </x:c>
      <x:c r="J24" t="str">
        <x:v>2025-26 rates</x:v>
      </x:c>
      <x:c r="K24" s="16" t="str">
        <x:v>Excellent guard anchor when the elite early picks are gone.</x:v>
      </x:c>
      <x:c r="L24" t="str">
        <x:v>https://www.fantasypros.com/nba/projections/overall.php</x:v>
      </x:c>
      <x:c r="M24" t="str">
        <x:v>https://basketball.realgm.com/nba/stats/2026/Averages/All/points/All/desc/1/Regular_Season</x:v>
      </x:c>
    </x:row>
    <x:row r="25" ht="22" customHeight="1">
      <x:c r="A25" t="str">
        <x:v>Evan Mobley</x:v>
      </x:c>
      <x:c r="B25" s="18" t="n">
        <x:v>20</x:v>
      </x:c>
      <x:c r="C25" s="18" t="str">
        <x:v>PF</x:v>
      </x:c>
      <x:c r="D25" s="18" t="n">
        <x:v>72</x:v>
      </x:c>
      <x:c r="E25" s="20" t="n">
        <x:v>0</x:v>
      </x:c>
      <x:c r="F25" s="20" t="n">
        <x:v>3.5</x:v>
      </x:c>
      <x:c r="G25" s="18" t="str">
        <x:v>STANDARD</x:v>
      </x:c>
      <x:c r="H25" s="24" t="n">
        <x:v>0.15384615384615385</x:v>
      </x:c>
      <x:c r="I25" s="24" t="n">
        <x:v>0.07523510971786834</x:v>
      </x:c>
      <x:c r="J25" t="str">
        <x:v>2025-26 rates</x:v>
      </x:c>
      <x:c r="K25" s="16" t="str">
        <x:v>Efficient big-man production without needing a huge scoring load.</x:v>
      </x:c>
      <x:c r="L25" t="str">
        <x:v>https://www.fantasypros.com/nba/projections/overall.php | https://hashtagbasketball.com/fantasy-basketball-projections</x:v>
      </x:c>
      <x:c r="M25" t="str">
        <x:v>https://basketball.realgm.com/nba/stats/2026/Averages/All/points/All/desc/1/Regular_Season</x:v>
      </x:c>
    </x:row>
    <x:row r="26" ht="22" customHeight="1">
      <x:c r="A26" t="str">
        <x:v>Paolo Banchero</x:v>
      </x:c>
      <x:c r="B26" s="18" t="n">
        <x:v>21</x:v>
      </x:c>
      <x:c r="C26" s="18" t="str">
        <x:v>PF</x:v>
      </x:c>
      <x:c r="D26" s="18" t="n">
        <x:v>74</x:v>
      </x:c>
      <x:c r="E26" s="20" t="n">
        <x:v>0</x:v>
      </x:c>
      <x:c r="F26" s="20" t="n">
        <x:v>3.5</x:v>
      </x:c>
      <x:c r="G26" s="18" t="str">
        <x:v>STANDARD</x:v>
      </x:c>
      <x:c r="H26" s="24" t="n">
        <x:v>0.28378378378378377</x:v>
      </x:c>
      <x:c r="I26" s="24" t="n">
        <x:v>0.034582132564841495</x:v>
      </x:c>
      <x:c r="J26" t="str">
        <x:v>2025-26 rates</x:v>
      </x:c>
      <x:c r="K26" s="16" t="str">
        <x:v>Balanced forward target; missed shots and free throws can cap his fantasy efficiency.</x:v>
      </x:c>
      <x:c r="L26" t="str">
        <x:v>https://www.fantasypros.com/nba/projections/overall.php</x:v>
      </x:c>
      <x:c r="M26" t="str">
        <x:v>https://basketball.realgm.com/nba/stats/2026/Averages/All/points/All/desc/1/Regular_Season</x:v>
      </x:c>
    </x:row>
    <x:row r="27" ht="22" customHeight="1">
      <x:c r="A27" t="str">
        <x:v>Austin Reaves</x:v>
      </x:c>
      <x:c r="B27" s="18" t="n">
        <x:v>22</x:v>
      </x:c>
      <x:c r="C27" s="18" t="str">
        <x:v>SG</x:v>
      </x:c>
      <x:c r="D27" s="18" t="n">
        <x:v>73</x:v>
      </x:c>
      <x:c r="E27" s="20" t="n">
        <x:v>0.375</x:v>
      </x:c>
      <x:c r="F27" s="20" t="n">
        <x:v>3.5</x:v>
      </x:c>
      <x:c r="G27" s="18" t="str">
        <x:v>STANDARD</x:v>
      </x:c>
      <x:c r="H27" s="24" t="n">
        <x:v>0.27038626609442057</x:v>
      </x:c>
      <x:c r="I27" s="24" t="n">
        <x:v>0.017391304347826087</x:v>
      </x:c>
      <x:c r="J27" t="str">
        <x:v>2025-26 rates</x:v>
      </x:c>
      <x:c r="K27" s="16" t="str">
        <x:v>LeBron's departure supports a bigger offensive role; modest upside over consensus.</x:v>
      </x:c>
      <x:c r="L27" t="str">
        <x:v>https://www.fantasypros.com/nba/projections/overall.php | https://hashtagbasketball.com/fantasy-basketball-projections</x:v>
      </x:c>
      <x:c r="M27" t="str">
        <x:v>https://basketball.realgm.com/nba/stats/2026/Averages/All/points/All/desc/1/Regular_Season</x:v>
      </x:c>
    </x:row>
    <x:row r="28" ht="22" customHeight="1">
      <x:c r="A28" t="str">
        <x:v>Kevin Durant</x:v>
      </x:c>
      <x:c r="B28" s="18" t="n">
        <x:v>23</x:v>
      </x:c>
      <x:c r="C28" s="18" t="str">
        <x:v>SF</x:v>
      </x:c>
      <x:c r="D28" s="18" t="n">
        <x:v>75</x:v>
      </x:c>
      <x:c r="E28" s="20" t="n">
        <x:v>0</x:v>
      </x:c>
      <x:c r="F28" s="20" t="n">
        <x:v>5.5</x:v>
      </x:c>
      <x:c r="G28" s="18" t="str">
        <x:v>MEDIUM</x:v>
      </x:c>
      <x:c r="H28" s="24" t="n">
        <x:v>0.2</x:v>
      </x:c>
      <x:c r="I28" s="24" t="n">
        <x:v>0.013736263736263736</x:v>
      </x:c>
      <x:c r="J28" t="str">
        <x:v>2025-26 rates</x:v>
      </x:c>
      <x:c r="K28" s="16" t="str">
        <x:v>Good efficiency keeps value high; use a realistic veteran games assumption.</x:v>
      </x:c>
      <x:c r="L28" t="str">
        <x:v>https://www.fantasypros.com/nba/projections/overall.php | https://hashtagbasketball.com/fantasy-basketball-projections</x:v>
      </x:c>
      <x:c r="M28" t="str">
        <x:v>https://basketball.realgm.com/nba/stats/2026/Averages/All/points/All/desc/1/Regular_Season</x:v>
      </x:c>
    </x:row>
    <x:row r="29" ht="22" customHeight="1">
      <x:c r="A29" t="str">
        <x:v>Scottie Barnes</x:v>
      </x:c>
      <x:c r="B29" s="18" t="n">
        <x:v>24</x:v>
      </x:c>
      <x:c r="C29" s="18" t="str">
        <x:v>PF</x:v>
      </x:c>
      <x:c r="D29" s="18" t="n">
        <x:v>75</x:v>
      </x:c>
      <x:c r="E29" s="20" t="n">
        <x:v>0</x:v>
      </x:c>
      <x:c r="F29" s="20" t="n">
        <x:v>3.5</x:v>
      </x:c>
      <x:c r="G29" s="18" t="str">
        <x:v>STANDARD</x:v>
      </x:c>
      <x:c r="H29" s="24" t="n">
        <x:v>0.16574585635359115</x:v>
      </x:c>
      <x:c r="I29" s="24" t="n">
        <x:v>0.05671641791044776</x:v>
      </x:c>
      <x:c r="J29" t="str">
        <x:v>2025-26 rates</x:v>
      </x:c>
      <x:c r="K29" s="16" t="str">
        <x:v>Versatile production; do not assume every offensive category rises with Kawhi present.</x:v>
      </x:c>
      <x:c r="L29" t="str">
        <x:v>https://www.fantasypros.com/nba/projections/overall.php | https://hashtagbasketball.com/fantasy-basketball-projections</x:v>
      </x:c>
      <x:c r="M29" t="str">
        <x:v>https://basketball.realgm.com/nba/stats/2026/Averages/All/points/All/desc/1/Regular_Season</x:v>
      </x:c>
    </x:row>
    <x:row r="30" ht="22" customHeight="1">
      <x:c r="A30" t="str">
        <x:v>Kawhi Leonard</x:v>
      </x:c>
      <x:c r="B30" s="18" t="n">
        <x:v>25</x:v>
      </x:c>
      <x:c r="C30" s="18" t="str">
        <x:v>SF</x:v>
      </x:c>
      <x:c r="D30" s="18" t="n">
        <x:v>69</x:v>
      </x:c>
      <x:c r="E30" s="20" t="n">
        <x:v>-0.125</x:v>
      </x:c>
      <x:c r="F30" s="20" t="n">
        <x:v>8</x:v>
      </x:c>
      <x:c r="G30" s="18" t="str">
        <x:v>HIGH</x:v>
      </x:c>
      <x:c r="H30" s="24" t="n">
        <x:v>0.20430107526881722</x:v>
      </x:c>
      <x:c r="I30" s="24" t="n">
        <x:v>0.034267912772585674</x:v>
      </x:c>
      <x:c r="J30" t="str">
        <x:v>2025-26 rates</x:v>
      </x:c>
      <x:c r="K30" s="16" t="str">
        <x:v>Toronto role is viable; major availability discount despite strong last-season efficiency.</x:v>
      </x:c>
      <x:c r="L30" t="str">
        <x:v>https://www.fantasypros.com/nba/projections/overall.php | https://hashtagbasketball.com/fantasy-basketball-projections</x:v>
      </x:c>
      <x:c r="M30" t="str">
        <x:v>https://basketball.realgm.com/nba/stats/2026/Averages/All/points/All/desc/1/Regular_Season</x:v>
      </x:c>
    </x:row>
    <x:row r="31" ht="22" customHeight="1">
      <x:c r="A31" t="str">
        <x:v>Stephen Curry</x:v>
      </x:c>
      <x:c r="B31" s="18" t="n">
        <x:v>26</x:v>
      </x:c>
      <x:c r="C31" s="18" t="str">
        <x:v>PG</x:v>
      </x:c>
      <x:c r="D31" s="18" t="n">
        <x:v>73</x:v>
      </x:c>
      <x:c r="E31" s="20" t="n">
        <x:v>0</x:v>
      </x:c>
      <x:c r="F31" s="20" t="n">
        <x:v>5.5</x:v>
      </x:c>
      <x:c r="G31" s="18" t="str">
        <x:v>MEDIUM</x:v>
      </x:c>
      <x:c r="H31" s="24" t="n">
        <x:v>0.17669172932330826</x:v>
      </x:c>
      <x:c r="I31" s="24" t="n">
        <x:v>0.012944983818770227</x:v>
      </x:c>
      <x:c r="J31" t="str">
        <x:v>2025-26 rates</x:v>
      </x:c>
      <x:c r="K31" s="16" t="str">
        <x:v>Made threes are valuable, but availability prevents a pure per-game ranking.</x:v>
      </x:c>
      <x:c r="L31" t="str">
        <x:v>https://www.fantasypros.com/nba/projections/overall.php | https://hashtagbasketball.com/fantasy-basketball-projections</x:v>
      </x:c>
      <x:c r="M31" t="str">
        <x:v>https://basketball.realgm.com/nba/stats/2026/Averages/All/points/All/desc/1/Regular_Season</x:v>
      </x:c>
    </x:row>
    <x:row r="32" ht="22" customHeight="1">
      <x:c r="A32" t="str">
        <x:v>Bam Adebayo</x:v>
      </x:c>
      <x:c r="B32" s="18" t="n">
        <x:v>27</x:v>
      </x:c>
      <x:c r="C32" s="18" t="str">
        <x:v>C</x:v>
      </x:c>
      <x:c r="D32" s="18" t="n">
        <x:v>76</x:v>
      </x:c>
      <x:c r="E32" s="20" t="n">
        <x:v>-0.375</x:v>
      </x:c>
      <x:c r="F32" s="20" t="n">
        <x:v>3.5</x:v>
      </x:c>
      <x:c r="G32" s="18" t="str">
        <x:v>STANDARD</x:v>
      </x:c>
      <x:c r="H32" s="24" t="n">
        <x:v>0.22388059701492535</x:v>
      </x:c>
      <x:c r="I32" s="24" t="n">
        <x:v>0.0617283950617284</x:v>
      </x:c>
      <x:c r="J32" t="str">
        <x:v>2025-26 rates</x:v>
      </x:c>
      <x:c r="K32" s="16" t="str">
        <x:v>Giannis shares interior work. Small downgrade beyond the baseline projection.</x:v>
      </x:c>
      <x:c r="L32" t="str">
        <x:v>https://www.fantasypros.com/nba/projections/overall.php</x:v>
      </x:c>
      <x:c r="M32" t="str">
        <x:v>https://basketball.realgm.com/nba/stats/2026/Averages/All/points/All/desc/1/Regular_Season</x:v>
      </x:c>
    </x:row>
    <x:row r="33" ht="22" customHeight="1">
      <x:c r="A33" t="str">
        <x:v>Amen Thompson</x:v>
      </x:c>
      <x:c r="B33" s="18" t="n">
        <x:v>28</x:v>
      </x:c>
      <x:c r="C33" s="18" t="str">
        <x:v>SG</x:v>
      </x:c>
      <x:c r="D33" s="18" t="n">
        <x:v>78</x:v>
      </x:c>
      <x:c r="E33" s="20" t="n">
        <x:v>0</x:v>
      </x:c>
      <x:c r="F33" s="20" t="n">
        <x:v>3.5</x:v>
      </x:c>
      <x:c r="G33" s="18" t="str">
        <x:v>STANDARD</x:v>
      </x:c>
      <x:c r="H33" s="24" t="n">
        <x:v>0.2076502732240437</x:v>
      </x:c>
      <x:c r="I33" s="24" t="n">
        <x:v>0.08021390374331551</x:v>
      </x:c>
      <x:c r="J33" t="str">
        <x:v>2025-26 rates</x:v>
      </x:c>
      <x:c r="K33" s="16" t="str">
        <x:v>Rebounds and efficiency fit. VanVleet's return limits an unlimited-assists thesis.</x:v>
      </x:c>
      <x:c r="L33" t="str">
        <x:v>https://www.fantasypros.com/nba/projections/overall.php | https://hashtagbasketball.com/fantasy-basketball-projections</x:v>
      </x:c>
      <x:c r="M33" t="str">
        <x:v>https://basketball.realgm.com/nba/stats/2026/Averages/All/points/All/desc/1/Regular_Season</x:v>
      </x:c>
    </x:row>
    <x:row r="34" ht="22" customHeight="1">
      <x:c r="A34" t="str">
        <x:v>Deni Avdija</x:v>
      </x:c>
      <x:c r="B34" s="18" t="n">
        <x:v>29</x:v>
      </x:c>
      <x:c r="C34" s="18" t="str">
        <x:v>SF</x:v>
      </x:c>
      <x:c r="D34" s="18" t="n">
        <x:v>75</x:v>
      </x:c>
      <x:c r="E34" s="20" t="n">
        <x:v>-0.375</x:v>
      </x:c>
      <x:c r="F34" s="20" t="n">
        <x:v>3.5</x:v>
      </x:c>
      <x:c r="G34" s="18" t="str">
        <x:v>STANDARD</x:v>
      </x:c>
      <x:c r="H34" s="24" t="n">
        <x:v>0.3057851239669422</x:v>
      </x:c>
      <x:c r="I34" s="24" t="n">
        <x:v>0.03303303303303304</x:v>
      </x:c>
      <x:c r="J34" t="str">
        <x:v>2025-26 rates</x:v>
      </x:c>
      <x:c r="K34" s="16" t="str">
        <x:v>Morant and Lillard compete for creation; price below last year's peak role.</x:v>
      </x:c>
      <x:c r="L34" t="str">
        <x:v>https://www.fantasypros.com/nba/projections/overall.php</x:v>
      </x:c>
      <x:c r="M34" t="str">
        <x:v>https://basketball.realgm.com/nba/stats/2026/Averages/All/points/All/desc/1/Regular_Season</x:v>
      </x:c>
    </x:row>
    <x:row r="35" ht="22" customHeight="1">
      <x:c r="A35" t="str">
        <x:v>Joel Embiid</x:v>
      </x:c>
      <x:c r="B35" s="18" t="n">
        <x:v>30</x:v>
      </x:c>
      <x:c r="C35" s="18" t="str">
        <x:v>C</x:v>
      </x:c>
      <x:c r="D35" s="18" t="n">
        <x:v>55</x:v>
      </x:c>
      <x:c r="E35" s="20" t="n">
        <x:v>-0.25</x:v>
      </x:c>
      <x:c r="F35" s="20" t="n">
        <x:v>8</x:v>
      </x:c>
      <x:c r="G35" s="18" t="str">
        <x:v>HIGH</x:v>
      </x:c>
      <x:c r="H35" s="24" t="n">
        <x:v>0.2788104089219331</x:v>
      </x:c>
      <x:c r="I35" s="24" t="n">
        <x:v>0.06329113924050632</x:v>
      </x:c>
      <x:c r="J35" t="str">
        <x:v>2025-26 rates</x:v>
      </x:c>
      <x:c r="K35" s="16" t="str">
        <x:v>Healthy enough for preseason work, but recent availability remains too volatile to price at pure per-game value.</x:v>
      </x:c>
      <x:c r="L35" t="str">
        <x:v>https://www.fantasypros.com/nba/projections/overall.php</x:v>
      </x:c>
      <x:c r="M35" t="str">
        <x:v>https://basketball.realgm.com/nba/stats/2026/Averages/All/points/All/desc/1/Regular_Season</x:v>
      </x:c>
    </x:row>
    <x:row r="36" ht="22" customHeight="1">
      <x:c r="A36" t="str">
        <x:v>Josh Giddey</x:v>
      </x:c>
      <x:c r="B36" s="18" t="n">
        <x:v>31</x:v>
      </x:c>
      <x:c r="C36" s="18" t="str">
        <x:v>PG</x:v>
      </x:c>
      <x:c r="D36" s="18" t="n">
        <x:v>73</x:v>
      </x:c>
      <x:c r="E36" s="20" t="n">
        <x:v>0</x:v>
      </x:c>
      <x:c r="F36" s="20" t="n">
        <x:v>3.5</x:v>
      </x:c>
      <x:c r="G36" s="18" t="str">
        <x:v>STANDARD</x:v>
      </x:c>
      <x:c r="H36" s="24" t="n">
        <x:v>0.18823529411764706</x:v>
      </x:c>
      <x:c r="I36" s="24" t="n">
        <x:v>0.037383177570093455</x:v>
      </x:c>
      <x:c r="J36" t="str">
        <x:v>2025-26 rates</x:v>
      </x:c>
      <x:c r="K36" s="16" t="str">
        <x:v>Rebounding guard profile plays well; losses from missed shots and turnovers still matter.</x:v>
      </x:c>
      <x:c r="L36" t="str">
        <x:v>https://www.fantasypros.com/nba/projections/overall.php</x:v>
      </x:c>
      <x:c r="M36" t="str">
        <x:v>https://basketball.realgm.com/nba/stats/2026/Averages/All/points/All/desc/1/Regular_Season</x:v>
      </x:c>
    </x:row>
    <x:row r="37" ht="22" customHeight="1">
      <x:c r="A37" t="str">
        <x:v>LaMelo Ball</x:v>
      </x:c>
      <x:c r="B37" s="18" t="n">
        <x:v>32</x:v>
      </x:c>
      <x:c r="C37" s="18" t="str">
        <x:v>PG</x:v>
      </x:c>
      <x:c r="D37" s="18" t="n">
        <x:v>73</x:v>
      </x:c>
      <x:c r="E37" s="20" t="n">
        <x:v>-0.125</x:v>
      </x:c>
      <x:c r="F37" s="20" t="n">
        <x:v>5.5</x:v>
      </x:c>
      <x:c r="G37" s="18" t="str">
        <x:v>MEDIUM</x:v>
      </x:c>
      <x:c r="H37" s="24" t="n">
        <x:v>0.10945273631840796</x:v>
      </x:c>
      <x:c r="I37" s="24" t="n">
        <x:v>0.03214285714285715</x:v>
      </x:c>
      <x:c r="J37" t="str">
        <x:v>2025-26 rates</x:v>
      </x:c>
      <x:c r="K37" s="16" t="str">
        <x:v>New Minnesota role; passing upside, but health and shot efficiency remain key variables.</x:v>
      </x:c>
      <x:c r="L37" t="str">
        <x:v>https://www.fantasypros.com/nba/projections/overall.php</x:v>
      </x:c>
      <x:c r="M37" t="str">
        <x:v>https://basketball.realgm.com/nba/stats/2026/Averages/All/points/All/desc/1/Regular_Season</x:v>
      </x:c>
    </x:row>
    <x:row r="38" ht="22" customHeight="1">
      <x:c r="A38" t="str">
        <x:v>Jamal Murray</x:v>
      </x:c>
      <x:c r="B38" s="18" t="n">
        <x:v>33</x:v>
      </x:c>
      <x:c r="C38" s="18" t="str">
        <x:v>PG</x:v>
      </x:c>
      <x:c r="D38" s="18" t="n">
        <x:v>74</x:v>
      </x:c>
      <x:c r="E38" s="20" t="n">
        <x:v>0</x:v>
      </x:c>
      <x:c r="F38" s="20" t="n">
        <x:v>5.5</x:v>
      </x:c>
      <x:c r="G38" s="18" t="str">
        <x:v>MEDIUM</x:v>
      </x:c>
      <x:c r="H38" s="24" t="n">
        <x:v>0.1811023622047244</x:v>
      </x:c>
      <x:c r="I38" s="24" t="n">
        <x:v>0.01129943502824859</x:v>
      </x:c>
      <x:c r="J38" t="str">
        <x:v>2025-26 rates</x:v>
      </x:c>
      <x:c r="K38" s="16" t="str">
        <x:v>Good scoring/assists mix; projected regression from a very strong 2025-26.</x:v>
      </x:c>
      <x:c r="L38" t="str">
        <x:v>https://www.fantasypros.com/nba/projections/overall.php | https://hashtagbasketball.com/fantasy-basketball-projections</x:v>
      </x:c>
      <x:c r="M38" t="str">
        <x:v>https://basketball.realgm.com/nba/stats/2026/Averages/All/points/All/desc/1/Regular_Season</x:v>
      </x:c>
    </x:row>
    <x:row r="39" ht="22" customHeight="1">
      <x:c r="A39" t="str">
        <x:v>Pascal Siakam</x:v>
      </x:c>
      <x:c r="B39" s="18" t="n">
        <x:v>34</x:v>
      </x:c>
      <x:c r="C39" s="18" t="str">
        <x:v>PF</x:v>
      </x:c>
      <x:c r="D39" s="18" t="n">
        <x:v>76</x:v>
      </x:c>
      <x:c r="E39" s="20" t="n">
        <x:v>0</x:v>
      </x:c>
      <x:c r="F39" s="20" t="n">
        <x:v>3.5</x:v>
      </x:c>
      <x:c r="G39" s="18" t="str">
        <x:v>STANDARD</x:v>
      </x:c>
      <x:c r="H39" s="24" t="n">
        <x:v>0.17500000000000002</x:v>
      </x:c>
      <x:c r="I39" s="24" t="n">
        <x:v>0.04216867469879518</x:v>
      </x:c>
      <x:c r="J39" t="str">
        <x:v>2025-26 rates</x:v>
      </x:c>
      <x:c r="K39" s="16" t="str">
        <x:v>Steady multi-category production; Haliburton's return supports a more balanced offense.</x:v>
      </x:c>
      <x:c r="L39" t="str">
        <x:v>https://www.fantasypros.com/nba/projections/overall.php</x:v>
      </x:c>
      <x:c r="M39" t="str">
        <x:v>https://basketball.realgm.com/nba/stats/2026/Averages/All/points/All/desc/1/Regular_Season</x:v>
      </x:c>
    </x:row>
    <x:row r="40" ht="22" customHeight="1">
      <x:c r="A40" t="str">
        <x:v>Zion Williamson</x:v>
      </x:c>
      <x:c r="B40" s="18" t="n">
        <x:v>35</x:v>
      </x:c>
      <x:c r="C40" s="18" t="str">
        <x:v>PF</x:v>
      </x:c>
      <x:c r="D40" s="18" t="n">
        <x:v>69</x:v>
      </x:c>
      <x:c r="E40" s="20" t="n">
        <x:v>0</x:v>
      </x:c>
      <x:c r="F40" s="20" t="n">
        <x:v>8</x:v>
      </x:c>
      <x:c r="G40" s="18" t="str">
        <x:v>HIGH</x:v>
      </x:c>
      <x:c r="H40" s="24" t="n">
        <x:v>0.2571428571428572</x:v>
      </x:c>
      <x:c r="I40" s="24" t="n">
        <x:v>0.06734006734006734</x:v>
      </x:c>
      <x:c r="J40" t="str">
        <x:v>2025-26 rates</x:v>
      </x:c>
      <x:c r="K40" s="16" t="str">
        <x:v>Efficient scoring helps; no 70-game assumption and no discounting free-throw misses.</x:v>
      </x:c>
      <x:c r="L40" t="str">
        <x:v>https://www.fantasypros.com/nba/projections/overall.php</x:v>
      </x:c>
      <x:c r="M40" t="str">
        <x:v>https://basketball.realgm.com/nba/stats/2026/Averages/All/points/All/desc/1/Regular_Season</x:v>
      </x:c>
    </x:row>
    <x:row r="41" ht="22" customHeight="1">
      <x:c r="A41" t="str">
        <x:v>Franz Wagner</x:v>
      </x:c>
      <x:c r="B41" s="18" t="n">
        <x:v>36</x:v>
      </x:c>
      <x:c r="C41" s="18" t="str">
        <x:v>SF</x:v>
      </x:c>
      <x:c r="D41" s="18" t="n">
        <x:v>72</x:v>
      </x:c>
      <x:c r="E41" s="20" t="n">
        <x:v>0</x:v>
      </x:c>
      <x:c r="F41" s="20" t="n">
        <x:v>5.5</x:v>
      </x:c>
      <x:c r="G41" s="18" t="str">
        <x:v>MEDIUM</x:v>
      </x:c>
      <x:c r="H41" s="24" t="n">
        <x:v>0.23300970873786406</x:v>
      </x:c>
      <x:c r="I41" s="24" t="n">
        <x:v>0.043333333333333335</x:v>
      </x:c>
      <x:c r="J41" t="str">
        <x:v>2025-26 rates</x:v>
      </x:c>
      <x:c r="K41" s="16" t="str">
        <x:v>High-end forward option; games and shooting efficiency are the main draft checks.</x:v>
      </x:c>
      <x:c r="L41" t="str">
        <x:v>https://www.fantasypros.com/nba/projections/overall.php</x:v>
      </x:c>
      <x:c r="M41" t="str">
        <x:v>https://basketball.realgm.com/nba/stats/2026/Averages/All/points/All/desc/1/Regular_Season</x:v>
      </x:c>
    </x:row>
    <x:row r="42" ht="22" customHeight="1">
      <x:c r="A42" t="str">
        <x:v>Ivica Zubac</x:v>
      </x:c>
      <x:c r="B42" s="18" t="n">
        <x:v>37</x:v>
      </x:c>
      <x:c r="C42" s="18" t="str">
        <x:v>C</x:v>
      </x:c>
      <x:c r="D42" s="18" t="n">
        <x:v>74</x:v>
      </x:c>
      <x:c r="E42" s="20" t="n">
        <x:v>0</x:v>
      </x:c>
      <x:c r="F42" s="20" t="n">
        <x:v>3.5</x:v>
      </x:c>
      <x:c r="G42" s="18" t="str">
        <x:v>STANDARD</x:v>
      </x:c>
      <x:c r="H42" s="24" t="n">
        <x:v>0.14893617021276598</x:v>
      </x:c>
      <x:c r="I42" s="24" t="n">
        <x:v>0.11295681063122923</x:v>
      </x:c>
      <x:c r="J42" t="str">
        <x:v>2025-26 rates</x:v>
      </x:c>
      <x:c r="K42" s="16" t="str">
        <x:v>Excellent efficient rebounder; Haliburton pairing supports his Indiana role.</x:v>
      </x:c>
      <x:c r="L42" t="str">
        <x:v>https://www.fantasypros.com/nba/projections/overall.php</x:v>
      </x:c>
      <x:c r="M42" t="str">
        <x:v>https://basketball.realgm.com/nba/stats/2026/Averages/All/points/All/desc/1/Regular_Season</x:v>
      </x:c>
    </x:row>
    <x:row r="43" ht="22" customHeight="1">
      <x:c r="A43" t="str">
        <x:v>LeBron James</x:v>
      </x:c>
      <x:c r="B43" s="18" t="n">
        <x:v>38</x:v>
      </x:c>
      <x:c r="C43" s="18" t="str">
        <x:v>SF</x:v>
      </x:c>
      <x:c r="D43" s="18" t="n">
        <x:v>68</x:v>
      </x:c>
      <x:c r="E43" s="20" t="n">
        <x:v>-0.375</x:v>
      </x:c>
      <x:c r="F43" s="20" t="n">
        <x:v>5.5</x:v>
      </x:c>
      <x:c r="G43" s="18" t="str">
        <x:v>MEDIUM</x:v>
      </x:c>
      <x:c r="H43" s="24" t="n">
        <x:v>0.18660287081339713</x:v>
      </x:c>
      <x:c r="I43" s="24" t="n">
        <x:v>0.02108433734939759</x:v>
      </x:c>
      <x:c r="J43" t="str">
        <x:v>2025-26 rates</x:v>
      </x:c>
      <x:c r="K43" s="16" t="str">
        <x:v>Philadelphia's crowded offense and veteran workload call for a discount from name value.</x:v>
      </x:c>
      <x:c r="L43" t="str">
        <x:v>https://www.fantasypros.com/nba/projections/overall.php</x:v>
      </x:c>
      <x:c r="M43" t="str">
        <x:v>https://basketball.realgm.com/nba/stats/2026/Averages/All/points/All/desc/1/Regular_Season</x:v>
      </x:c>
    </x:row>
    <x:row r="44" ht="22" customHeight="1">
      <x:c r="A44" t="str">
        <x:v>Jaylen Brown</x:v>
      </x:c>
      <x:c r="B44" s="18" t="n">
        <x:v>39</x:v>
      </x:c>
      <x:c r="C44" s="18" t="str">
        <x:v>SG</x:v>
      </x:c>
      <x:c r="D44" s="18" t="n">
        <x:v>75</x:v>
      </x:c>
      <x:c r="E44" s="20" t="n">
        <x:v>-0.375</x:v>
      </x:c>
      <x:c r="F44" s="20" t="n">
        <x:v>3.5</x:v>
      </x:c>
      <x:c r="G44" s="18" t="str">
        <x:v>STANDARD</x:v>
      </x:c>
      <x:c r="H44" s="24" t="n">
        <x:v>0.20905923344947736</x:v>
      </x:c>
      <x:c r="I44" s="24" t="n">
        <x:v>0.03197674418604651</x:v>
      </x:c>
      <x:c r="J44" t="str">
        <x:v>2025-26 rates</x:v>
      </x:c>
      <x:c r="K44" s="16" t="str">
        <x:v>Philadelphia adds major scoring competition; do not pay for Boston's 2025-26 usage.</x:v>
      </x:c>
      <x:c r="L44" t="str">
        <x:v>https://www.fantasypros.com/nba/projections/overall.php</x:v>
      </x:c>
      <x:c r="M44" t="str">
        <x:v>https://basketball.realgm.com/nba/stats/2026/Averages/All/points/All/desc/1/Regular_Season</x:v>
      </x:c>
    </x:row>
    <x:row r="45" ht="22" customHeight="1">
      <x:c r="A45" t="str">
        <x:v>James Harden</x:v>
      </x:c>
      <x:c r="B45" s="18" t="n">
        <x:v>40</x:v>
      </x:c>
      <x:c r="C45" s="18" t="str">
        <x:v>PG</x:v>
      </x:c>
      <x:c r="D45" s="18" t="n">
        <x:v>76</x:v>
      </x:c>
      <x:c r="E45" s="20" t="n">
        <x:v>0</x:v>
      </x:c>
      <x:c r="F45" s="20" t="n">
        <x:v>3.5</x:v>
      </x:c>
      <x:c r="G45" s="18" t="str">
        <x:v>STANDARD</x:v>
      </x:c>
      <x:c r="H45" s="24" t="n">
        <x:v>0.2796610169491525</x:v>
      </x:c>
      <x:c r="I45" s="24" t="n">
        <x:v>0.017241379310344827</x:v>
      </x:c>
      <x:c r="J45" t="str">
        <x:v>2025-26 rates</x:v>
      </x:c>
      <x:c r="K45" s="16" t="str">
        <x:v>Cleveland shared creation limits the old sole-engine ceiling.</x:v>
      </x:c>
      <x:c r="L45" t="str">
        <x:v>https://www.fantasypros.com/nba/projections/overall.php | https://hashtagbasketball.com/fantasy-basketball-projections</x:v>
      </x:c>
      <x:c r="M45" t="str">
        <x:v>https://basketball.realgm.com/nba/stats/2026/Averages/All/points/All/desc/1/Regular_Season</x:v>
      </x:c>
    </x:row>
    <x:row r="46" ht="22" customHeight="1">
      <x:c r="A46" t="str">
        <x:v>Trae Young</x:v>
      </x:c>
      <x:c r="B46" s="18" t="n">
        <x:v>41</x:v>
      </x:c>
      <x:c r="C46" s="18" t="str">
        <x:v>PG</x:v>
      </x:c>
      <x:c r="D46" s="18" t="n">
        <x:v>75</x:v>
      </x:c>
      <x:c r="E46" s="20" t="n">
        <x:v>0</x:v>
      </x:c>
      <x:c r="F46" s="20" t="n">
        <x:v>5.5</x:v>
      </x:c>
      <x:c r="G46" s="18" t="str">
        <x:v>MEDIUM</x:v>
      </x:c>
      <x:c r="H46" s="24" t="n">
        <x:v>0.29608938547486036</x:v>
      </x:c>
      <x:c r="I46" s="24" t="n">
        <x:v>0.011718749999999998</x:v>
      </x:c>
      <x:c r="J46" t="str">
        <x:v>2025-26 rates</x:v>
      </x:c>
      <x:c r="K46" s="16" t="str">
        <x:v>Washington has productive targets; turnover penalty means assists alone do not make him elite.</x:v>
      </x:c>
      <x:c r="L46" t="str">
        <x:v>https://www.fantasypros.com/nba/projections/overall.php | https://hashtagbasketball.com/fantasy-basketball-projections</x:v>
      </x:c>
      <x:c r="M46" t="str">
        <x:v>https://basketball.realgm.com/nba/stats/2026/Averages/All/points/All/desc/1/Regular_Season</x:v>
      </x:c>
    </x:row>
    <x:row r="47" ht="22" customHeight="1">
      <x:c r="A47" t="str">
        <x:v>Jarrett Allen</x:v>
      </x:c>
      <x:c r="B47" s="18" t="n">
        <x:v>42</x:v>
      </x:c>
      <x:c r="C47" s="18" t="str">
        <x:v>C</x:v>
      </x:c>
      <x:c r="D47" s="18" t="n">
        <x:v>75</x:v>
      </x:c>
      <x:c r="E47" s="20" t="n">
        <x:v>0</x:v>
      </x:c>
      <x:c r="F47" s="20" t="n">
        <x:v>3.5</x:v>
      </x:c>
      <x:c r="G47" s="18" t="str">
        <x:v>STANDARD</x:v>
      </x:c>
      <x:c r="H47" s="24" t="n">
        <x:v>0.21428571428571427</x:v>
      </x:c>
      <x:c r="I47" s="24" t="n">
        <x:v>0.0959409594095941</x:v>
      </x:c>
      <x:c r="J47" t="str">
        <x:v>2025-26 rates</x:v>
      </x:c>
      <x:c r="K47" s="16" t="str">
        <x:v>Strong value when offensive rebounds and efficient finishes are rewarded.</x:v>
      </x:c>
      <x:c r="L47" t="str">
        <x:v>https://www.fantasypros.com/nba/projections/overall.php</x:v>
      </x:c>
      <x:c r="M47" t="str">
        <x:v>https://basketball.realgm.com/nba/stats/2026/Averages/All/points/All/desc/1/Regular_Season</x:v>
      </x:c>
    </x:row>
    <x:row r="48" ht="22" customHeight="1">
      <x:c r="A48" t="str">
        <x:v>Lauri Markkanen</x:v>
      </x:c>
      <x:c r="B48" s="18" t="n">
        <x:v>43</x:v>
      </x:c>
      <x:c r="C48" s="18" t="str">
        <x:v>PF</x:v>
      </x:c>
      <x:c r="D48" s="18" t="n">
        <x:v>74</x:v>
      </x:c>
      <x:c r="E48" s="20" t="n">
        <x:v>0</x:v>
      </x:c>
      <x:c r="F48" s="20" t="n">
        <x:v>5.5</x:v>
      </x:c>
      <x:c r="G48" s="18" t="str">
        <x:v>MEDIUM</x:v>
      </x:c>
      <x:c r="H48" s="24" t="n">
        <x:v>0.21348314606741575</x:v>
      </x:c>
      <x:c r="I48" s="24" t="n">
        <x:v>0.05830903790087464</x:v>
      </x:c>
      <x:c r="J48" t="str">
        <x:v>2025-26 rates</x:v>
      </x:c>
      <x:c r="K48" s="16" t="str">
        <x:v>Utah has more mouths to feed; do not assume last season's scoring repeats.</x:v>
      </x:c>
      <x:c r="L48" t="str">
        <x:v>https://www.fantasypros.com/nba/projections/overall.php</x:v>
      </x:c>
      <x:c r="M48" t="str">
        <x:v>https://basketball.realgm.com/nba/stats/2026/Averages/All/points/All/desc/1/Regular_Season</x:v>
      </x:c>
    </x:row>
    <x:row r="49" ht="22" customHeight="1">
      <x:c r="A49" t="str">
        <x:v>Jalen Williams</x:v>
      </x:c>
      <x:c r="B49" s="18" t="n">
        <x:v>44</x:v>
      </x:c>
      <x:c r="C49" s="18" t="str">
        <x:v>SF</x:v>
      </x:c>
      <x:c r="D49" s="18" t="n">
        <x:v>74</x:v>
      </x:c>
      <x:c r="E49" s="20" t="n">
        <x:v>0</x:v>
      </x:c>
      <x:c r="F49" s="20" t="n">
        <x:v>5.5</x:v>
      </x:c>
      <x:c r="G49" s="18" t="str">
        <x:v>MEDIUM</x:v>
      </x:c>
      <x:c r="H49" s="24" t="n">
        <x:v>0.19298245614035084</x:v>
      </x:c>
      <x:c r="I49" s="24" t="n">
        <x:v>0.028169014084507046</x:v>
      </x:c>
      <x:c r="J49" t="str">
        <x:v>2025-26 rates</x:v>
      </x:c>
      <x:c r="K49" s="16" t="str">
        <x:v>Bounce-back upside; use a realistic health and role range.</x:v>
      </x:c>
      <x:c r="L49" t="str">
        <x:v>https://www.fantasypros.com/nba/projections/overall.php</x:v>
      </x:c>
      <x:c r="M49" t="str">
        <x:v>https://basketball.realgm.com/nba/stats/2026/Averages/All/points/All/desc/1/Regular_Season</x:v>
      </x:c>
    </x:row>
    <x:row r="50" ht="22" customHeight="1">
      <x:c r="A50" t="str">
        <x:v>Chet Holmgren</x:v>
      </x:c>
      <x:c r="B50" s="18" t="n">
        <x:v>45</x:v>
      </x:c>
      <x:c r="C50" s="18" t="str">
        <x:v>C</x:v>
      </x:c>
      <x:c r="D50" s="18" t="n">
        <x:v>72</x:v>
      </x:c>
      <x:c r="E50" s="20" t="n">
        <x:v>0.25</x:v>
      </x:c>
      <x:c r="F50" s="20" t="n">
        <x:v>5.5</x:v>
      </x:c>
      <x:c r="G50" s="18" t="str">
        <x:v>MEDIUM</x:v>
      </x:c>
      <x:c r="H50" s="24" t="n">
        <x:v>0.19298245614035084</x:v>
      </x:c>
      <x:c r="I50" s="24" t="n">
        <x:v>0.0657439446366782</x:v>
      </x:c>
      <x:c r="J50" t="str">
        <x:v>2025-26 rates</x:v>
      </x:c>
      <x:c r="K50" s="16" t="str">
        <x:v>Good efficiency, but modest block weighting keeps category-league hype in check.</x:v>
      </x:c>
      <x:c r="L50" t="str">
        <x:v>https://www.fantasypros.com/nba/projections/overall.php | https://hashtagbasketball.com/fantasy-basketball-projections</x:v>
      </x:c>
      <x:c r="M50" t="str">
        <x:v>https://basketball.realgm.com/nba/stats/2026/Averages/All/points/All/desc/1/Regular_Season</x:v>
      </x:c>
    </x:row>
    <x:row r="51" ht="22" customHeight="1">
      <x:c r="A51" t="str">
        <x:v>Trey Murphy III</x:v>
      </x:c>
      <x:c r="B51" s="18" t="n">
        <x:v>46</x:v>
      </x:c>
      <x:c r="C51" s="18" t="str">
        <x:v>SF</x:v>
      </x:c>
      <x:c r="D51" s="18" t="n">
        <x:v>73</x:v>
      </x:c>
      <x:c r="E51" s="20" t="n">
        <x:v>0</x:v>
      </x:c>
      <x:c r="F51" s="20" t="n">
        <x:v>3.5</x:v>
      </x:c>
      <x:c r="G51" s="18" t="str">
        <x:v>STANDARD</x:v>
      </x:c>
      <x:c r="H51" s="24" t="n">
        <x:v>0.15348837209302324</x:v>
      </x:c>
      <x:c r="I51" s="24" t="n">
        <x:v>0.028169014084507043</x:v>
      </x:c>
      <x:c r="J51" t="str">
        <x:v>2025-26 rates</x:v>
      </x:c>
      <x:c r="K51" s="16" t="str">
        <x:v>Three-point efficiency is useful; projected below a very strong prior season.</x:v>
      </x:c>
      <x:c r="L51" t="str">
        <x:v>https://www.fantasypros.com/nba/projections/overall.php | https://hashtagbasketball.com/fantasy-basketball-projections</x:v>
      </x:c>
      <x:c r="M51" t="str">
        <x:v>https://basketball.realgm.com/nba/stats/2026/Averages/All/points/All/desc/1/Regular_Season</x:v>
      </x:c>
    </x:row>
    <x:row r="52" ht="22" customHeight="1">
      <x:c r="A52" t="str">
        <x:v>Tyrese Haliburton</x:v>
      </x:c>
      <x:c r="B52" s="18" t="n">
        <x:v>47</x:v>
      </x:c>
      <x:c r="C52" s="18" t="str">
        <x:v>PG</x:v>
      </x:c>
      <x:c r="D52" s="18" t="n">
        <x:v>66</x:v>
      </x:c>
      <x:c r="E52" s="20" t="n">
        <x:v>0</x:v>
      </x:c>
      <x:c r="F52" s="20" t="n">
        <x:v>5.5</x:v>
      </x:c>
      <x:c r="G52" s="18" t="str">
        <x:v>MEDIUM</x:v>
      </x:c>
      <x:c r="H52" s="24" t="n">
        <x:v>0.13978494623655913</x:v>
      </x:c>
      <x:c r="I52" s="24" t="n">
        <x:v>0.017857142857142856</x:v>
      </x:c>
      <x:c r="J52" t="str">
        <x:v>2024-25 rates</x:v>
      </x:c>
      <x:c r="K52" s="16" t="str">
        <x:v>Returned from Achilles absence, then tweaked right ankle in preseason debut. MRI was encouraging, but return-season workload/ramp remains a real draft risk.</x:v>
      </x:c>
      <x:c r="L52" t="str">
        <x:v>https://sports.yahoo.com/articles/tyrese-haliburton-injury-pacers-star-213647317.html</x:v>
      </x:c>
      <x:c r="M52" t="str">
        <x:v>https://basketball.realgm.com/nba/stats/2025/Averages/Qualified/points/All/desc/1/Regular_Season</x:v>
      </x:c>
    </x:row>
    <x:row r="53" ht="22" customHeight="1">
      <x:c r="A53" t="str">
        <x:v>Walker Kessler</x:v>
      </x:c>
      <x:c r="B53" s="18" t="n">
        <x:v>48</x:v>
      </x:c>
      <x:c r="C53" s="18" t="str">
        <x:v>C</x:v>
      </x:c>
      <x:c r="D53" s="18" t="n">
        <x:v>68</x:v>
      </x:c>
      <x:c r="E53" s="20" t="n">
        <x:v>0</x:v>
      </x:c>
      <x:c r="F53" s="20" t="n">
        <x:v>5.5</x:v>
      </x:c>
      <x:c r="G53" s="18" t="str">
        <x:v>MEDIUM</x:v>
      </x:c>
      <x:c r="H53" s="24" t="n">
        <x:v>0.12612612612612611</x:v>
      </x:c>
      <x:c r="I53" s="24" t="n">
        <x:v>0.15333333333333332</x:v>
      </x:c>
      <x:c r="J53" t="str">
        <x:v>2024-25 rates</x:v>
      </x:c>
      <x:c r="K53" s="16" t="str">
        <x:v>Finger injury has kept him out of preseason games; role remains strong, but add a small health buffer.</x:v>
      </x:c>
      <x:c r="L53" t="str">
        <x:v>https://www.nba.com/player/1631117/walker-kessler</x:v>
      </x:c>
      <x:c r="M53" t="str">
        <x:v>https://basketball.realgm.com/nba/stats/2025/Averages/Qualified/points/All/desc/1/Regular_Season</x:v>
      </x:c>
    </x:row>
    <x:row r="54" ht="22" customHeight="1">
      <x:c r="A54" t="str">
        <x:v>Cameron Boozer</x:v>
      </x:c>
      <x:c r="B54" s="18" t="n">
        <x:v>49</x:v>
      </x:c>
      <x:c r="C54" s="18" t="str">
        <x:v>PF</x:v>
      </x:c>
      <x:c r="D54" s="18" t="n">
        <x:v>75</x:v>
      </x:c>
      <x:c r="E54" s="20" t="n">
        <x:v>-0.25</x:v>
      </x:c>
      <x:c r="F54" s="20" t="n">
        <x:v>5.5</x:v>
      </x:c>
      <x:c r="G54" s="18" t="str">
        <x:v>MEDIUM</x:v>
      </x:c>
      <x:c r="H54" s="24" t="n">
        <x:v>0.2</x:v>
      </x:c>
      <x:c r="I54" s="24" t="n">
        <x:v>0.085</x:v>
      </x:c>
      <x:c r="J54" t="str">
        <x:v>Analyst assumption; no 2025-26 NBA sample</x:v>
      </x:c>
      <x:c r="K54" s="16" t="str">
        <x:v>Rookie rebound/scoring profile fits; wide range and no NBA historical baseline.</x:v>
      </x:c>
      <x:c r="L54" t="str">
        <x:v>https://www.fantasypros.com/nba/projections/overall.php</x:v>
      </x:c>
      <x:c r="M54" t="str">
        <x:v>Analyst assumption; no 2025-26 NBA sample</x:v>
      </x:c>
    </x:row>
    <x:row r="55" ht="22" customHeight="1">
      <x:c r="A55" t="str">
        <x:v>Rudy Gobert</x:v>
      </x:c>
      <x:c r="B55" s="18" t="n">
        <x:v>50</x:v>
      </x:c>
      <x:c r="C55" s="18" t="str">
        <x:v>C</x:v>
      </x:c>
      <x:c r="D55" s="18" t="n">
        <x:v>74</x:v>
      </x:c>
      <x:c r="E55" s="20" t="n">
        <x:v>0</x:v>
      </x:c>
      <x:c r="F55" s="20" t="n">
        <x:v>3.5</x:v>
      </x:c>
      <x:c r="G55" s="18" t="str">
        <x:v>STANDARD</x:v>
      </x:c>
      <x:c r="H55" s="24" t="n">
        <x:v>0.1926605504587156</x:v>
      </x:c>
      <x:c r="I55" s="24" t="n">
        <x:v>0.12460063897763578</x:v>
      </x:c>
      <x:c r="J55" t="str">
        <x:v>2025-26 rates</x:v>
      </x:c>
      <x:c r="K55" s="16" t="str">
        <x:v>Useful custom-format target; rebounds and low-turnover finishing offset weaker free throws.</x:v>
      </x:c>
      <x:c r="L55" t="str">
        <x:v>https://www.nba.com/news/2026-27-season-preview-min</x:v>
      </x:c>
      <x:c r="M55" t="str">
        <x:v>https://basketball.realgm.com/nba/stats/2026/Averages/All/points/All/desc/1/Regular_Season</x:v>
      </x:c>
    </x:row>
    <x:row r="56" ht="22" customHeight="1">
      <x:c r="A56" t="str">
        <x:v>Donovan Clingan</x:v>
      </x:c>
      <x:c r="B56" s="18" t="n">
        <x:v>51</x:v>
      </x:c>
      <x:c r="C56" s="18" t="str">
        <x:v>C</x:v>
      </x:c>
      <x:c r="D56" s="18" t="n">
        <x:v>74</x:v>
      </x:c>
      <x:c r="E56" s="20" t="n">
        <x:v>2</x:v>
      </x:c>
      <x:c r="F56" s="20" t="n">
        <x:v>3.5</x:v>
      </x:c>
      <x:c r="G56" s="18" t="str">
        <x:v>STANDARD</x:v>
      </x:c>
      <x:c r="H56" s="24" t="n">
        <x:v>0.1487603305785124</x:v>
      </x:c>
      <x:c r="I56" s="24" t="n">
        <x:v>0.16544117647058823</x:v>
      </x:c>
      <x:c r="J56" t="str">
        <x:v>2025-26 rates</x:v>
      </x:c>
      <x:c r="K56" s="16" t="str">
        <x:v>OREB bonus is the appeal; modest upgrade from conservative projected minutes.</x:v>
      </x:c>
      <x:c r="L56" t="str">
        <x:v>https://www.nba.com/news/2026-27-season-preview-por</x:v>
      </x:c>
      <x:c r="M56" t="str">
        <x:v>https://basketball.realgm.com/nba/stats/2026/Averages/All/points/All/desc/1/Regular_Season</x:v>
      </x:c>
    </x:row>
    <x:row r="57" ht="22" customHeight="1">
      <x:c r="A57" t="str">
        <x:v>Kyrie Irving</x:v>
      </x:c>
      <x:c r="B57" s="18" t="n">
        <x:v>52</x:v>
      </x:c>
      <x:c r="C57" s="18" t="str">
        <x:v>PG</x:v>
      </x:c>
      <x:c r="D57" s="18" t="n">
        <x:v>62</x:v>
      </x:c>
      <x:c r="E57" s="20" t="n">
        <x:v>0</x:v>
      </x:c>
      <x:c r="F57" s="20" t="n">
        <x:v>5.5</x:v>
      </x:c>
      <x:c r="G57" s="18" t="str">
        <x:v>MEDIUM</x:v>
      </x:c>
      <x:c r="H57" s="24" t="n">
        <x:v>0.16</x:v>
      </x:c>
      <x:c r="I57" s="24" t="n">
        <x:v>0.018</x:v>
      </x:c>
      <x:c r="J57" t="str">
        <x:v>Analyst assumption; no 2025-26 NBA sample</x:v>
      </x:c>
      <x:c r="K57" s="16" t="str">
        <x:v>Returning after 19-month ACL absence. No reported physical restriction, but conditioning and game-rhythm risk warrant a modest discount.</x:v>
      </x:c>
      <x:c r="L57" t="str">
        <x:v>https://www.reuters.com/sports/dallas-mavericks-irving-excited-play-again-after-lengthy-injury-absence-2026-10-08/</x:v>
      </x:c>
      <x:c r="M57" t="str">
        <x:v>Analyst assumption; no 2025-26 NBA sample</x:v>
      </x:c>
    </x:row>
    <x:row r="58" ht="22" customHeight="1">
      <x:c r="A58" t="str">
        <x:v>Desmond Bane</x:v>
      </x:c>
      <x:c r="B58" s="18" t="n">
        <x:v>53</x:v>
      </x:c>
      <x:c r="C58" s="18" t="str">
        <x:v>SG</x:v>
      </x:c>
      <x:c r="D58" s="18" t="n">
        <x:v>75</x:v>
      </x:c>
      <x:c r="E58" s="20" t="n">
        <x:v>0</x:v>
      </x:c>
      <x:c r="F58" s="20" t="n">
        <x:v>3.5</x:v>
      </x:c>
      <x:c r="G58" s="18" t="str">
        <x:v>STANDARD</x:v>
      </x:c>
      <x:c r="H58" s="24" t="n">
        <x:v>0.18905472636815918</x:v>
      </x:c>
      <x:c r="I58" s="24" t="n">
        <x:v>0.03571428571428571</x:v>
      </x:c>
      <x:c r="J58" t="str">
        <x:v>2025-26 rates</x:v>
      </x:c>
      <x:c r="K58" s="16" t="str">
        <x:v>Steadier mid-draft guard/wing, with less speculative upside than the rookies.</x:v>
      </x:c>
      <x:c r="L58" t="str">
        <x:v>https://www.fantasypros.com/nba/projections/overall.php</x:v>
      </x:c>
      <x:c r="M58" t="str">
        <x:v>https://basketball.realgm.com/nba/stats/2026/Averages/All/points/All/desc/1/Regular_Season</x:v>
      </x:c>
    </x:row>
    <x:row r="59" ht="22" customHeight="1">
      <x:c r="A59" t="str">
        <x:v>Julius Randle</x:v>
      </x:c>
      <x:c r="B59" s="18" t="n">
        <x:v>54</x:v>
      </x:c>
      <x:c r="C59" s="18" t="str">
        <x:v>PF</x:v>
      </x:c>
      <x:c r="D59" s="18" t="n">
        <x:v>75</x:v>
      </x:c>
      <x:c r="E59" s="20" t="n">
        <x:v>0</x:v>
      </x:c>
      <x:c r="F59" s="20" t="n">
        <x:v>3.5</x:v>
      </x:c>
      <x:c r="G59" s="18" t="str">
        <x:v>STANDARD</x:v>
      </x:c>
      <x:c r="H59" s="24" t="n">
        <x:v>0.23696682464454974</x:v>
      </x:c>
      <x:c r="I59" s="24" t="n">
        <x:v>0.051515151515151514</x:v>
      </x:c>
      <x:c r="J59" t="str">
        <x:v>2025-26 rates</x:v>
      </x:c>
      <x:c r="K59" s="16" t="str">
        <x:v>Brooklyn role matters, but missed shots and turnovers limit the premium.</x:v>
      </x:c>
      <x:c r="L59" t="str">
        <x:v>https://www.fantasypros.com/nba/projections/overall.php</x:v>
      </x:c>
      <x:c r="M59" t="str">
        <x:v>https://basketball.realgm.com/nba/stats/2026/Averages/All/points/All/desc/1/Regular_Season</x:v>
      </x:c>
    </x:row>
    <x:row r="60" ht="22" customHeight="1">
      <x:c r="A60" t="str">
        <x:v>Tyler Herro</x:v>
      </x:c>
      <x:c r="B60" s="18" t="n">
        <x:v>55</x:v>
      </x:c>
      <x:c r="C60" s="18" t="str">
        <x:v>SG</x:v>
      </x:c>
      <x:c r="D60" s="18" t="n">
        <x:v>73</x:v>
      </x:c>
      <x:c r="E60" s="20" t="n">
        <x:v>0.5</x:v>
      </x:c>
      <x:c r="F60" s="20" t="n">
        <x:v>5.5</x:v>
      </x:c>
      <x:c r="G60" s="18" t="str">
        <x:v>MEDIUM</x:v>
      </x:c>
      <x:c r="H60" s="24" t="n">
        <x:v>0.14634146341463414</x:v>
      </x:c>
      <x:c r="I60" s="24" t="n">
        <x:v>0.012779552715654953</x:v>
      </x:c>
      <x:c r="J60" t="str">
        <x:v>2025-26 rates</x:v>
      </x:c>
      <x:c r="K60" s="16" t="str">
        <x:v>Milwaukee lead-scoring opportunity earns a modest upgrade; availability still matters.</x:v>
      </x:c>
      <x:c r="L60" t="str">
        <x:v>https://www.fantasypros.com/nba/projections/overall.php</x:v>
      </x:c>
      <x:c r="M60" t="str">
        <x:v>https://basketball.realgm.com/nba/stats/2026/Averages/All/points/All/desc/1/Regular_Season</x:v>
      </x:c>
    </x:row>
    <x:row r="61" ht="22" customHeight="1">
      <x:c r="A61" t="str">
        <x:v>AJ Dybantsa</x:v>
      </x:c>
      <x:c r="B61" s="18" t="n">
        <x:v>56</x:v>
      </x:c>
      <x:c r="C61" s="18" t="str">
        <x:v>SF</x:v>
      </x:c>
      <x:c r="D61" s="18" t="n">
        <x:v>75</x:v>
      </x:c>
      <x:c r="E61" s="20" t="n">
        <x:v>-0.375</x:v>
      </x:c>
      <x:c r="F61" s="20" t="n">
        <x:v>5.5</x:v>
      </x:c>
      <x:c r="G61" s="18" t="str">
        <x:v>MEDIUM</x:v>
      </x:c>
      <x:c r="H61" s="24" t="n">
        <x:v>0.22</x:v>
      </x:c>
      <x:c r="I61" s="24" t="n">
        <x:v>0.05</x:v>
      </x:c>
      <x:c r="J61" t="str">
        <x:v>Analyst assumption; no 2025-26 NBA sample</x:v>
      </x:c>
      <x:c r="K61" s="16" t="str">
        <x:v>Washington has established stars; wide rookie range and no guaranteed immediate No. 1 role.</x:v>
      </x:c>
      <x:c r="L61" t="str">
        <x:v>https://www.fantasypros.com/nba/projections/overall.php</x:v>
      </x:c>
      <x:c r="M61" t="str">
        <x:v>Analyst assumption; no 2025-26 NBA sample</x:v>
      </x:c>
    </x:row>
    <x:row r="62" ht="22" customHeight="1">
      <x:c r="A62" t="str">
        <x:v>Michael Porter Jr.</x:v>
      </x:c>
      <x:c r="B62" s="18" t="n">
        <x:v>57</x:v>
      </x:c>
      <x:c r="C62" s="18" t="str">
        <x:v>SF</x:v>
      </x:c>
      <x:c r="D62" s="18" t="n">
        <x:v>74</x:v>
      </x:c>
      <x:c r="E62" s="20" t="n">
        <x:v>0</x:v>
      </x:c>
      <x:c r="F62" s="20" t="n">
        <x:v>5.5</x:v>
      </x:c>
      <x:c r="G62" s="18" t="str">
        <x:v>MEDIUM</x:v>
      </x:c>
      <x:c r="H62" s="24" t="n">
        <x:v>0.15702479338842976</x:v>
      </x:c>
      <x:c r="I62" s="24" t="n">
        <x:v>0.04</x:v>
      </x:c>
      <x:c r="J62" t="str">
        <x:v>2025-26 rates</x:v>
      </x:c>
      <x:c r="K62" s="16" t="str">
        <x:v>Efficient scoring target at the right price; avoid paying for his 2025-26 peak.</x:v>
      </x:c>
      <x:c r="L62" t="str">
        <x:v>https://www.fantasypros.com/nba/projections/overall.php</x:v>
      </x:c>
      <x:c r="M62" t="str">
        <x:v>https://basketball.realgm.com/nba/stats/2026/Averages/All/points/All/desc/1/Regular_Season</x:v>
      </x:c>
    </x:row>
    <x:row r="63" ht="22" customHeight="1">
      <x:c r="A63" t="str">
        <x:v>Damian Lillard</x:v>
      </x:c>
      <x:c r="B63" s="18" t="n">
        <x:v>58</x:v>
      </x:c>
      <x:c r="C63" s="18" t="str">
        <x:v>PG</x:v>
      </x:c>
      <x:c r="D63" s="18" t="n">
        <x:v>66</x:v>
      </x:c>
      <x:c r="E63" s="20" t="n">
        <x:v>-0.25</x:v>
      </x:c>
      <x:c r="F63" s="20" t="n">
        <x:v>5.5</x:v>
      </x:c>
      <x:c r="G63" s="18" t="str">
        <x:v>MEDIUM</x:v>
      </x:c>
      <x:c r="H63" s="24" t="n">
        <x:v>0.248995983935743</x:v>
      </x:c>
      <x:c r="I63" s="24" t="n">
        <x:v>0.013850415512465374</x:v>
      </x:c>
      <x:c r="J63" t="str">
        <x:v>2024-25 rates</x:v>
      </x:c>
      <x:c r="K63" s="16" t="str">
        <x:v>Back on the court in preseason after Achilles recovery. Return is encouraging, but age and post-Achilles workload still warrant a discount.</x:v>
      </x:c>
      <x:c r="L63" t="str">
        <x:v>https://www.nba.com/news/starting-5-october-8-2026</x:v>
      </x:c>
      <x:c r="M63" t="str">
        <x:v>https://basketball.realgm.com/nba/stats/2025/Averages/Qualified/points/All/desc/1/Regular_Season</x:v>
      </x:c>
    </x:row>
    <x:row r="64" ht="22" customHeight="1">
      <x:c r="A64" t="str">
        <x:v>Jaren Jackson Jr.</x:v>
      </x:c>
      <x:c r="B64" s="18" t="n">
        <x:v>59</x:v>
      </x:c>
      <x:c r="C64" s="18" t="str">
        <x:v>PF</x:v>
      </x:c>
      <x:c r="D64" s="18" t="n">
        <x:v>70</x:v>
      </x:c>
      <x:c r="E64" s="20" t="n">
        <x:v>-0.25</x:v>
      </x:c>
      <x:c r="F64" s="20" t="n">
        <x:v>5.5</x:v>
      </x:c>
      <x:c r="G64" s="18" t="str">
        <x:v>MEDIUM</x:v>
      </x:c>
      <x:c r="H64" s="24" t="n">
        <x:v>0.1752577319587629</x:v>
      </x:c>
      <x:c r="I64" s="24" t="n">
        <x:v>0.0297029702970297</x:v>
      </x:c>
      <x:c r="J64" t="str">
        <x:v>2025-26 rates</x:v>
      </x:c>
      <x:c r="K64" s="16" t="str">
        <x:v>Utah role and recovery require caution; blocks alone do not justify an early pick here.</x:v>
      </x:c>
      <x:c r="L64" t="str">
        <x:v>https://www.fantasypros.com/nba/projections/overall.php | https://hashtagbasketball.com/fantasy-basketball-projections</x:v>
      </x:c>
      <x:c r="M64" t="str">
        <x:v>https://basketball.realgm.com/nba/stats/2026/Averages/All/points/All/desc/1/Regular_Season</x:v>
      </x:c>
    </x:row>
    <x:row r="65" ht="22" customHeight="1">
      <x:c r="A65" t="str">
        <x:v>Caleb Wilson</x:v>
      </x:c>
      <x:c r="B65" s="18" t="n">
        <x:v>60</x:v>
      </x:c>
      <x:c r="C65" s="18" t="str">
        <x:v>PF</x:v>
      </x:c>
      <x:c r="D65" s="18" t="n">
        <x:v>75</x:v>
      </x:c>
      <x:c r="E65" s="20" t="n">
        <x:v>-0.25</x:v>
      </x:c>
      <x:c r="F65" s="20" t="n">
        <x:v>5.5</x:v>
      </x:c>
      <x:c r="G65" s="18" t="str">
        <x:v>MEDIUM</x:v>
      </x:c>
      <x:c r="H65" s="24" t="n">
        <x:v>0.18</x:v>
      </x:c>
      <x:c r="I65" s="24" t="n">
        <x:v>0.08</x:v>
      </x:c>
      <x:c r="J65" t="str">
        <x:v>Analyst assumption; no 2025-26 NBA sample</x:v>
      </x:c>
      <x:c r="K65" s="16" t="str">
        <x:v>Rookie forward with broad uncertainty; production is an assumption, not proven NBA output.</x:v>
      </x:c>
      <x:c r="L65" t="str">
        <x:v>https://www.fantasypros.com/nba/projections/overall.php</x:v>
      </x:c>
      <x:c r="M65" t="str">
        <x:v>Analyst assumption; no 2025-26 NBA sample</x:v>
      </x:c>
    </x:row>
    <x:row r="66" ht="22" customHeight="1">
      <x:c r="A66" t="str">
        <x:v>Stephon Castle</x:v>
      </x:c>
      <x:c r="B66" s="18" t="n">
        <x:v>61</x:v>
      </x:c>
      <x:c r="C66" s="18" t="str">
        <x:v>PG</x:v>
      </x:c>
      <x:c r="D66" s="18" t="n">
        <x:v>75</x:v>
      </x:c>
      <x:c r="E66" s="20" t="n">
        <x:v>0</x:v>
      </x:c>
      <x:c r="F66" s="20" t="n">
        <x:v>3.5</x:v>
      </x:c>
      <x:c r="G66" s="18" t="str">
        <x:v>STANDARD</x:v>
      </x:c>
      <x:c r="H66" s="24" t="n">
        <x:v>0.24550898203592814</x:v>
      </x:c>
      <x:c r="I66" s="24" t="n">
        <x:v>0.04666666666666666</x:v>
      </x:c>
      <x:c r="J66" t="str">
        <x:v>2025-26 rates</x:v>
      </x:c>
      <x:c r="K66" s="16" t="str">
        <x:v>Development upside, but San Antonio has multiple handlers.</x:v>
      </x:c>
      <x:c r="L66" t="str">
        <x:v>https://www.fantasypros.com/nba/projections/overall.php</x:v>
      </x:c>
      <x:c r="M66" t="str">
        <x:v>https://basketball.realgm.com/nba/stats/2026/Averages/All/points/All/desc/1/Regular_Season</x:v>
      </x:c>
    </x:row>
    <x:row r="67" ht="22" customHeight="1">
      <x:c r="A67" t="str">
        <x:v>Brandon Miller</x:v>
      </x:c>
      <x:c r="B67" s="18" t="n">
        <x:v>62</x:v>
      </x:c>
      <x:c r="C67" s="18" t="str">
        <x:v>SG</x:v>
      </x:c>
      <x:c r="D67" s="18" t="n">
        <x:v>70</x:v>
      </x:c>
      <x:c r="E67" s="20" t="n">
        <x:v>0</x:v>
      </x:c>
      <x:c r="F67" s="20" t="n">
        <x:v>5.5</x:v>
      </x:c>
      <x:c r="G67" s="18" t="str">
        <x:v>MEDIUM</x:v>
      </x:c>
      <x:c r="H67" s="24" t="n">
        <x:v>0.15346534653465346</x:v>
      </x:c>
      <x:c r="I67" s="24" t="n">
        <x:v>0.036303630363036306</x:v>
      </x:c>
      <x:c r="J67" t="str">
        <x:v>2025-26 rates</x:v>
      </x:c>
      <x:c r="K67" s="16" t="str">
        <x:v>Shin contusion is considered day-to-day. Small downgrade only unless recovery stalls.</x:v>
      </x:c>
      <x:c r="L67" t="str">
        <x:v>https://sports.yahoo.com/articles/brandon-miller-injury-hornets-wing-182632326.html</x:v>
      </x:c>
      <x:c r="M67" t="str">
        <x:v>https://basketball.realgm.com/nba/stats/2026/Averages/All/points/All/desc/1/Regular_Season</x:v>
      </x:c>
    </x:row>
    <x:row r="68" ht="22" customHeight="1">
      <x:c r="A68" t="str">
        <x:v>Keyonte George</x:v>
      </x:c>
      <x:c r="B68" s="18" t="n">
        <x:v>63</x:v>
      </x:c>
      <x:c r="C68" s="18" t="str">
        <x:v>PG</x:v>
      </x:c>
      <x:c r="D68" s="18" t="n">
        <x:v>73</x:v>
      </x:c>
      <x:c r="E68" s="20" t="n">
        <x:v>0</x:v>
      </x:c>
      <x:c r="F68" s="20" t="n">
        <x:v>3.5</x:v>
      </x:c>
      <x:c r="G68" s="18" t="str">
        <x:v>STANDARD</x:v>
      </x:c>
      <x:c r="H68" s="24" t="n">
        <x:v>0.2627118644067796</x:v>
      </x:c>
      <x:c r="I68" s="24" t="n">
        <x:v>0.012084592145015106</x:v>
      </x:c>
      <x:c r="J68" t="str">
        <x:v>2025-26 rates</x:v>
      </x:c>
      <x:c r="K68" s="16" t="str">
        <x:v>Utah's crowded offense makes a repeat of last year's leap less automatic.</x:v>
      </x:c>
      <x:c r="L68" t="str">
        <x:v>https://www.fantasypros.com/nba/projections/overall.php</x:v>
      </x:c>
      <x:c r="M68" t="str">
        <x:v>https://basketball.realgm.com/nba/stats/2026/Averages/All/points/All/desc/1/Regular_Season</x:v>
      </x:c>
    </x:row>
    <x:row r="69" ht="22" customHeight="1">
      <x:c r="A69" t="str">
        <x:v>Derrick White</x:v>
      </x:c>
      <x:c r="B69" s="18" t="n">
        <x:v>64</x:v>
      </x:c>
      <x:c r="C69" s="18" t="str">
        <x:v>PG</x:v>
      </x:c>
      <x:c r="D69" s="18" t="n">
        <x:v>78</x:v>
      </x:c>
      <x:c r="E69" s="20" t="n">
        <x:v>0</x:v>
      </x:c>
      <x:c r="F69" s="20" t="n">
        <x:v>3.5</x:v>
      </x:c>
      <x:c r="G69" s="18" t="str">
        <x:v>STANDARD</x:v>
      </x:c>
      <x:c r="H69" s="24" t="n">
        <x:v>0.14545454545454545</x:v>
      </x:c>
      <x:c r="I69" s="24" t="n">
        <x:v>0.03225806451612903</x:v>
      </x:c>
      <x:c r="J69" t="str">
        <x:v>2025-26 rates</x:v>
      </x:c>
      <x:c r="K69" s="16" t="str">
        <x:v>Useful balanced guard; not a massive steals/blocks premium in these settings.</x:v>
      </x:c>
      <x:c r="L69" t="str">
        <x:v>https://www.fantasypros.com/nba/projections/overall.php</x:v>
      </x:c>
      <x:c r="M69" t="str">
        <x:v>https://basketball.realgm.com/nba/stats/2026/Averages/All/points/All/desc/1/Regular_Season</x:v>
      </x:c>
    </x:row>
    <x:row r="70" ht="22" customHeight="1">
      <x:c r="A70" t="str">
        <x:v>Darius Garland</x:v>
      </x:c>
      <x:c r="B70" s="18" t="n">
        <x:v>65</x:v>
      </x:c>
      <x:c r="C70" s="18" t="str">
        <x:v>PG</x:v>
      </x:c>
      <x:c r="D70" s="18" t="n">
        <x:v>74</x:v>
      </x:c>
      <x:c r="E70" s="20" t="n">
        <x:v>0</x:v>
      </x:c>
      <x:c r="F70" s="20" t="n">
        <x:v>3.5</x:v>
      </x:c>
      <x:c r="G70" s="18" t="str">
        <x:v>STANDARD</x:v>
      </x:c>
      <x:c r="H70" s="24" t="n">
        <x:v>0.12234042553191488</x:v>
      </x:c>
      <x:c r="I70" s="24" t="n">
        <x:v>0.013377926421404684</x:v>
      </x:c>
      <x:c r="J70" t="str">
        <x:v>2025-26 rates</x:v>
      </x:c>
      <x:c r="K70" s="16" t="str">
        <x:v>Clippers role can help; avoid assuming every change of team produces a breakout.</x:v>
      </x:c>
      <x:c r="L70" t="str">
        <x:v>https://www.fantasypros.com/nba/projections/overall.php</x:v>
      </x:c>
      <x:c r="M70" t="str">
        <x:v>https://basketball.realgm.com/nba/stats/2026/Averages/All/points/All/desc/1/Regular_Season</x:v>
      </x:c>
    </x:row>
    <x:row r="71" ht="22" customHeight="1">
      <x:c r="A71" t="str">
        <x:v>Ja Morant</x:v>
      </x:c>
      <x:c r="B71" s="18" t="n">
        <x:v>66</x:v>
      </x:c>
      <x:c r="C71" s="18" t="str">
        <x:v>PG</x:v>
      </x:c>
      <x:c r="D71" s="18" t="n">
        <x:v>72</x:v>
      </x:c>
      <x:c r="E71" s="20" t="n">
        <x:v>0</x:v>
      </x:c>
      <x:c r="F71" s="20" t="n">
        <x:v>8</x:v>
      </x:c>
      <x:c r="G71" s="18" t="str">
        <x:v>HIGH</x:v>
      </x:c>
      <x:c r="H71" s="24" t="n">
        <x:v>0.2717948717948718</x:v>
      </x:c>
      <x:c r="I71" s="24" t="n">
        <x:v>0.014084507042253523</x:v>
      </x:c>
      <x:c r="J71" t="str">
        <x:v>2025-26 rates</x:v>
      </x:c>
      <x:c r="K71" s="16" t="str">
        <x:v>Portland's crowded creation and availability history justify a large discount.</x:v>
      </x:c>
      <x:c r="L71" t="str">
        <x:v>https://www.fantasypros.com/nba/projections/overall.php</x:v>
      </x:c>
      <x:c r="M71" t="str">
        <x:v>https://basketball.realgm.com/nba/stats/2026/Averages/All/points/All/desc/1/Regular_Season</x:v>
      </x:c>
    </x:row>
    <x:row r="72" ht="22" customHeight="1">
      <x:c r="A72" t="str">
        <x:v>De'Aaron Fox</x:v>
      </x:c>
      <x:c r="B72" s="18" t="n">
        <x:v>67</x:v>
      </x:c>
      <x:c r="C72" s="18" t="str">
        <x:v>PG</x:v>
      </x:c>
      <x:c r="D72" s="18" t="n">
        <x:v>75</x:v>
      </x:c>
      <x:c r="E72" s="20" t="n">
        <x:v>0</x:v>
      </x:c>
      <x:c r="F72" s="20" t="n">
        <x:v>3.5</x:v>
      </x:c>
      <x:c r="G72" s="18" t="str">
        <x:v>STANDARD</x:v>
      </x:c>
      <x:c r="H72" s="24" t="n">
        <x:v>0.13978494623655913</x:v>
      </x:c>
      <x:c r="I72" s="24" t="n">
        <x:v>0.01935483870967742</x:v>
      </x:c>
      <x:c r="J72" t="str">
        <x:v>2025-26 rates</x:v>
      </x:c>
      <x:c r="K72" s="16" t="str">
        <x:v>Good player, but shared San Antonio creation and this scoring formula lower draft priority.</x:v>
      </x:c>
      <x:c r="L72" t="str">
        <x:v>https://www.fantasypros.com/nba/projections/overall.php</x:v>
      </x:c>
      <x:c r="M72" t="str">
        <x:v>https://basketball.realgm.com/nba/stats/2026/Averages/All/points/All/desc/1/Regular_Season</x:v>
      </x:c>
    </x:row>
    <x:row r="73" ht="22" customHeight="1">
      <x:c r="A73" t="str">
        <x:v>RJ Barrett</x:v>
      </x:c>
      <x:c r="B73" s="18" t="n">
        <x:v>68</x:v>
      </x:c>
      <x:c r="C73" s="18" t="str">
        <x:v>SF</x:v>
      </x:c>
      <x:c r="D73" s="18" t="n">
        <x:v>72</x:v>
      </x:c>
      <x:c r="E73" s="20" t="n">
        <x:v>0</x:v>
      </x:c>
      <x:c r="F73" s="20" t="n">
        <x:v>3.5</x:v>
      </x:c>
      <x:c r="G73" s="18" t="str">
        <x:v>STANDARD</x:v>
      </x:c>
      <x:c r="H73" s="24" t="n">
        <x:v>0.18134715025906736</x:v>
      </x:c>
      <x:c r="I73" s="24" t="n">
        <x:v>0.033003300330033</x:v>
      </x:c>
      <x:c r="J73" t="str">
        <x:v>2025-26 rates</x:v>
      </x:c>
      <x:c r="K73" s="16" t="str">
        <x:v>Toronto has Kawhi; avoid treating previous scoring volume as a floor.</x:v>
      </x:c>
      <x:c r="L73" t="str">
        <x:v>https://www.fantasypros.com/nba/projections/overall.php</x:v>
      </x:c>
      <x:c r="M73" t="str">
        <x:v>https://basketball.realgm.com/nba/stats/2026/Averages/All/points/All/desc/1/Regular_Season</x:v>
      </x:c>
    </x:row>
    <x:row r="74" ht="22" customHeight="1">
      <x:c r="A74" t="str">
        <x:v>Norman Powell</x:v>
      </x:c>
      <x:c r="B74" s="18" t="n">
        <x:v>69</x:v>
      </x:c>
      <x:c r="C74" s="18" t="str">
        <x:v>SG</x:v>
      </x:c>
      <x:c r="D74" s="18" t="n">
        <x:v>74</x:v>
      </x:c>
      <x:c r="E74" s="20" t="n">
        <x:v>0</x:v>
      </x:c>
      <x:c r="F74" s="20" t="n">
        <x:v>3.5</x:v>
      </x:c>
      <x:c r="G74" s="18" t="str">
        <x:v>STANDARD</x:v>
      </x:c>
      <x:c r="H74" s="24" t="n">
        <x:v>0.20737327188940094</x:v>
      </x:c>
      <x:c r="I74" s="24" t="n">
        <x:v>0.013513513513513514</x:v>
      </x:c>
      <x:c r="J74" t="str">
        <x:v>2025-26 rates</x:v>
      </x:c>
      <x:c r="K74" s="16" t="str">
        <x:v>Scoring/efficiency option; narrower production mix than higher-ranked wings.</x:v>
      </x:c>
      <x:c r="L74" t="str">
        <x:v>https://www.fantasypros.com/nba/projections/overall.php</x:v>
      </x:c>
      <x:c r="M74" t="str">
        <x:v>https://basketball.realgm.com/nba/stats/2026/Averages/All/points/All/desc/1/Regular_Season</x:v>
      </x:c>
    </x:row>
    <x:row r="75" ht="22" customHeight="1">
      <x:c r="A75" t="str">
        <x:v>OG Anunoby</x:v>
      </x:c>
      <x:c r="B75" s="18" t="n">
        <x:v>70</x:v>
      </x:c>
      <x:c r="C75" s="18" t="str">
        <x:v>SF</x:v>
      </x:c>
      <x:c r="D75" s="18" t="n">
        <x:v>73</x:v>
      </x:c>
      <x:c r="E75" s="20" t="n">
        <x:v>0</x:v>
      </x:c>
      <x:c r="F75" s="20" t="n">
        <x:v>3.5</x:v>
      </x:c>
      <x:c r="G75" s="18" t="str">
        <x:v>STANDARD</x:v>
      </x:c>
      <x:c r="H75" s="24" t="n">
        <x:v>0.16167664670658685</x:v>
      </x:c>
      <x:c r="I75" s="24" t="n">
        <x:v>0.0391566265060241</x:v>
      </x:c>
      <x:c r="J75" t="str">
        <x:v>2025-26 rates</x:v>
      </x:c>
      <x:c r="K75" s="16" t="str">
        <x:v>Efficient supporting wing; useful depth, not an automatic category-league premium.</x:v>
      </x:c>
      <x:c r="L75" t="str">
        <x:v>https://www.fantasypros.com/nba/projections/overall.php</x:v>
      </x:c>
      <x:c r="M75" t="str">
        <x:v>https://basketball.realgm.com/nba/stats/2026/Averages/All/points/All/desc/1/Regular_Season</x:v>
      </x:c>
    </x:row>
    <x:row r="76" ht="22" customHeight="1">
      <x:c r="A76" t="str">
        <x:v>Onyeka Okongwu</x:v>
      </x:c>
      <x:c r="B76" s="18" t="n">
        <x:v>71</x:v>
      </x:c>
      <x:c r="C76" s="18" t="str">
        <x:v>C</x:v>
      </x:c>
      <x:c r="D76" s="18" t="n">
        <x:v>75</x:v>
      </x:c>
      <x:c r="E76" s="20" t="n">
        <x:v>0</x:v>
      </x:c>
      <x:c r="F76" s="20" t="n">
        <x:v>3.5</x:v>
      </x:c>
      <x:c r="G76" s="18" t="str">
        <x:v>STANDARD</x:v>
      </x:c>
      <x:c r="H76" s="24" t="n">
        <x:v>0.13815789473684212</x:v>
      </x:c>
      <x:c r="I76" s="24" t="n">
        <x:v>0.06129032258064516</x:v>
      </x:c>
      <x:c r="J76" t="str">
        <x:v>2025-26 rates</x:v>
      </x:c>
      <x:c r="K76" s="16" t="str">
        <x:v>Useful efficient big-man depth; offensive boards matter more than block hype.</x:v>
      </x:c>
      <x:c r="L76" t="str">
        <x:v>https://www.fantasypros.com/nba/projections/overall.php</x:v>
      </x:c>
      <x:c r="M76" t="str">
        <x:v>https://basketball.realgm.com/nba/stats/2026/Averages/All/points/All/desc/1/Regular_Season</x:v>
      </x:c>
    </x:row>
    <x:row r="77" ht="22" customHeight="1">
      <x:c r="A77" t="str">
        <x:v>Dyson Daniels</x:v>
      </x:c>
      <x:c r="B77" s="18" t="n">
        <x:v>72</x:v>
      </x:c>
      <x:c r="C77" s="18" t="str">
        <x:v>SG</x:v>
      </x:c>
      <x:c r="D77" s="18" t="n">
        <x:v>77</x:v>
      </x:c>
      <x:c r="E77" s="20" t="n">
        <x:v>0</x:v>
      </x:c>
      <x:c r="F77" s="20" t="n">
        <x:v>3.5</x:v>
      </x:c>
      <x:c r="G77" s="18" t="str">
        <x:v>STANDARD</x:v>
      </x:c>
      <x:c r="H77" s="24" t="n">
        <x:v>0.08403361344537814</x:v>
      </x:c>
      <x:c r="I77" s="24" t="n">
        <x:v>0.07228915662650602</x:v>
      </x:c>
      <x:c r="J77" t="str">
        <x:v>2025-26 rates</x:v>
      </x:c>
      <x:c r="K77" s="16" t="str">
        <x:v>Stocks and rebounds help, but steals are only 2 and scoring still matters.</x:v>
      </x:c>
      <x:c r="L77" t="str">
        <x:v>https://www.fantasypros.com/nba/projections/overall.php</x:v>
      </x:c>
      <x:c r="M77" t="str">
        <x:v>https://basketball.realgm.com/nba/stats/2026/Averages/All/points/All/desc/1/Regular_Season</x:v>
      </x:c>
    </x:row>
    <x:row r="78" ht="22" customHeight="1">
      <x:c r="A78" t="str">
        <x:v>Paul George</x:v>
      </x:c>
      <x:c r="B78" s="18" t="n">
        <x:v>73</x:v>
      </x:c>
      <x:c r="C78" s="18" t="str">
        <x:v>SF</x:v>
      </x:c>
      <x:c r="D78" s="18" t="n">
        <x:v>63</x:v>
      </x:c>
      <x:c r="E78" s="20" t="n">
        <x:v>-0.125</x:v>
      </x:c>
      <x:c r="F78" s="20" t="n">
        <x:v>8</x:v>
      </x:c>
      <x:c r="G78" s="18" t="str">
        <x:v>HIGH</x:v>
      </x:c>
      <x:c r="H78" s="24" t="n">
        <x:v>0.1445086705202312</x:v>
      </x:c>
      <x:c r="I78" s="24" t="n">
        <x:v>0.016286644951140065</x:v>
      </x:c>
      <x:c r="J78" t="str">
        <x:v>2025-26 rates</x:v>
      </x:c>
      <x:c r="K78" s="16" t="str">
        <x:v>Boston role supports value, but availability keeps him outside my core targets.</x:v>
      </x:c>
      <x:c r="L78" t="str">
        <x:v>https://www.fantasypros.com/nba/projections/overall.php</x:v>
      </x:c>
      <x:c r="M78" t="str">
        <x:v>https://basketball.realgm.com/nba/stats/2026/Averages/All/points/All/desc/1/Regular_Season</x:v>
      </x:c>
    </x:row>
    <x:row r="79" ht="22" customHeight="1">
      <x:c r="A79" t="str">
        <x:v>Darius Acuff Jr.</x:v>
      </x:c>
      <x:c r="B79" s="18" t="n">
        <x:v>74</x:v>
      </x:c>
      <x:c r="C79" s="18" t="str">
        <x:v>PG</x:v>
      </x:c>
      <x:c r="D79" s="18" t="n">
        <x:v>76</x:v>
      </x:c>
      <x:c r="E79" s="20" t="n">
        <x:v>0</x:v>
      </x:c>
      <x:c r="F79" s="20" t="n">
        <x:v>5.5</x:v>
      </x:c>
      <x:c r="G79" s="18" t="str">
        <x:v>MEDIUM</x:v>
      </x:c>
      <x:c r="H79" s="24" t="n">
        <x:v>0.18</x:v>
      </x:c>
      <x:c r="I79" s="24" t="n">
        <x:v>0.02</x:v>
      </x:c>
      <x:c r="J79" t="str">
        <x:v>Analyst assumption; no 2025-26 NBA sample</x:v>
      </x:c>
      <x:c r="K79" s="16" t="str">
        <x:v>Sacramento rookie opportunity is interesting; wider uncertainty than veteran alternatives.</x:v>
      </x:c>
      <x:c r="L79" t="str">
        <x:v>https://www.fantasypros.com/nba/projections/overall.php</x:v>
      </x:c>
      <x:c r="M79" t="str">
        <x:v>Analyst assumption; no 2025-26 NBA sample</x:v>
      </x:c>
    </x:row>
    <x:row r="80" ht="22" customHeight="1">
      <x:c r="A80" t="str">
        <x:v>Ty Jerome</x:v>
      </x:c>
      <x:c r="B80" s="18" t="n">
        <x:v>75</x:v>
      </x:c>
      <x:c r="C80" s="18" t="str">
        <x:v>PG</x:v>
      </x:c>
      <x:c r="D80" s="18" t="n">
        <x:v>71</x:v>
      </x:c>
      <x:c r="E80" s="20" t="n">
        <x:v>0.25</x:v>
      </x:c>
      <x:c r="F80" s="20" t="n">
        <x:v>5.5</x:v>
      </x:c>
      <x:c r="G80" s="18" t="str">
        <x:v>MEDIUM</x:v>
      </x:c>
      <x:c r="H80" s="24" t="n">
        <x:v>0.16751269035532995</x:v>
      </x:c>
      <x:c r="I80" s="24" t="n">
        <x:v>0.030973451327433624</x:v>
      </x:c>
      <x:c r="J80" t="str">
        <x:v>2025-26 rates</x:v>
      </x:c>
      <x:c r="K80" s="16" t="str">
        <x:v>Memphis opportunity is attractive; small 15-game prior sample should not anchor expectations.</x:v>
      </x:c>
      <x:c r="L80" t="str">
        <x:v>https://www.fantasypros.com/nba/projections/overall.php</x:v>
      </x:c>
      <x:c r="M80" t="str">
        <x:v>https://basketball.realgm.com/nba/stats/2026/Averages/All/points/All/desc/1/Regular_Season</x:v>
      </x:c>
    </x:row>
    <x:row r="81" ht="22" customHeight="1">
      <x:c r="A81" t="str">
        <x:v>Kon Knueppel</x:v>
      </x:c>
      <x:c r="B81" s="18" t="n">
        <x:v>76</x:v>
      </x:c>
      <x:c r="C81" s="18" t="str">
        <x:v>SG</x:v>
      </x:c>
      <x:c r="D81" s="18" t="n">
        <x:v>68</x:v>
      </x:c>
      <x:c r="E81" s="20" t="n">
        <x:v>0</x:v>
      </x:c>
      <x:c r="F81" s="20" t="n">
        <x:v>8</x:v>
      </x:c>
      <x:c r="G81" s="18" t="str">
        <x:v>HIGH</x:v>
      </x:c>
      <x:c r="H81" s="24" t="n">
        <x:v>0.12972972972972974</x:v>
      </x:c>
      <x:c r="I81" s="24" t="n">
        <x:v>0.03809523809523809</x:v>
      </x:c>
      <x:c r="J81" t="str">
        <x:v>2025-26 rates</x:v>
      </x:c>
      <x:c r="K81" s="16" t="str">
        <x:v>Left hamstring strain will cost him the entire preseason and may cost him the start of the regular season.</x:v>
      </x:c>
      <x:c r="L81" t="str">
        <x:v>https://www.nba.com/news/hornets-kon-knueppel-injures-his-left-hamstring-and-could-miss-the-start-of-the-season</x:v>
      </x:c>
      <x:c r="M81" t="str">
        <x:v>https://basketball.realgm.com/nba/stats/2026/Averages/All/points/All/desc/1/Regular_Season</x:v>
      </x:c>
    </x:row>
    <x:row r="82" ht="22" customHeight="1">
      <x:c r="A82" t="str">
        <x:v>John Collins</x:v>
      </x:c>
      <x:c r="B82" s="18" t="n">
        <x:v>77</x:v>
      </x:c>
      <x:c r="C82" s="18" t="str">
        <x:v>PF</x:v>
      </x:c>
      <x:c r="D82" s="18" t="n">
        <x:v>73</x:v>
      </x:c>
      <x:c r="E82" s="20" t="n">
        <x:v>0</x:v>
      </x:c>
      <x:c r="F82" s="20" t="n">
        <x:v>3.5</x:v>
      </x:c>
      <x:c r="G82" s="18" t="str">
        <x:v>STANDARD</x:v>
      </x:c>
      <x:c r="H82" s="24" t="n">
        <x:v>0.125</x:v>
      </x:c>
      <x:c r="I82" s="24" t="n">
        <x:v>0.05904059040590406</x:v>
      </x:c>
      <x:c r="J82" t="str">
        <x:v>2025-26 rates</x:v>
      </x:c>
      <x:c r="K82" s="16" t="str">
        <x:v>Detroit depth option; role and minutes must support the projection.</x:v>
      </x:c>
      <x:c r="L82" t="str">
        <x:v>https://www.fantasypros.com/nba/projections/overall.php</x:v>
      </x:c>
      <x:c r="M82" t="str">
        <x:v>https://basketball.realgm.com/nba/stats/2026/Averages/All/points/All/desc/1/Regular_Season</x:v>
      </x:c>
    </x:row>
    <x:row r="83" ht="22" customHeight="1">
      <x:c r="A83" t="str">
        <x:v>Miles Bridges</x:v>
      </x:c>
      <x:c r="B83" s="18" t="n">
        <x:v>78</x:v>
      </x:c>
      <x:c r="C83" s="18" t="str">
        <x:v>PF</x:v>
      </x:c>
      <x:c r="D83" s="18" t="n">
        <x:v>75</x:v>
      </x:c>
      <x:c r="E83" s="20" t="n">
        <x:v>0</x:v>
      </x:c>
      <x:c r="F83" s="20" t="n">
        <x:v>3.5</x:v>
      </x:c>
      <x:c r="G83" s="18" t="str">
        <x:v>STANDARD</x:v>
      </x:c>
      <x:c r="H83" s="24" t="n">
        <x:v>0.15789473684210525</x:v>
      </x:c>
      <x:c r="I83" s="24" t="n">
        <x:v>0.03225806451612903</x:v>
      </x:c>
      <x:c r="J83" t="str">
        <x:v>2025-26 rates</x:v>
      </x:c>
      <x:c r="K83" s="16" t="str">
        <x:v>Phoenix forward depth; compare his total production with efficient centers at the same draft price.</x:v>
      </x:c>
      <x:c r="L83" t="str">
        <x:v>https://www.fantasypros.com/nba/projections/overall.php</x:v>
      </x:c>
      <x:c r="M83" t="str">
        <x:v>https://basketball.realgm.com/nba/stats/2026/Averages/All/points/All/desc/1/Regular_Season</x:v>
      </x:c>
    </x:row>
    <x:row r="84" ht="22" customHeight="1">
      <x:c r="A84" t="str">
        <x:v>Josh Hart</x:v>
      </x:c>
      <x:c r="B84" s="18" t="n">
        <x:v>79</x:v>
      </x:c>
      <x:c r="C84" s="18" t="str">
        <x:v>SF</x:v>
      </x:c>
      <x:c r="D84" s="18" t="n">
        <x:v>73</x:v>
      </x:c>
      <x:c r="E84" s="20" t="n">
        <x:v>0</x:v>
      </x:c>
      <x:c r="F84" s="20" t="n">
        <x:v>3.5</x:v>
      </x:c>
      <x:c r="G84" s="18" t="str">
        <x:v>STANDARD</x:v>
      </x:c>
      <x:c r="H84" s="24" t="n">
        <x:v>0.11666666666666665</x:v>
      </x:c>
      <x:c r="I84" s="24" t="n">
        <x:v>0.046357615894039736</x:v>
      </x:c>
      <x:c r="J84" t="str">
        <x:v>2025-26 rates</x:v>
      </x:c>
      <x:c r="K84" s="16" t="str">
        <x:v>Rebounding wing useful for lineup balance; limited high-usage scoring ceiling.</x:v>
      </x:c>
      <x:c r="L84" t="str">
        <x:v>https://www.fantasypros.com/nba/projections/overall.php</x:v>
      </x:c>
      <x:c r="M84" t="str">
        <x:v>https://basketball.realgm.com/nba/stats/2026/Averages/All/points/All/desc/1/Regular_Season</x:v>
      </x:c>
    </x:row>
    <x:row r="85" ht="22" customHeight="1">
      <x:c r="A85" t="str">
        <x:v>Jakob Poeltl</x:v>
      </x:c>
      <x:c r="B85" s="18" t="n">
        <x:v>80</x:v>
      </x:c>
      <x:c r="C85" s="18" t="str">
        <x:v>C</x:v>
      </x:c>
      <x:c r="D85" s="18" t="n">
        <x:v>72</x:v>
      </x:c>
      <x:c r="E85" s="20" t="n">
        <x:v>0</x:v>
      </x:c>
      <x:c r="F85" s="20" t="n">
        <x:v>5.5</x:v>
      </x:c>
      <x:c r="G85" s="18" t="str">
        <x:v>MEDIUM</x:v>
      </x:c>
      <x:c r="H85" s="24" t="n">
        <x:v>0.12149532710280375</x:v>
      </x:c>
      <x:c r="I85" s="24" t="n">
        <x:v>0.1</x:v>
      </x:c>
      <x:c r="J85" t="str">
        <x:v>2025-26 rates</x:v>
      </x:c>
      <x:c r="K85" s="16" t="str">
        <x:v>Efficient center target when available; veteran workload is a meaningful check.</x:v>
      </x:c>
      <x:c r="L85" t="str">
        <x:v>https://www.fantasypros.com/nba/projections/overall.php</x:v>
      </x:c>
      <x:c r="M85" t="str">
        <x:v>https://basketball.realgm.com/nba/stats/2026/Averages/All/points/All/desc/1/Regular_Season</x:v>
      </x:c>
    </x:row>
    <x:row r="86" ht="22" customHeight="1">
      <x:c r="A86" t="str">
        <x:v>Dejounte Murray</x:v>
      </x:c>
      <x:c r="B86" s="18" t="n">
        <x:v>81</x:v>
      </x:c>
      <x:c r="C86" s="18" t="str">
        <x:v>PG</x:v>
      </x:c>
      <x:c r="D86" s="18" t="n">
        <x:v>73</x:v>
      </x:c>
      <x:c r="E86" s="20" t="n">
        <x:v>0</x:v>
      </x:c>
      <x:c r="F86" s="20" t="n">
        <x:v>5.5</x:v>
      </x:c>
      <x:c r="G86" s="18" t="str">
        <x:v>MEDIUM</x:v>
      </x:c>
      <x:c r="H86" s="24" t="n">
        <x:v>0.16766467065868262</x:v>
      </x:c>
      <x:c r="I86" s="24" t="n">
        <x:v>0.010791366906474819</x:v>
      </x:c>
      <x:c r="J86" t="str">
        <x:v>2025-26 rates</x:v>
      </x:c>
      <x:c r="K86" s="16" t="str">
        <x:v>Return workload and shooting remain risks; forecast below old peak reputation.</x:v>
      </x:c>
      <x:c r="L86" t="str">
        <x:v>https://www.fantasypros.com/nba/projections/overall.php</x:v>
      </x:c>
      <x:c r="M86" t="str">
        <x:v>https://basketball.realgm.com/nba/stats/2026/Averages/All/points/All/desc/1/Regular_Season</x:v>
      </x:c>
    </x:row>
    <x:row r="87" ht="22" customHeight="1">
      <x:c r="A87" t="str">
        <x:v>Immanuel Quickley</x:v>
      </x:c>
      <x:c r="B87" s="18" t="n">
        <x:v>82</x:v>
      </x:c>
      <x:c r="C87" s="18" t="str">
        <x:v>PG</x:v>
      </x:c>
      <x:c r="D87" s="18" t="n">
        <x:v>72</x:v>
      </x:c>
      <x:c r="E87" s="20" t="n">
        <x:v>0</x:v>
      </x:c>
      <x:c r="F87" s="20" t="n">
        <x:v>5.5</x:v>
      </x:c>
      <x:c r="G87" s="18" t="str">
        <x:v>MEDIUM</x:v>
      </x:c>
      <x:c r="H87" s="24" t="n">
        <x:v>0.14634146341463417</x:v>
      </x:c>
      <x:c r="I87" s="24" t="n">
        <x:v>0.015673981191222573</x:v>
      </x:c>
      <x:c r="J87" t="str">
        <x:v>2025-26 rates</x:v>
      </x:c>
      <x:c r="K87" s="16" t="str">
        <x:v>Toronto creation is crowded; moderate upside at a discounted price.</x:v>
      </x:c>
      <x:c r="L87" t="str">
        <x:v>https://www.fantasypros.com/nba/projections/overall.php</x:v>
      </x:c>
      <x:c r="M87" t="str">
        <x:v>https://basketball.realgm.com/nba/stats/2026/Averages/All/points/All/desc/1/Regular_Season</x:v>
      </x:c>
    </x:row>
    <x:row r="88" ht="22" customHeight="1">
      <x:c r="A88" t="str">
        <x:v>VJ Edgecombe</x:v>
      </x:c>
      <x:c r="B88" s="18" t="n">
        <x:v>83</x:v>
      </x:c>
      <x:c r="C88" s="18" t="str">
        <x:v>SG</x:v>
      </x:c>
      <x:c r="D88" s="18" t="n">
        <x:v>75</x:v>
      </x:c>
      <x:c r="E88" s="20" t="n">
        <x:v>0</x:v>
      </x:c>
      <x:c r="F88" s="20" t="n">
        <x:v>3.5</x:v>
      </x:c>
      <x:c r="G88" s="18" t="str">
        <x:v>STANDARD</x:v>
      </x:c>
      <x:c r="H88" s="24" t="n">
        <x:v>0.125</x:v>
      </x:c>
      <x:c r="I88" s="24" t="n">
        <x:v>0.045714285714285714</x:v>
      </x:c>
      <x:c r="J88" t="str">
        <x:v>2025-26 rates</x:v>
      </x:c>
      <x:c r="K88" s="16" t="str">
        <x:v>Development candidate, but Philadelphia's added stars make a usage breakout less straightforward.</x:v>
      </x:c>
      <x:c r="L88" t="str">
        <x:v>https://www.fantasypros.com/nba/projections/overall.php</x:v>
      </x:c>
      <x:c r="M88" t="str">
        <x:v>https://basketball.realgm.com/nba/stats/2026/Averages/All/points/All/desc/1/Regular_Season</x:v>
      </x:c>
    </x:row>
    <x:row r="89" ht="22" customHeight="1">
      <x:c r="A89" t="str">
        <x:v>Coby White</x:v>
      </x:c>
      <x:c r="B89" s="18" t="n">
        <x:v>84</x:v>
      </x:c>
      <x:c r="C89" s="18" t="str">
        <x:v>PG</x:v>
      </x:c>
      <x:c r="D89" s="18" t="n">
        <x:v>68</x:v>
      </x:c>
      <x:c r="E89" s="20" t="n">
        <x:v>0</x:v>
      </x:c>
      <x:c r="F89" s="20" t="n">
        <x:v>8</x:v>
      </x:c>
      <x:c r="G89" s="18" t="str">
        <x:v>HIGH</x:v>
      </x:c>
      <x:c r="H89" s="24" t="n">
        <x:v>0.22413793103448276</x:v>
      </x:c>
      <x:c r="I89" s="24" t="n">
        <x:v>0.012</x:v>
      </x:c>
      <x:c r="J89" t="str">
        <x:v>2025-26 rates</x:v>
      </x:c>
      <x:c r="K89" s="16" t="str">
        <x:v>Left calf strain will keep him out for the entire preseason; opening-night availability is unclear.</x:v>
      </x:c>
      <x:c r="L89" t="str">
        <x:v>https://www.nba.com/news/coby-white-preseason-calf-strain</x:v>
      </x:c>
      <x:c r="M89" t="str">
        <x:v>https://basketball.realgm.com/nba/stats/2026/Averages/All/points/All/desc/1/Regular_Season</x:v>
      </x:c>
    </x:row>
    <x:row r="90" ht="22" customHeight="1">
      <x:c r="A90" t="str">
        <x:v>Isaiah Hartenstein</x:v>
      </x:c>
      <x:c r="B90" s="18" t="n">
        <x:v>85</x:v>
      </x:c>
      <x:c r="C90" s="18" t="str">
        <x:v>C</x:v>
      </x:c>
      <x:c r="D90" s="18" t="n">
        <x:v>67</x:v>
      </x:c>
      <x:c r="E90" s="20" t="n">
        <x:v>0</x:v>
      </x:c>
      <x:c r="F90" s="20" t="n">
        <x:v>5.5</x:v>
      </x:c>
      <x:c r="G90" s="18" t="str">
        <x:v>MEDIUM</x:v>
      </x:c>
      <x:c r="H90" s="24" t="n">
        <x:v>0.15217391304347827</x:v>
      </x:c>
      <x:c r="I90" s="24" t="n">
        <x:v>0.1322314049586777</x:v>
      </x:c>
      <x:c r="J90" t="str">
        <x:v>2025-26 rates</x:v>
      </x:c>
      <x:c r="K90" s="16" t="str">
        <x:v>Strong per-minute profile; actual minutes cap the ceiling.</x:v>
      </x:c>
      <x:c r="L90" t="str">
        <x:v>https://www.fantasypros.com/nba/projections/overall.php</x:v>
      </x:c>
      <x:c r="M90" t="str">
        <x:v>https://basketball.realgm.com/nba/stats/2026/Averages/All/points/All/desc/1/Regular_Season</x:v>
      </x:c>
    </x:row>
    <x:row r="91" ht="22" customHeight="1">
      <x:c r="A91" t="str">
        <x:v>CJ McCollum</x:v>
      </x:c>
      <x:c r="B91" s="18" t="n">
        <x:v>86</x:v>
      </x:c>
      <x:c r="C91" s="18" t="str">
        <x:v>PG</x:v>
      </x:c>
      <x:c r="D91" s="18" t="n">
        <x:v>76</x:v>
      </x:c>
      <x:c r="E91" s="20" t="n">
        <x:v>0</x:v>
      </x:c>
      <x:c r="F91" s="20" t="n">
        <x:v>3.5</x:v>
      </x:c>
      <x:c r="G91" s="18" t="str">
        <x:v>STANDARD</x:v>
      </x:c>
      <x:c r="H91" s="24" t="n">
        <x:v>0.12834224598930483</x:v>
      </x:c>
      <x:c r="I91" s="24" t="n">
        <x:v>0.026845637583892617</x:v>
      </x:c>
      <x:c r="J91" t="str">
        <x:v>2025-26 rates</x:v>
      </x:c>
      <x:c r="K91" s="16" t="str">
        <x:v>Veteran scoring depth; prefer younger upside at similar cost once starters are filled.</x:v>
      </x:c>
      <x:c r="L91" t="str">
        <x:v>https://www.fantasypros.com/nba/projections/overall.php</x:v>
      </x:c>
      <x:c r="M91" t="str">
        <x:v>https://basketball.realgm.com/nba/stats/2026/Averages/All/points/All/desc/1/Regular_Season</x:v>
      </x:c>
    </x:row>
    <x:row r="92" ht="22" customHeight="1">
      <x:c r="A92" t="str">
        <x:v>Alex Sarr</x:v>
      </x:c>
      <x:c r="B92" s="18" t="n">
        <x:v>87</x:v>
      </x:c>
      <x:c r="C92" s="18" t="str">
        <x:v>C</x:v>
      </x:c>
      <x:c r="D92" s="18" t="n">
        <x:v>72</x:v>
      </x:c>
      <x:c r="E92" s="20" t="n">
        <x:v>-0.5</x:v>
      </x:c>
      <x:c r="F92" s="20" t="n">
        <x:v>5.5</x:v>
      </x:c>
      <x:c r="G92" s="18" t="str">
        <x:v>MEDIUM</x:v>
      </x:c>
      <x:c r="H92" s="24" t="n">
        <x:v>0.12883435582822086</x:v>
      </x:c>
      <x:c r="I92" s="24" t="n">
        <x:v>0.08088235294117647</x:v>
      </x:c>
      <x:c r="J92" t="str">
        <x:v>2025-26 rates</x:v>
      </x:c>
      <x:c r="K92" s="16" t="str">
        <x:v>Washington's Davis/Ayton frontcourt creates role uncertainty; incremental downgrade.</x:v>
      </x:c>
      <x:c r="L92" t="str">
        <x:v>https://www.fantasypros.com/nba/projections/overall.php</x:v>
      </x:c>
      <x:c r="M92" t="str">
        <x:v>https://basketball.realgm.com/nba/stats/2026/Averages/All/points/All/desc/1/Regular_Season</x:v>
      </x:c>
    </x:row>
    <x:row r="93" ht="22" customHeight="1">
      <x:c r="A93" t="str">
        <x:v>Zach Edey</x:v>
      </x:c>
      <x:c r="B93" s="18" t="n">
        <x:v>88</x:v>
      </x:c>
      <x:c r="C93" s="18" t="str">
        <x:v>C</x:v>
      </x:c>
      <x:c r="D93" s="18" t="n">
        <x:v>70</x:v>
      </x:c>
      <x:c r="E93" s="20" t="n">
        <x:v>0</x:v>
      </x:c>
      <x:c r="F93" s="20" t="n">
        <x:v>8</x:v>
      </x:c>
      <x:c r="G93" s="18" t="str">
        <x:v>HIGH</x:v>
      </x:c>
      <x:c r="H93" s="24" t="n">
        <x:v>0.1691176470588235</x:v>
      </x:c>
      <x:c r="I93" s="24" t="n">
        <x:v>0.1511627906976744</x:v>
      </x:c>
      <x:c r="J93" t="str">
        <x:v>2025-26 rates</x:v>
      </x:c>
      <x:c r="K93" s="16" t="str">
        <x:v>Ankle recovery and rotation competition; excellent per-minute upside, insecure workload.</x:v>
      </x:c>
      <x:c r="L93" t="str">
        <x:v>https://www.fantasypros.com/nba/projections/overall.php</x:v>
      </x:c>
      <x:c r="M93" t="str">
        <x:v>https://basketball.realgm.com/nba/stats/2026/Averages/All/points/All/desc/1/Regular_Season</x:v>
      </x:c>
    </x:row>
    <x:row r="94" ht="22" customHeight="1">
      <x:c r="A94" t="str">
        <x:v>Darryn Peterson</x:v>
      </x:c>
      <x:c r="B94" s="18" t="n">
        <x:v>89</x:v>
      </x:c>
      <x:c r="C94" s="18" t="str">
        <x:v>PG</x:v>
      </x:c>
      <x:c r="D94" s="18" t="n">
        <x:v>76</x:v>
      </x:c>
      <x:c r="E94" s="20" t="n">
        <x:v>0</x:v>
      </x:c>
      <x:c r="F94" s="20" t="n">
        <x:v>5.5</x:v>
      </x:c>
      <x:c r="G94" s="18" t="str">
        <x:v>MEDIUM</x:v>
      </x:c>
      <x:c r="H94" s="24" t="n">
        <x:v>0.19</x:v>
      </x:c>
      <x:c r="I94" s="24" t="n">
        <x:v>0.025</x:v>
      </x:c>
      <x:c r="J94" t="str">
        <x:v>Analyst assumption; no 2025-26 NBA sample</x:v>
      </x:c>
      <x:c r="K94" s="16" t="str">
        <x:v>Utah rookie upside; competition and efficiency create a wide early-season range.</x:v>
      </x:c>
      <x:c r="L94" t="str">
        <x:v>https://www.fantasypros.com/nba/projections/overall.php</x:v>
      </x:c>
      <x:c r="M94" t="str">
        <x:v>Analyst assumption; no 2025-26 NBA sample</x:v>
      </x:c>
    </x:row>
    <x:row r="95" ht="22" customHeight="1">
      <x:c r="A95" t="str">
        <x:v>Brandon Ingram</x:v>
      </x:c>
      <x:c r="B95" s="18" t="n">
        <x:v>90</x:v>
      </x:c>
      <x:c r="C95" s="18" t="str">
        <x:v>SF</x:v>
      </x:c>
      <x:c r="D95" s="18" t="n">
        <x:v>52</x:v>
      </x:c>
      <x:c r="E95" s="20" t="n">
        <x:v>0</x:v>
      </x:c>
      <x:c r="F95" s="20" t="n">
        <x:v>8</x:v>
      </x:c>
      <x:c r="G95" s="18" t="str">
        <x:v>HIGH</x:v>
      </x:c>
      <x:c r="H95" s="24" t="n">
        <x:v>0.17674418604651163</x:v>
      </x:c>
      <x:c r="I95" s="24" t="n">
        <x:v>0.02366863905325444</x:v>
      </x:c>
      <x:c r="J95" t="str">
        <x:v>2025-26 rates</x:v>
      </x:c>
      <x:c r="K95" s="16" t="str">
        <x:v>Will miss the start of the season after heel surgery/partial Achilles tear; no firm return date.</x:v>
      </x:c>
      <x:c r="L95" t="str">
        <x:v>https://www.nba.com/news/brandon-ingrams-clippers-debut-on-hold-after-heel-surgery-partial-achilles-tear</x:v>
      </x:c>
      <x:c r="M95" t="str">
        <x:v>https://basketball.realgm.com/nba/stats/2026/Averages/All/points/All/desc/1/Regular_Season</x:v>
      </x:c>
    </x:row>
    <x:row r="96" ht="22" customHeight="1">
      <x:c r="A96" t="str">
        <x:v>Jalen Green</x:v>
      </x:c>
      <x:c r="B96" s="18" t="n">
        <x:v>91</x:v>
      </x:c>
      <x:c r="C96" s="18" t="str">
        <x:v>SG</x:v>
      </x:c>
      <x:c r="D96" s="18" t="n">
        <x:v>74</x:v>
      </x:c>
      <x:c r="E96" s="20" t="n">
        <x:v>0</x:v>
      </x:c>
      <x:c r="F96" s="20" t="n">
        <x:v>3.5</x:v>
      </x:c>
      <x:c r="G96" s="18" t="str">
        <x:v>STANDARD</x:v>
      </x:c>
      <x:c r="H96" s="24" t="n">
        <x:v>0.11235955056179775</x:v>
      </x:c>
      <x:c r="I96" s="24" t="n">
        <x:v>0.019305019305019305</x:v>
      </x:c>
      <x:c r="J96" t="str">
        <x:v>2025-26 rates</x:v>
      </x:c>
      <x:c r="K96" s="16" t="str">
        <x:v>Volume scoring is not enough when missed shots and turnovers subtract points.</x:v>
      </x:c>
      <x:c r="L96" t="str">
        <x:v>https://www.fantasypros.com/nba/projections/overall.php</x:v>
      </x:c>
      <x:c r="M96" t="str">
        <x:v>https://basketball.realgm.com/nba/stats/2026/Averages/All/points/All/desc/1/Regular_Season</x:v>
      </x:c>
    </x:row>
    <x:row r="97" ht="22" customHeight="1">
      <x:c r="A97" t="str">
        <x:v>Zach LaVine</x:v>
      </x:c>
      <x:c r="B97" s="18" t="n">
        <x:v>92</x:v>
      </x:c>
      <x:c r="C97" s="18" t="str">
        <x:v>SG</x:v>
      </x:c>
      <x:c r="D97" s="18" t="n">
        <x:v>70</x:v>
      </x:c>
      <x:c r="E97" s="20" t="n">
        <x:v>0</x:v>
      </x:c>
      <x:c r="F97" s="20" t="n">
        <x:v>5.5</x:v>
      </x:c>
      <x:c r="G97" s="18" t="str">
        <x:v>MEDIUM</x:v>
      </x:c>
      <x:c r="H97" s="24" t="n">
        <x:v>0.16666666666666669</x:v>
      </x:c>
      <x:c r="I97" s="24" t="n">
        <x:v>0.006369426751592357</x:v>
      </x:c>
      <x:c r="J97" t="str">
        <x:v>2025-26 rates</x:v>
      </x:c>
      <x:c r="K97" s="16" t="str">
        <x:v>Sacramento scoring role; games and lower all-around production keep price modest.</x:v>
      </x:c>
      <x:c r="L97" t="str">
        <x:v>https://www.fantasypros.com/nba/projections/overall.php</x:v>
      </x:c>
      <x:c r="M97" t="str">
        <x:v>https://basketball.realgm.com/nba/stats/2026/Averages/All/points/All/desc/1/Regular_Season</x:v>
      </x:c>
    </x:row>
    <x:row r="98" ht="22" customHeight="1">
      <x:c r="A98" t="str">
        <x:v>Payton Pritchard</x:v>
      </x:c>
      <x:c r="B98" s="18" t="n">
        <x:v>93</x:v>
      </x:c>
      <x:c r="C98" s="18" t="str">
        <x:v>PG</x:v>
      </x:c>
      <x:c r="D98" s="18" t="n">
        <x:v>75</x:v>
      </x:c>
      <x:c r="E98" s="20" t="n">
        <x:v>0</x:v>
      </x:c>
      <x:c r="F98" s="20" t="n">
        <x:v>3.5</x:v>
      </x:c>
      <x:c r="G98" s="18" t="str">
        <x:v>STANDARD</x:v>
      </x:c>
      <x:c r="H98" s="24" t="n">
        <x:v>0.08823529411764706</x:v>
      </x:c>
      <x:c r="I98" s="24" t="n">
        <x:v>0.027863777089783284</x:v>
      </x:c>
      <x:c r="J98" t="str">
        <x:v>2025-26 rates</x:v>
      </x:c>
      <x:c r="K98" s="16" t="str">
        <x:v>Useful Boston guard depth; evaluate real minutes rather than preseason reputation.</x:v>
      </x:c>
      <x:c r="L98" t="str">
        <x:v>https://www.fantasypros.com/nba/projections/overall.php</x:v>
      </x:c>
      <x:c r="M98" t="str">
        <x:v>https://basketball.realgm.com/nba/stats/2026/Averages/All/points/All/desc/1/Regular_Season</x:v>
      </x:c>
    </x:row>
    <x:row r="99" ht="22" customHeight="1">
      <x:c r="A99" t="str">
        <x:v>Aaron Gordon</x:v>
      </x:c>
      <x:c r="B99" s="18" t="n">
        <x:v>94</x:v>
      </x:c>
      <x:c r="C99" s="18" t="str">
        <x:v>PF</x:v>
      </x:c>
      <x:c r="D99" s="18" t="n">
        <x:v>72</x:v>
      </x:c>
      <x:c r="E99" s="20" t="n">
        <x:v>0</x:v>
      </x:c>
      <x:c r="F99" s="20" t="n">
        <x:v>5.5</x:v>
      </x:c>
      <x:c r="G99" s="18" t="str">
        <x:v>MEDIUM</x:v>
      </x:c>
      <x:c r="H99" s="24" t="n">
        <x:v>0.2160493827160494</x:v>
      </x:c>
      <x:c r="I99" s="24" t="n">
        <x:v>0.05017921146953405</x:v>
      </x:c>
      <x:c r="J99" t="str">
        <x:v>2025-26 rates</x:v>
      </x:c>
      <x:c r="K99" s="16" t="str">
        <x:v>Efficient big-forward depth when healthy; don't assume a scoring-led breakout.</x:v>
      </x:c>
      <x:c r="L99" t="str">
        <x:v>https://www.fantasypros.com/nba/projections/overall.php</x:v>
      </x:c>
      <x:c r="M99" t="str">
        <x:v>https://basketball.realgm.com/nba/stats/2026/Averages/All/points/All/desc/1/Regular_Season</x:v>
      </x:c>
    </x:row>
    <x:row r="100" ht="22" customHeight="1">
      <x:c r="A100" t="str">
        <x:v>DeMar DeRozan</x:v>
      </x:c>
      <x:c r="B100" s="18" t="n">
        <x:v>95</x:v>
      </x:c>
      <x:c r="C100" s="18" t="str">
        <x:v>SF</x:v>
      </x:c>
      <x:c r="D100" s="18" t="n">
        <x:v>77</x:v>
      </x:c>
      <x:c r="E100" s="20" t="n">
        <x:v>0</x:v>
      </x:c>
      <x:c r="F100" s="20" t="n">
        <x:v>3.5</x:v>
      </x:c>
      <x:c r="G100" s="18" t="str">
        <x:v>STANDARD</x:v>
      </x:c>
      <x:c r="H100" s="24" t="n">
        <x:v>0.266304347826087</x:v>
      </x:c>
      <x:c r="I100" s="24" t="n">
        <x:v>0.016025641025641028</x:v>
      </x:c>
      <x:c r="J100" t="str">
        <x:v>2025-26 rates</x:v>
      </x:c>
      <x:c r="K100" s="16" t="str">
        <x:v>Denver role is less likely to reproduce a primary scoring workload.</x:v>
      </x:c>
      <x:c r="L100" t="str">
        <x:v>https://www.fantasypros.com/nba/projections/overall.php</x:v>
      </x:c>
      <x:c r="M100" t="str">
        <x:v>https://basketball.realgm.com/nba/stats/2026/Averages/All/points/All/desc/1/Regular_Season</x:v>
      </x:c>
    </x:row>
    <x:row r="101" ht="22" customHeight="1">
      <x:c r="A101" t="str">
        <x:v>Mark Williams</x:v>
      </x:c>
      <x:c r="B101" s="18" t="n">
        <x:v>96</x:v>
      </x:c>
      <x:c r="C101" s="18" t="str">
        <x:v>C</x:v>
      </x:c>
      <x:c r="D101" s="18" t="n">
        <x:v>50</x:v>
      </x:c>
      <x:c r="E101" s="20" t="n">
        <x:v>0</x:v>
      </x:c>
      <x:c r="F101" s="20" t="n">
        <x:v>8</x:v>
      </x:c>
      <x:c r="G101" s="18" t="str">
        <x:v>HIGH</x:v>
      </x:c>
      <x:c r="H101" s="24" t="n">
        <x:v>0.19658119658119658</x:v>
      </x:c>
      <x:c r="I101" s="24" t="n">
        <x:v>0.1313559322033898</x:v>
      </x:c>
      <x:c r="J101" t="str">
        <x:v>2025-26 rates</x:v>
      </x:c>
      <x:c r="K101" s="16" t="str">
        <x:v>Availability discount; 50 GP is a planning assumption, not a prognosis.</x:v>
      </x:c>
      <x:c r="L101" t="str">
        <x:v>https://www.fantasypros.com/nba/projections/overall.php</x:v>
      </x:c>
      <x:c r="M101" t="str">
        <x:v>https://basketball.realgm.com/nba/stats/2026/Averages/All/points/All/desc/1/Regular_Season</x:v>
      </x:c>
    </x:row>
    <x:row r="102" ht="22" customHeight="1">
      <x:c r="A102" t="str">
        <x:v>Mikal Bridges</x:v>
      </x:c>
      <x:c r="B102" s="18" t="n">
        <x:v>97</x:v>
      </x:c>
      <x:c r="C102" s="18" t="str">
        <x:v>SF</x:v>
      </x:c>
      <x:c r="D102" s="18" t="n">
        <x:v>80</x:v>
      </x:c>
      <x:c r="E102" s="20" t="n">
        <x:v>0</x:v>
      </x:c>
      <x:c r="F102" s="20" t="n">
        <x:v>3.5</x:v>
      </x:c>
      <x:c r="G102" s="18" t="str">
        <x:v>STANDARD</x:v>
      </x:c>
      <x:c r="H102" s="24" t="n">
        <x:v>0.06944444444444445</x:v>
      </x:c>
      <x:c r="I102" s="24" t="n">
        <x:v>0.030487804878048783</x:v>
      </x:c>
      <x:c r="J102" t="str">
        <x:v>2025-26 rates</x:v>
      </x:c>
      <x:c r="K102" s="16" t="str">
        <x:v>Availability helps depth value; don't mistake heavy minutes for elite per-game production.</x:v>
      </x:c>
      <x:c r="L102" t="str">
        <x:v>https://www.fantasypros.com/nba/projections/overall.php</x:v>
      </x:c>
      <x:c r="M102" t="str">
        <x:v>https://basketball.realgm.com/nba/stats/2026/Averages/All/points/All/desc/1/Regular_Season</x:v>
      </x:c>
    </x:row>
    <x:row r="103" ht="22" customHeight="1">
      <x:c r="A103" t="str">
        <x:v>Dylan Harper</x:v>
      </x:c>
      <x:c r="B103" s="18" t="n">
        <x:v>98</x:v>
      </x:c>
      <x:c r="C103" s="18" t="str">
        <x:v>PG</x:v>
      </x:c>
      <x:c r="D103" s="18" t="n">
        <x:v>75</x:v>
      </x:c>
      <x:c r="E103" s="20" t="n">
        <x:v>0</x:v>
      </x:c>
      <x:c r="F103" s="20" t="n">
        <x:v>3.5</x:v>
      </x:c>
      <x:c r="G103" s="18" t="str">
        <x:v>STANDARD</x:v>
      </x:c>
      <x:c r="H103" s="24" t="n">
        <x:v>0.11016949152542373</x:v>
      </x:c>
      <x:c r="I103" s="24" t="n">
        <x:v>0.035398230088495575</x:v>
      </x:c>
      <x:c r="J103" t="str">
        <x:v>2025-26 rates</x:v>
      </x:c>
      <x:c r="K103" s="16" t="str">
        <x:v>Development upside; Spurs' crowded guard rotation creates a minutes constraint.</x:v>
      </x:c>
      <x:c r="L103" t="str">
        <x:v>https://www.fantasypros.com/nba/projections/overall.php</x:v>
      </x:c>
      <x:c r="M103" t="str">
        <x:v>https://basketball.realgm.com/nba/stats/2026/Averages/All/points/All/desc/1/Regular_Season</x:v>
      </x:c>
    </x:row>
    <x:row r="104" ht="22" customHeight="1">
      <x:c r="A104" t="str">
        <x:v>Naz Reid</x:v>
      </x:c>
      <x:c r="B104" s="18" t="n">
        <x:v>99</x:v>
      </x:c>
      <x:c r="C104" s="18" t="str">
        <x:v>PF</x:v>
      </x:c>
      <x:c r="D104" s="18" t="n">
        <x:v>77</x:v>
      </x:c>
      <x:c r="E104" s="20" t="n">
        <x:v>0</x:v>
      </x:c>
      <x:c r="F104" s="20" t="n">
        <x:v>3.5</x:v>
      </x:c>
      <x:c r="G104" s="18" t="str">
        <x:v>STANDARD</x:v>
      </x:c>
      <x:c r="H104" s="24" t="n">
        <x:v>0.08823529411764706</x:v>
      </x:c>
      <x:c r="I104" s="24" t="n">
        <x:v>0.045977011494252866</x:v>
      </x:c>
      <x:c r="J104" t="str">
        <x:v>2025-26 rates</x:v>
      </x:c>
      <x:c r="K104" s="16" t="str">
        <x:v>Charlotte move changes opportunity; do not price in unconfirmed starting minutes.</x:v>
      </x:c>
      <x:c r="L104" t="str">
        <x:v>https://www.fantasypros.com/nba/projections/overall.php</x:v>
      </x:c>
      <x:c r="M104" t="str">
        <x:v>https://basketball.realgm.com/nba/stats/2026/Averages/All/points/All/desc/1/Regular_Season</x:v>
      </x:c>
    </x:row>
    <x:row r="105" ht="22" customHeight="1">
      <x:c r="A105" t="str">
        <x:v>Nic Claxton</x:v>
      </x:c>
      <x:c r="B105" s="18" t="n">
        <x:v>100</x:v>
      </x:c>
      <x:c r="C105" s="18" t="str">
        <x:v>C</x:v>
      </x:c>
      <x:c r="D105" s="18" t="n">
        <x:v>68</x:v>
      </x:c>
      <x:c r="E105" s="20" t="n">
        <x:v>0</x:v>
      </x:c>
      <x:c r="F105" s="20" t="n">
        <x:v>5.5</x:v>
      </x:c>
      <x:c r="G105" s="18" t="str">
        <x:v>MEDIUM</x:v>
      </x:c>
      <x:c r="H105" s="24" t="n">
        <x:v>0.17094017094017094</x:v>
      </x:c>
      <x:c r="I105" s="24" t="n">
        <x:v>0.08633093525179855</x:v>
      </x:c>
      <x:c r="J105" t="str">
        <x:v>2025-26 rates</x:v>
      </x:c>
      <x:c r="K105" s="16" t="str">
        <x:v>Hamstring injury carries a two-week reevaluation window and puts the opener in question.</x:v>
      </x:c>
      <x:c r="L105" t="str">
        <x:v>https://sports.yahoo.com/articles/nic-claxton-2-weeks-preseason-015856779.html</x:v>
      </x:c>
      <x:c r="M105" t="str">
        <x:v>https://basketball.realgm.com/nba/stats/2026/Averages/All/points/All/desc/1/Regular_Season</x:v>
      </x:c>
    </x:row>
    <x:row r="106" ht="22" customHeight="1">
      <x:c r="A106" t="str">
        <x:v>Nickeil Alexander-Walker</x:v>
      </x:c>
      <x:c r="B106" s="18" t="n">
        <x:v>101</x:v>
      </x:c>
      <x:c r="C106" s="18" t="str">
        <x:v>SG</x:v>
      </x:c>
      <x:c r="D106" s="18" t="n">
        <x:v>79</x:v>
      </x:c>
      <x:c r="E106" s="20" t="n">
        <x:v>0</x:v>
      </x:c>
      <x:c r="F106" s="20" t="n">
        <x:v>3.5</x:v>
      </x:c>
      <x:c r="G106" s="18" t="str">
        <x:v>STANDARD</x:v>
      </x:c>
      <x:c r="H106" s="24" t="n">
        <x:v>0.17307692307692307</x:v>
      </x:c>
      <x:c r="I106" s="24" t="n">
        <x:v>0.020958083832335328</x:v>
      </x:c>
      <x:c r="J106" t="str">
        <x:v>2025-26 rates</x:v>
      </x:c>
      <x:c r="K106" s="16" t="str">
        <x:v>Projected below last year's production; avoid extrapolating a career-year role.</x:v>
      </x:c>
      <x:c r="L106" t="str">
        <x:v>https://www.fantasypros.com/nba/projections/overall.php</x:v>
      </x:c>
      <x:c r="M106" t="str">
        <x:v>https://basketball.realgm.com/nba/stats/2026/Averages/All/points/All/desc/1/Regular_Season</x:v>
      </x:c>
    </x:row>
    <x:row r="107" ht="22" customHeight="1">
      <x:c r="A107" t="str">
        <x:v>Kel'el Ware</x:v>
      </x:c>
      <x:c r="B107" s="18" t="n">
        <x:v>102</x:v>
      </x:c>
      <x:c r="C107" s="18" t="str">
        <x:v>C</x:v>
      </x:c>
      <x:c r="D107" s="18" t="n">
        <x:v>74</x:v>
      </x:c>
      <x:c r="E107" s="20" t="n">
        <x:v>2</x:v>
      </x:c>
      <x:c r="F107" s="20" t="n">
        <x:v>3.5</x:v>
      </x:c>
      <x:c r="G107" s="18" t="str">
        <x:v>STANDARD</x:v>
      </x:c>
      <x:c r="H107" s="24" t="n">
        <x:v>0.08108108108108109</x:v>
      </x:c>
      <x:c r="I107" s="24" t="n">
        <x:v>0.12669683257918551</x:v>
      </x:c>
      <x:c r="J107" t="str">
        <x:v>2025-26 rates</x:v>
      </x:c>
      <x:c r="K107" s="16" t="str">
        <x:v>Milwaukee upside, but Turner remains competition; do not assume 30-plus minutes.</x:v>
      </x:c>
      <x:c r="L107" t="str">
        <x:v>https://www.nba.com/news/2026-27-season-preview-mil</x:v>
      </x:c>
      <x:c r="M107" t="str">
        <x:v>https://basketball.realgm.com/nba/stats/2026/Averages/All/points/All/desc/1/Regular_Season</x:v>
      </x:c>
    </x:row>
    <x:row r="108" ht="22" customHeight="1">
      <x:c r="A108" t="str">
        <x:v>Cedric Coward</x:v>
      </x:c>
      <x:c r="B108" s="18" t="n">
        <x:v>103</x:v>
      </x:c>
      <x:c r="C108" s="18" t="str">
        <x:v>SF</x:v>
      </x:c>
      <x:c r="D108" s="18" t="n">
        <x:v>74</x:v>
      </x:c>
      <x:c r="E108" s="20" t="n">
        <x:v>0.5</x:v>
      </x:c>
      <x:c r="F108" s="20" t="n">
        <x:v>3.5</x:v>
      </x:c>
      <x:c r="G108" s="18" t="str">
        <x:v>STANDARD</x:v>
      </x:c>
      <x:c r="H108" s="24" t="n">
        <x:v>0.1691176470588235</x:v>
      </x:c>
      <x:c r="I108" s="24" t="n">
        <x:v>0.050387596899224806</x:v>
      </x:c>
      <x:c r="J108" t="str">
        <x:v>2025-26 rates</x:v>
      </x:c>
      <x:c r="K108" s="16" t="str">
        <x:v>Memphis youth opportunity earns a modest upside adjustment; still speculative.</x:v>
      </x:c>
      <x:c r="L108" t="str">
        <x:v>https://www.fantasypros.com/nba/projections/overall.php</x:v>
      </x:c>
      <x:c r="M108" t="str">
        <x:v>https://basketball.realgm.com/nba/stats/2026/Averages/All/points/All/desc/1/Regular_Season</x:v>
      </x:c>
    </x:row>
    <x:row r="109" ht="22" customHeight="1">
      <x:c r="A109" t="str">
        <x:v>Matas Buzelis</x:v>
      </x:c>
      <x:c r="B109" s="18" t="n">
        <x:v>104</x:v>
      </x:c>
      <x:c r="C109" s="18" t="str">
        <x:v>PF</x:v>
      </x:c>
      <x:c r="D109" s="18" t="n">
        <x:v>76</x:v>
      </x:c>
      <x:c r="E109" s="20" t="n">
        <x:v>0</x:v>
      </x:c>
      <x:c r="F109" s="20" t="n">
        <x:v>3.5</x:v>
      </x:c>
      <x:c r="G109" s="18" t="str">
        <x:v>STANDARD</x:v>
      </x:c>
      <x:c r="H109" s="24" t="n">
        <x:v>0.14723926380368096</x:v>
      </x:c>
      <x:c r="I109" s="24" t="n">
        <x:v>0.03424657534246575</x:v>
      </x:c>
      <x:c r="J109" t="str">
        <x:v>2025-26 rates</x:v>
      </x:c>
      <x:c r="K109" s="16" t="str">
        <x:v>Development watch; Chicago's additions create competition rather than guaranteed growth.</x:v>
      </x:c>
      <x:c r="L109" t="str">
        <x:v>https://www.fantasypros.com/nba/projections/overall.php</x:v>
      </x:c>
      <x:c r="M109" t="str">
        <x:v>https://basketball.realgm.com/nba/stats/2026/Averages/All/points/All/desc/1/Regular_Season</x:v>
      </x:c>
    </x:row>
    <x:row r="110" ht="22" customHeight="1">
      <x:c r="A110" t="str">
        <x:v>Jaden McDaniels</x:v>
      </x:c>
      <x:c r="B110" s="18" t="n">
        <x:v>105</x:v>
      </x:c>
      <x:c r="C110" s="18" t="str">
        <x:v>SF</x:v>
      </x:c>
      <x:c r="D110" s="18" t="n">
        <x:v>76</x:v>
      </x:c>
      <x:c r="E110" s="20" t="n">
        <x:v>0</x:v>
      </x:c>
      <x:c r="F110" s="20" t="n">
        <x:v>3.5</x:v>
      </x:c>
      <x:c r="G110" s="18" t="str">
        <x:v>DEEP</x:v>
      </x:c>
      <x:c r="H110" s="24"/>
      <x:c r="I110" s="24"/>
      <x:c r="J110" t="str">
        <x:v>Deep-board estimate</x:v>
      </x:c>
      <x:c r="K110" s="16" t="str">
        <x:v>Deep-board candidate for a 10-team league; custom-format estimate emphasizes role, efficiency and rebounding. Recheck camp role and app eligibility before draft day.</x:v>
      </x:c>
      <x:c r="L110" t="str">
        <x:v>https://www.fantasypros.com/nba/projections/overall.php</x:v>
      </x:c>
      <x:c r="M110" t="str">
        <x:v>https://ca.sports.yahoo.com/news/2026-27-fantasy-basketball-rankings-top-200-players-points-leagues-182942270.html</x:v>
      </x:c>
    </x:row>
    <x:row r="111" ht="22" customHeight="1">
      <x:c r="A111" t="str">
        <x:v>Jabari Smith Jr.</x:v>
      </x:c>
      <x:c r="B111" s="18" t="n">
        <x:v>106</x:v>
      </x:c>
      <x:c r="C111" s="18" t="str">
        <x:v>PF</x:v>
      </x:c>
      <x:c r="D111" s="18" t="n">
        <x:v>76</x:v>
      </x:c>
      <x:c r="E111" s="20" t="n">
        <x:v>0</x:v>
      </x:c>
      <x:c r="F111" s="20" t="n">
        <x:v>3.5</x:v>
      </x:c>
      <x:c r="G111" s="18" t="str">
        <x:v>STANDARD</x:v>
      </x:c>
      <x:c r="H111" s="24" t="n">
        <x:v>0.13291139240506328</x:v>
      </x:c>
      <x:c r="I111" s="24" t="n">
        <x:v>0.03988603988603988</x:v>
      </x:c>
      <x:c r="J111" t="str">
        <x:v>2025-26 rates</x:v>
      </x:c>
      <x:c r="K111" s="16" t="str">
        <x:v>Rebounding/shooting depth; Houston has established high-usage options.</x:v>
      </x:c>
      <x:c r="L111" t="str">
        <x:v>https://www.fantasypros.com/nba/projections/overall.php</x:v>
      </x:c>
      <x:c r="M111" t="str">
        <x:v>https://basketball.realgm.com/nba/stats/2026/Averages/All/points/All/desc/1/Regular_Season</x:v>
      </x:c>
    </x:row>
    <x:row r="112" ht="22" customHeight="1">
      <x:c r="A112" t="str">
        <x:v>Andrew Nembhard</x:v>
      </x:c>
      <x:c r="B112" s="18" t="n">
        <x:v>107</x:v>
      </x:c>
      <x:c r="C112" s="18" t="str">
        <x:v>PG</x:v>
      </x:c>
      <x:c r="D112" s="18" t="n">
        <x:v>75</x:v>
      </x:c>
      <x:c r="E112" s="20" t="n">
        <x:v>-0.25</x:v>
      </x:c>
      <x:c r="F112" s="20" t="n">
        <x:v>3.5</x:v>
      </x:c>
      <x:c r="G112" s="18" t="str">
        <x:v>STANDARD</x:v>
      </x:c>
      <x:c r="H112" s="24" t="n">
        <x:v>0.20118343195266272</x:v>
      </x:c>
      <x:c r="I112" s="24" t="n">
        <x:v>0.012779552715654953</x:v>
      </x:c>
      <x:c r="J112" t="str">
        <x:v>2025-26 rates</x:v>
      </x:c>
      <x:c r="K112" s="16" t="str">
        <x:v>Haliburton returns, reducing the appeal of extrapolating last year's creation.</x:v>
      </x:c>
      <x:c r="L112" t="str">
        <x:v>https://www.fantasypros.com/nba/projections/overall.php</x:v>
      </x:c>
      <x:c r="M112" t="str">
        <x:v>https://basketball.realgm.com/nba/stats/2026/Averages/All/points/All/desc/1/Regular_Season</x:v>
      </x:c>
    </x:row>
    <x:row r="113" ht="22" customHeight="1">
      <x:c r="A113" t="str">
        <x:v>Keegan Murray</x:v>
      </x:c>
      <x:c r="B113" s="18" t="n">
        <x:v>108</x:v>
      </x:c>
      <x:c r="C113" s="18" t="str">
        <x:v>PF</x:v>
      </x:c>
      <x:c r="D113" s="18" t="n">
        <x:v>75</x:v>
      </x:c>
      <x:c r="E113" s="20" t="n">
        <x:v>0</x:v>
      </x:c>
      <x:c r="F113" s="20" t="n">
        <x:v>3.5</x:v>
      </x:c>
      <x:c r="G113" s="18" t="str">
        <x:v>DEEP</x:v>
      </x:c>
      <x:c r="H113" s="24"/>
      <x:c r="I113" s="24"/>
      <x:c r="J113" t="str">
        <x:v>Deep-board estimate</x:v>
      </x:c>
      <x:c r="K113" s="16" t="str">
        <x:v>Deep-board candidate for a 10-team league; custom-format estimate emphasizes role, efficiency and rebounding. Recheck camp role and app eligibility before draft day.</x:v>
      </x:c>
      <x:c r="L113" t="str">
        <x:v>https://www.fantasypros.com/nba/projections/overall.php</x:v>
      </x:c>
      <x:c r="M113" t="str">
        <x:v>https://ca.sports.yahoo.com/news/2026-27-fantasy-basketball-rankings-top-200-players-points-leagues-182942270.html</x:v>
      </x:c>
    </x:row>
    <x:row r="114" ht="22" customHeight="1">
      <x:c r="A114" t="str">
        <x:v>Fred VanVleet</x:v>
      </x:c>
      <x:c r="B114" s="18" t="n">
        <x:v>109</x:v>
      </x:c>
      <x:c r="C114" s="18" t="str">
        <x:v>PG</x:v>
      </x:c>
      <x:c r="D114" s="18" t="n">
        <x:v>73</x:v>
      </x:c>
      <x:c r="E114" s="20" t="n">
        <x:v>-0.125</x:v>
      </x:c>
      <x:c r="F114" s="20" t="n">
        <x:v>5.5</x:v>
      </x:c>
      <x:c r="G114" s="18" t="str">
        <x:v>MEDIUM</x:v>
      </x:c>
      <x:c r="H114" s="24" t="n">
        <x:v>0.1347517730496454</x:v>
      </x:c>
      <x:c r="I114" s="24" t="n">
        <x:v>0.014204545454545454</x:v>
      </x:c>
      <x:c r="J114" t="str">
        <x:v>2024-25 rates</x:v>
      </x:c>
      <x:c r="K114" s="16" t="str">
        <x:v>ACL return and crowded Houston offense; wait for camp workload clarity.</x:v>
      </x:c>
      <x:c r="L114" t="str">
        <x:v>https://www.fantasypros.com/nba/projections/overall.php</x:v>
      </x:c>
      <x:c r="M114" t="str">
        <x:v>https://basketball.realgm.com/nba/stats/2025/Averages/Qualified/points/All/desc/1/Regular_Season</x:v>
      </x:c>
    </x:row>
    <x:row r="115" ht="22" customHeight="1">
      <x:c r="A115" t="str">
        <x:v>Dillon Brooks</x:v>
      </x:c>
      <x:c r="B115" s="18" t="n">
        <x:v>110</x:v>
      </x:c>
      <x:c r="C115" s="18" t="str">
        <x:v>SF</x:v>
      </x:c>
      <x:c r="D115" s="18" t="n">
        <x:v>74</x:v>
      </x:c>
      <x:c r="E115" s="20" t="n">
        <x:v>0</x:v>
      </x:c>
      <x:c r="F115" s="20" t="n">
        <x:v>3.5</x:v>
      </x:c>
      <x:c r="G115" s="18" t="str">
        <x:v>STANDARD</x:v>
      </x:c>
      <x:c r="H115" s="24" t="n">
        <x:v>0.1485148514851485</x:v>
      </x:c>
      <x:c r="I115" s="24" t="n">
        <x:v>0.026315789473684213</x:v>
      </x:c>
      <x:c r="J115" t="str">
        <x:v>2025-26 rates</x:v>
      </x:c>
      <x:c r="K115" s="16" t="str">
        <x:v>Late depth; no speculative ejection bonus is included.</x:v>
      </x:c>
      <x:c r="L115" t="str">
        <x:v>https://www.fantasypros.com/nba/projections/overall.php</x:v>
      </x:c>
      <x:c r="M115" t="str">
        <x:v>https://basketball.realgm.com/nba/stats/2026/Averages/All/points/All/desc/1/Regular_Season</x:v>
      </x:c>
    </x:row>
    <x:row r="116" ht="22" customHeight="1">
      <x:c r="A116" t="str">
        <x:v>PJ Washington</x:v>
      </x:c>
      <x:c r="B116" s="18" t="n">
        <x:v>111</x:v>
      </x:c>
      <x:c r="C116" s="18" t="str">
        <x:v>PF</x:v>
      </x:c>
      <x:c r="D116" s="18" t="n">
        <x:v>71</x:v>
      </x:c>
      <x:c r="E116" s="20" t="n">
        <x:v>0</x:v>
      </x:c>
      <x:c r="F116" s="20" t="n">
        <x:v>3.5</x:v>
      </x:c>
      <x:c r="G116" s="18" t="str">
        <x:v>STANDARD</x:v>
      </x:c>
      <x:c r="H116" s="24" t="n">
        <x:v>0.15492957746478875</x:v>
      </x:c>
      <x:c r="I116" s="24" t="n">
        <x:v>0.04838709677419355</x:v>
      </x:c>
      <x:c r="J116" t="str">
        <x:v>2025-26 rates</x:v>
      </x:c>
      <x:c r="K116" s="16" t="str">
        <x:v>Dallas depth; limited projected ceiling compared with rebound-heavy centers.</x:v>
      </x:c>
      <x:c r="L116" t="str">
        <x:v>https://www.fantasypros.com/nba/projections/overall.php</x:v>
      </x:c>
      <x:c r="M116" t="str">
        <x:v>https://basketball.realgm.com/nba/stats/2026/Averages/All/points/All/desc/1/Regular_Season</x:v>
      </x:c>
    </x:row>
    <x:row r="117" ht="22" customHeight="1">
      <x:c r="A117" t="str">
        <x:v>Brandin Podziemski</x:v>
      </x:c>
      <x:c r="B117" s="18" t="n">
        <x:v>112</x:v>
      </x:c>
      <x:c r="C117" s="18" t="str">
        <x:v>SG</x:v>
      </x:c>
      <x:c r="D117" s="18" t="n">
        <x:v>79</x:v>
      </x:c>
      <x:c r="E117" s="20" t="n">
        <x:v>0</x:v>
      </x:c>
      <x:c r="F117" s="20" t="n">
        <x:v>3.5</x:v>
      </x:c>
      <x:c r="G117" s="18" t="str">
        <x:v>DEEP</x:v>
      </x:c>
      <x:c r="H117" s="24"/>
      <x:c r="I117" s="24"/>
      <x:c r="J117" t="str">
        <x:v>Deep-board estimate</x:v>
      </x:c>
      <x:c r="K117" s="16" t="str">
        <x:v>Deep-board candidate for a 10-team league; custom-format estimate emphasizes role, efficiency and rebounding. Recheck camp role and app eligibility before draft day.</x:v>
      </x:c>
      <x:c r="L117" t="str">
        <x:v>https://www.fantasypros.com/nba/projections/overall.php</x:v>
      </x:c>
      <x:c r="M117" t="str">
        <x:v>https://ca.sports.yahoo.com/news/2026-27-fantasy-basketball-rankings-top-200-players-points-leagues-182942270.html</x:v>
      </x:c>
    </x:row>
    <x:row r="118" ht="22" customHeight="1">
      <x:c r="A118" t="str">
        <x:v>Saddiq Bey</x:v>
      </x:c>
      <x:c r="B118" s="18" t="n">
        <x:v>113</x:v>
      </x:c>
      <x:c r="C118" s="18" t="str">
        <x:v>SF</x:v>
      </x:c>
      <x:c r="D118" s="18" t="n">
        <x:v>75</x:v>
      </x:c>
      <x:c r="E118" s="20" t="n">
        <x:v>0</x:v>
      </x:c>
      <x:c r="F118" s="20" t="n">
        <x:v>3.5</x:v>
      </x:c>
      <x:c r="G118" s="18" t="str">
        <x:v>STANDARD</x:v>
      </x:c>
      <x:c r="H118" s="24" t="n">
        <x:v>0.192090395480226</x:v>
      </x:c>
      <x:c r="I118" s="24" t="n">
        <x:v>0.05448717948717949</x:v>
      </x:c>
      <x:c r="J118" t="str">
        <x:v>2025-26 rates</x:v>
      </x:c>
      <x:c r="K118" s="16" t="str">
        <x:v>Late wing option; prefer him only at a price below the higher-upside forwards.</x:v>
      </x:c>
      <x:c r="L118" t="str">
        <x:v>https://www.fantasypros.com/nba/projections/overall.php</x:v>
      </x:c>
      <x:c r="M118" t="str">
        <x:v>https://basketball.realgm.com/nba/stats/2026/Averages/All/points/All/desc/1/Regular_Season</x:v>
      </x:c>
    </x:row>
    <x:row r="119" ht="22" customHeight="1">
      <x:c r="A119" t="str">
        <x:v>Ayo Dosunmu</x:v>
      </x:c>
      <x:c r="B119" s="18" t="n">
        <x:v>114</x:v>
      </x:c>
      <x:c r="C119" s="18" t="str">
        <x:v>SG</x:v>
      </x:c>
      <x:c r="D119" s="18" t="n">
        <x:v>75</x:v>
      </x:c>
      <x:c r="E119" s="20" t="n">
        <x:v>0</x:v>
      </x:c>
      <x:c r="F119" s="20" t="n">
        <x:v>3.5</x:v>
      </x:c>
      <x:c r="G119" s="18" t="str">
        <x:v>DEEP</x:v>
      </x:c>
      <x:c r="H119" s="24"/>
      <x:c r="I119" s="24"/>
      <x:c r="J119" t="str">
        <x:v>Deep-board estimate</x:v>
      </x:c>
      <x:c r="K119" s="16" t="str">
        <x:v>Deep-board candidate for a 10-team league; custom-format estimate emphasizes role, efficiency and rebounding. Recheck camp role and app eligibility before draft day.</x:v>
      </x:c>
      <x:c r="L119" t="str">
        <x:v>https://www.fantasypros.com/nba/projections/overall.php</x:v>
      </x:c>
      <x:c r="M119" t="str">
        <x:v>https://ca.sports.yahoo.com/news/2026-27-fantasy-basketball-rankings-top-200-players-points-leagues-182942270.html</x:v>
      </x:c>
    </x:row>
    <x:row r="120" ht="22" customHeight="1">
      <x:c r="A120" t="str">
        <x:v>Donte DiVincenzo</x:v>
      </x:c>
      <x:c r="B120" s="18" t="n">
        <x:v>115</x:v>
      </x:c>
      <x:c r="C120" s="18" t="str">
        <x:v>SG</x:v>
      </x:c>
      <x:c r="D120" s="18" t="n">
        <x:v>70</x:v>
      </x:c>
      <x:c r="E120" s="20" t="n">
        <x:v>0</x:v>
      </x:c>
      <x:c r="F120" s="20" t="n">
        <x:v>3.5</x:v>
      </x:c>
      <x:c r="G120" s="18" t="str">
        <x:v>DEEP</x:v>
      </x:c>
      <x:c r="H120" s="24"/>
      <x:c r="I120" s="24"/>
      <x:c r="J120" t="str">
        <x:v>Deep-board estimate</x:v>
      </x:c>
      <x:c r="K120" s="16" t="str">
        <x:v>Deep-board candidate for a 10-team league; custom-format estimate emphasizes role, efficiency and rebounding. Recheck camp role and app eligibility before draft day.</x:v>
      </x:c>
      <x:c r="L120" t="str">
        <x:v>https://ca.sports.yahoo.com/news/2026-27-fantasy-basketball-rankings-top-200-players-points-leagues-182942270.html</x:v>
      </x:c>
      <x:c r="M120" t="str">
        <x:v>https://ca.sports.yahoo.com/news/2026-27-fantasy-basketball-rankings-top-200-players-points-leagues-182942270.html</x:v>
      </x:c>
    </x:row>
    <x:row r="121" ht="22" customHeight="1">
      <x:c r="A121" t="str">
        <x:v>Cameron Johnson</x:v>
      </x:c>
      <x:c r="B121" s="18" t="n">
        <x:v>116</x:v>
      </x:c>
      <x:c r="C121" s="18" t="str">
        <x:v>SF</x:v>
      </x:c>
      <x:c r="D121" s="18" t="n">
        <x:v>73</x:v>
      </x:c>
      <x:c r="E121" s="20" t="n">
        <x:v>0</x:v>
      </x:c>
      <x:c r="F121" s="20" t="n">
        <x:v>3.5</x:v>
      </x:c>
      <x:c r="G121" s="18" t="str">
        <x:v>DEEP</x:v>
      </x:c>
      <x:c r="H121" s="24"/>
      <x:c r="I121" s="24"/>
      <x:c r="J121" t="str">
        <x:v>Deep-board estimate</x:v>
      </x:c>
      <x:c r="K121" s="16" t="str">
        <x:v>Deep-board candidate for a 10-team league; custom-format estimate emphasizes role, efficiency and rebounding. Recheck camp role and app eligibility before draft day.</x:v>
      </x:c>
      <x:c r="L121" t="str">
        <x:v>https://www.fantasypros.com/nba/projections/overall.php</x:v>
      </x:c>
      <x:c r="M121" t="str">
        <x:v>https://ca.sports.yahoo.com/news/2026-27-fantasy-basketball-rankings-top-200-players-points-leagues-182942270.html</x:v>
      </x:c>
    </x:row>
    <x:row r="122" ht="22" customHeight="1">
      <x:c r="A122" t="str">
        <x:v>Andrew Wiggins</x:v>
      </x:c>
      <x:c r="B122" s="18" t="n">
        <x:v>117</x:v>
      </x:c>
      <x:c r="C122" s="18" t="str">
        <x:v>SF</x:v>
      </x:c>
      <x:c r="D122" s="18" t="n">
        <x:v>73</x:v>
      </x:c>
      <x:c r="E122" s="20" t="n">
        <x:v>0</x:v>
      </x:c>
      <x:c r="F122" s="20" t="n">
        <x:v>3.5</x:v>
      </x:c>
      <x:c r="G122" s="18" t="str">
        <x:v>DEEP</x:v>
      </x:c>
      <x:c r="H122" s="24"/>
      <x:c r="I122" s="24"/>
      <x:c r="J122" t="str">
        <x:v>Deep-board estimate</x:v>
      </x:c>
      <x:c r="K122" s="16" t="str">
        <x:v>Deep-board candidate for a 10-team league; custom-format estimate emphasizes role, efficiency and rebounding. Recheck camp role and app eligibility before draft day.</x:v>
      </x:c>
      <x:c r="L122" t="str">
        <x:v>https://www.fantasypros.com/nba/projections/overall.php</x:v>
      </x:c>
      <x:c r="M122" t="str">
        <x:v>https://ca.sports.yahoo.com/news/2026-27-fantasy-basketball-rankings-top-200-players-points-leagues-182942270.html</x:v>
      </x:c>
    </x:row>
    <x:row r="123" ht="22" customHeight="1">
      <x:c r="A123" t="str">
        <x:v>Zaccharie Risacher</x:v>
      </x:c>
      <x:c r="B123" s="18" t="n">
        <x:v>118</x:v>
      </x:c>
      <x:c r="C123" s="18" t="str">
        <x:v>SF</x:v>
      </x:c>
      <x:c r="D123" s="18" t="n">
        <x:v>70</x:v>
      </x:c>
      <x:c r="E123" s="20" t="n">
        <x:v>0</x:v>
      </x:c>
      <x:c r="F123" s="20" t="n">
        <x:v>3.5</x:v>
      </x:c>
      <x:c r="G123" s="18" t="str">
        <x:v>DEEP</x:v>
      </x:c>
      <x:c r="H123" s="24"/>
      <x:c r="I123" s="24"/>
      <x:c r="J123" t="str">
        <x:v>Deep-board estimate</x:v>
      </x:c>
      <x:c r="K123" s="16" t="str">
        <x:v>Deep-board candidate for a 10-team league; custom-format estimate emphasizes role, efficiency and rebounding. Recheck camp role and app eligibility before draft day.</x:v>
      </x:c>
      <x:c r="L123" t="str">
        <x:v>https://ca.sports.yahoo.com/news/2026-27-fantasy-basketball-rankings-top-200-players-points-leagues-182942270.html</x:v>
      </x:c>
      <x:c r="M123" t="str">
        <x:v>https://ca.sports.yahoo.com/news/2026-27-fantasy-basketball-rankings-top-200-players-points-leagues-182942270.html</x:v>
      </x:c>
    </x:row>
    <x:row r="124" ht="22" customHeight="1">
      <x:c r="A124" t="str">
        <x:v>Nikola Vucevic</x:v>
      </x:c>
      <x:c r="B124" s="18" t="n">
        <x:v>119</x:v>
      </x:c>
      <x:c r="C124" s="18" t="str">
        <x:v>C</x:v>
      </x:c>
      <x:c r="D124" s="18" t="n">
        <x:v>75</x:v>
      </x:c>
      <x:c r="E124" s="20" t="n">
        <x:v>0</x:v>
      </x:c>
      <x:c r="F124" s="20" t="n">
        <x:v>3.5</x:v>
      </x:c>
      <x:c r="G124" s="18" t="str">
        <x:v>STANDARD</x:v>
      </x:c>
      <x:c r="H124" s="24" t="n">
        <x:v>0.07947019867549669</x:v>
      </x:c>
      <x:c r="I124" s="24" t="n">
        <x:v>0.07042253521126761</x:v>
      </x:c>
      <x:c r="J124" t="str">
        <x:v>2025-26 rates</x:v>
      </x:c>
      <x:c r="K124" s="16" t="str">
        <x:v>Orlando projection implies a smaller role; name value exceeds model output.</x:v>
      </x:c>
      <x:c r="L124" t="str">
        <x:v>https://www.fantasypros.com/nba/projections/overall.php</x:v>
      </x:c>
      <x:c r="M124" t="str">
        <x:v>https://basketball.realgm.com/nba/stats/2026/Averages/All/points/All/desc/1/Regular_Season</x:v>
      </x:c>
    </x:row>
    <x:row r="125" ht="22" customHeight="1">
      <x:c r="A125" t="str">
        <x:v>Christian Braun</x:v>
      </x:c>
      <x:c r="B125" s="18" t="n">
        <x:v>120</x:v>
      </x:c>
      <x:c r="C125" s="18" t="str">
        <x:v>SG</x:v>
      </x:c>
      <x:c r="D125" s="18" t="n">
        <x:v>72</x:v>
      </x:c>
      <x:c r="E125" s="20" t="n">
        <x:v>0</x:v>
      </x:c>
      <x:c r="F125" s="20" t="n">
        <x:v>3.5</x:v>
      </x:c>
      <x:c r="G125" s="18" t="str">
        <x:v>DEEP</x:v>
      </x:c>
      <x:c r="H125" s="24"/>
      <x:c r="I125" s="24"/>
      <x:c r="J125" t="str">
        <x:v>Deep-board estimate</x:v>
      </x:c>
      <x:c r="K125" s="16" t="str">
        <x:v>Deep-board candidate for a 10-team league; custom-format estimate emphasizes role, efficiency and rebounding. Recheck camp role and app eligibility before draft day.</x:v>
      </x:c>
      <x:c r="L125" t="str">
        <x:v>https://www.fantasypros.com/nba/projections/overall.php</x:v>
      </x:c>
      <x:c r="M125" t="str">
        <x:v>https://ca.sports.yahoo.com/news/2026-27-fantasy-basketball-rankings-top-200-players-points-leagues-182942270.html</x:v>
      </x:c>
    </x:row>
    <x:row r="126">
      <x:c r="A126" t="str">
        <x:v>Obi Toppin</x:v>
      </x:c>
      <x:c r="B126" t="n">
        <x:v>121</x:v>
      </x:c>
      <x:c r="C126" t="str">
        <x:v>PF</x:v>
      </x:c>
      <x:c r="D126" t="n">
        <x:v>70</x:v>
      </x:c>
      <x:c r="E126" t="n">
        <x:v>0</x:v>
      </x:c>
      <x:c r="F126" t="n">
        <x:v>3.5</x:v>
      </x:c>
      <x:c r="G126" t="str">
        <x:v>DEEP</x:v>
      </x:c>
      <x:c r="H126"/>
      <x:c r="I126"/>
      <x:c r="J126" t="str">
        <x:v>Deep-board estimate</x:v>
      </x:c>
      <x:c r="K126" t="str">
        <x:v>Deep-board candidate for a 10-team league; custom-format estimate emphasizes role, efficiency and rebounding. Recheck camp role and app eligibility before draft day.</x:v>
      </x:c>
      <x:c r="L126" t="str">
        <x:v>https://ca.sports.yahoo.com/news/2026-27-fantasy-basketball-rankings-top-200-players-points-leagues-182942270.html</x:v>
      </x:c>
      <x:c r="M126" t="str">
        <x:v>https://ca.sports.yahoo.com/news/2026-27-fantasy-basketball-rankings-top-200-players-points-leagues-182942270.html</x:v>
      </x:c>
    </x:row>
    <x:row r="127">
      <x:c r="A127" t="str">
        <x:v>Kyle Filipowski</x:v>
      </x:c>
      <x:c r="B127" t="n">
        <x:v>122</x:v>
      </x:c>
      <x:c r="C127" t="str">
        <x:v>C</x:v>
      </x:c>
      <x:c r="D127" t="n">
        <x:v>70</x:v>
      </x:c>
      <x:c r="E127" t="n">
        <x:v>0</x:v>
      </x:c>
      <x:c r="F127" t="n">
        <x:v>3.5</x:v>
      </x:c>
      <x:c r="G127" t="str">
        <x:v>DEEP</x:v>
      </x:c>
      <x:c r="H127"/>
      <x:c r="I127"/>
      <x:c r="J127" t="str">
        <x:v>Deep-board estimate</x:v>
      </x:c>
      <x:c r="K127" t="str">
        <x:v>Deep-board candidate for a 10-team league; custom-format estimate emphasizes role, efficiency and rebounding. Recheck camp role and app eligibility before draft day.</x:v>
      </x:c>
      <x:c r="L127" t="str">
        <x:v>https://ca.sports.yahoo.com/news/2026-27-fantasy-basketball-rankings-top-200-players-points-leagues-182942270.html</x:v>
      </x:c>
      <x:c r="M127" t="str">
        <x:v>https://ca.sports.yahoo.com/news/2026-27-fantasy-basketball-rankings-top-200-players-points-leagues-182942270.html</x:v>
      </x:c>
    </x:row>
    <x:row r="128">
      <x:c r="A128" t="str">
        <x:v>Jalen Suggs</x:v>
      </x:c>
      <x:c r="B128" t="n">
        <x:v>123</x:v>
      </x:c>
      <x:c r="C128" t="str">
        <x:v>PG</x:v>
      </x:c>
      <x:c r="D128" t="n">
        <x:v>70</x:v>
      </x:c>
      <x:c r="E128" t="n">
        <x:v>0</x:v>
      </x:c>
      <x:c r="F128" t="n">
        <x:v>3.5</x:v>
      </x:c>
      <x:c r="G128" t="str">
        <x:v>DEEP</x:v>
      </x:c>
      <x:c r="H128"/>
      <x:c r="I128"/>
      <x:c r="J128" t="str">
        <x:v>Deep-board estimate</x:v>
      </x:c>
      <x:c r="K128" t="str">
        <x:v>Deep-board candidate for a 10-team league; custom-format estimate emphasizes role, efficiency and rebounding. Recheck camp role and app eligibility before draft day.</x:v>
      </x:c>
      <x:c r="L128" t="str">
        <x:v>https://www.fantasypros.com/nba/projections/overall.php</x:v>
      </x:c>
      <x:c r="M128" t="str">
        <x:v>https://ca.sports.yahoo.com/news/2026-27-fantasy-basketball-rankings-top-200-players-points-leagues-182942270.html</x:v>
      </x:c>
    </x:row>
    <x:row r="129">
      <x:c r="A129" t="str">
        <x:v>Peyton Watson</x:v>
      </x:c>
      <x:c r="B129" t="n">
        <x:v>124</x:v>
      </x:c>
      <x:c r="C129" t="str">
        <x:v>SF</x:v>
      </x:c>
      <x:c r="D129" t="n">
        <x:v>75</x:v>
      </x:c>
      <x:c r="E129" t="n">
        <x:v>0</x:v>
      </x:c>
      <x:c r="F129" t="n">
        <x:v>3.5</x:v>
      </x:c>
      <x:c r="G129" t="str">
        <x:v>STANDARD</x:v>
      </x:c>
      <x:c r="H129" t="n">
        <x:v>0.17808219178082194</x:v>
      </x:c>
      <x:c r="I129" t="n">
        <x:v>0.030405405405405404</x:v>
      </x:c>
      <x:c r="J129" t="str">
        <x:v>2025-26 rates</x:v>
      </x:c>
      <x:c r="K129" t="str">
        <x:v>Cleveland role needs confirmation; defensive reputation alone is not enough.</x:v>
      </x:c>
      <x:c r="L129" t="str">
        <x:v>https://www.fantasypros.com/nba/projections/overall.php</x:v>
      </x:c>
      <x:c r="M129" t="str">
        <x:v>https://basketball.realgm.com/nba/stats/2026/Averages/All/points/All/desc/1/Regular_Season</x:v>
      </x:c>
    </x:row>
    <x:row r="130">
      <x:c r="A130" t="str">
        <x:v>Bobby Portis</x:v>
      </x:c>
      <x:c r="B130" t="n">
        <x:v>125</x:v>
      </x:c>
      <x:c r="C130" t="str">
        <x:v>PF</x:v>
      </x:c>
      <x:c r="D130" t="n">
        <x:v>72</x:v>
      </x:c>
      <x:c r="E130" t="n">
        <x:v>0</x:v>
      </x:c>
      <x:c r="F130" t="n">
        <x:v>3.5</x:v>
      </x:c>
      <x:c r="G130" t="str">
        <x:v>DEEP</x:v>
      </x:c>
      <x:c r="H130"/>
      <x:c r="I130"/>
      <x:c r="J130" t="str">
        <x:v>Deep-board estimate</x:v>
      </x:c>
      <x:c r="K130" t="str">
        <x:v>Deep-board candidate for a 10-team league; custom-format estimate emphasizes role, efficiency and rebounding. Recheck camp role and app eligibility before draft day.</x:v>
      </x:c>
      <x:c r="L130" t="str">
        <x:v>https://www.fantasypros.com/nba/projections/overall.php</x:v>
      </x:c>
      <x:c r="M130" t="str">
        <x:v>https://ca.sports.yahoo.com/news/2026-27-fantasy-basketball-rankings-top-200-players-points-leagues-182942270.html</x:v>
      </x:c>
    </x:row>
    <x:row r="131">
      <x:c r="A131" t="str">
        <x:v>Gradey Dick</x:v>
      </x:c>
      <x:c r="B131" t="n">
        <x:v>126</x:v>
      </x:c>
      <x:c r="C131" t="str">
        <x:v>SG</x:v>
      </x:c>
      <x:c r="D131" t="n">
        <x:v>70</x:v>
      </x:c>
      <x:c r="E131" t="n">
        <x:v>0</x:v>
      </x:c>
      <x:c r="F131" t="n">
        <x:v>3.5</x:v>
      </x:c>
      <x:c r="G131" t="str">
        <x:v>DEEP</x:v>
      </x:c>
      <x:c r="H131"/>
      <x:c r="I131"/>
      <x:c r="J131" t="str">
        <x:v>Deep-board estimate</x:v>
      </x:c>
      <x:c r="K131" t="str">
        <x:v>Deep-board candidate for a 10-team league; custom-format estimate emphasizes role, efficiency and rebounding. Recheck camp role and app eligibility before draft day.</x:v>
      </x:c>
      <x:c r="L131" t="str">
        <x:v>https://ca.sports.yahoo.com/news/2026-27-fantasy-basketball-rankings-top-200-players-points-leagues-182942270.html</x:v>
      </x:c>
      <x:c r="M131" t="str">
        <x:v>https://ca.sports.yahoo.com/news/2026-27-fantasy-basketball-rankings-top-200-players-points-leagues-182942270.html</x:v>
      </x:c>
    </x:row>
    <x:row r="132">
      <x:c r="A132" t="str">
        <x:v>Jrue Holiday</x:v>
      </x:c>
      <x:c r="B132" t="n">
        <x:v>127</x:v>
      </x:c>
      <x:c r="C132" t="str">
        <x:v>PG</x:v>
      </x:c>
      <x:c r="D132" t="n">
        <x:v>70</x:v>
      </x:c>
      <x:c r="E132" t="n">
        <x:v>0</x:v>
      </x:c>
      <x:c r="F132" t="n">
        <x:v>3.5</x:v>
      </x:c>
      <x:c r="G132" t="str">
        <x:v>DEEP</x:v>
      </x:c>
      <x:c r="H132"/>
      <x:c r="I132"/>
      <x:c r="J132" t="str">
        <x:v>Deep-board estimate</x:v>
      </x:c>
      <x:c r="K132" t="str">
        <x:v>Deep-board candidate for a 10-team league; custom-format estimate emphasizes role, efficiency and rebounding. Recheck camp role and app eligibility before draft day.</x:v>
      </x:c>
      <x:c r="L132" t="str">
        <x:v>https://ca.sports.yahoo.com/news/2026-27-fantasy-basketball-rankings-top-200-players-points-leagues-182942270.html</x:v>
      </x:c>
      <x:c r="M132" t="str">
        <x:v>https://ca.sports.yahoo.com/news/2026-27-fantasy-basketball-rankings-top-200-players-points-leagues-182942270.html</x:v>
      </x:c>
    </x:row>
    <x:row r="133">
      <x:c r="A133" t="str">
        <x:v>T.J. McConnell</x:v>
      </x:c>
      <x:c r="B133" t="n">
        <x:v>128</x:v>
      </x:c>
      <x:c r="C133" t="str">
        <x:v>PG</x:v>
      </x:c>
      <x:c r="D133" t="n">
        <x:v>70</x:v>
      </x:c>
      <x:c r="E133" t="n">
        <x:v>0</x:v>
      </x:c>
      <x:c r="F133" t="n">
        <x:v>3.5</x:v>
      </x:c>
      <x:c r="G133" t="str">
        <x:v>DEEP</x:v>
      </x:c>
      <x:c r="H133"/>
      <x:c r="I133"/>
      <x:c r="J133" t="str">
        <x:v>Deep-board estimate</x:v>
      </x:c>
      <x:c r="K133" t="str">
        <x:v>Deep-board candidate for a 10-team league; custom-format estimate emphasizes role, efficiency and rebounding. Recheck camp role and app eligibility before draft day.</x:v>
      </x:c>
      <x:c r="L133" t="str">
        <x:v>https://ca.sports.yahoo.com/news/2026-27-fantasy-basketball-rankings-top-200-players-points-leagues-182942270.html</x:v>
      </x:c>
      <x:c r="M133" t="str">
        <x:v>https://ca.sports.yahoo.com/news/2026-27-fantasy-basketball-rankings-top-200-players-points-leagues-182942270.html</x:v>
      </x:c>
    </x:row>
    <x:row r="134">
      <x:c r="A134" t="str">
        <x:v>Jonathan Kuminga</x:v>
      </x:c>
      <x:c r="B134" t="n">
        <x:v>129</x:v>
      </x:c>
      <x:c r="C134" t="str">
        <x:v>PF</x:v>
      </x:c>
      <x:c r="D134" t="n">
        <x:v>72</x:v>
      </x:c>
      <x:c r="E134" t="n">
        <x:v>0</x:v>
      </x:c>
      <x:c r="F134" t="n">
        <x:v>3.5</x:v>
      </x:c>
      <x:c r="G134" t="str">
        <x:v>DEEP</x:v>
      </x:c>
      <x:c r="H134"/>
      <x:c r="I134"/>
      <x:c r="J134" t="str">
        <x:v>Deep-board estimate</x:v>
      </x:c>
      <x:c r="K134" t="str">
        <x:v>Deep-board candidate for a 10-team league; custom-format estimate emphasizes role, efficiency and rebounding. Recheck camp role and app eligibility before draft day.</x:v>
      </x:c>
      <x:c r="L134" t="str">
        <x:v>https://www.fantasypros.com/nba/projections/overall.php</x:v>
      </x:c>
      <x:c r="M134" t="str">
        <x:v>https://ca.sports.yahoo.com/news/2026-27-fantasy-basketball-rankings-top-200-players-points-leagues-182942270.html</x:v>
      </x:c>
    </x:row>
    <x:row r="135">
      <x:c r="A135" t="str">
        <x:v>Quentin Grimes</x:v>
      </x:c>
      <x:c r="B135" t="n">
        <x:v>130</x:v>
      </x:c>
      <x:c r="C135" t="str">
        <x:v>SG</x:v>
      </x:c>
      <x:c r="D135" t="n">
        <x:v>76</x:v>
      </x:c>
      <x:c r="E135" t="n">
        <x:v>0</x:v>
      </x:c>
      <x:c r="F135" t="n">
        <x:v>3.5</x:v>
      </x:c>
      <x:c r="G135" t="str">
        <x:v>DEEP</x:v>
      </x:c>
      <x:c r="H135"/>
      <x:c r="I135"/>
      <x:c r="J135" t="str">
        <x:v>Deep-board estimate</x:v>
      </x:c>
      <x:c r="K135" t="str">
        <x:v>Deep-board candidate for a 10-team league; custom-format estimate emphasizes role, efficiency and rebounding. Recheck camp role and app eligibility before draft day.</x:v>
      </x:c>
      <x:c r="L135" t="str">
        <x:v>https://www.fantasypros.com/nba/projections/overall.php</x:v>
      </x:c>
      <x:c r="M135" t="str">
        <x:v>https://ca.sports.yahoo.com/news/2026-27-fantasy-basketball-rankings-top-200-players-points-leagues-182942270.html</x:v>
      </x:c>
    </x:row>
    <x:row r="136">
      <x:c r="A136" t="str">
        <x:v>Myles Turner</x:v>
      </x:c>
      <x:c r="B136" t="n">
        <x:v>131</x:v>
      </x:c>
      <x:c r="C136" t="str">
        <x:v>C</x:v>
      </x:c>
      <x:c r="D136" t="n">
        <x:v>75</x:v>
      </x:c>
      <x:c r="E136" t="n">
        <x:v>0</x:v>
      </x:c>
      <x:c r="F136" t="n">
        <x:v>3.5</x:v>
      </x:c>
      <x:c r="G136" t="str">
        <x:v>STANDARD</x:v>
      </x:c>
      <x:c r="H136" t="n">
        <x:v>0.15126050420168066</x:v>
      </x:c>
      <x:c r="I136" t="n">
        <x:v>0.04089219330855019</x:v>
      </x:c>
      <x:c r="J136" t="str">
        <x:v>2025-26 rates</x:v>
      </x:c>
      <x:c r="K136" t="str">
        <x:v>Ware competes for center work; low block weighting limits his premium.</x:v>
      </x:c>
      <x:c r="L136" t="str">
        <x:v>https://www.fantasypros.com/nba/projections/overall.php</x:v>
      </x:c>
      <x:c r="M136" t="str">
        <x:v>https://basketball.realgm.com/nba/stats/2026/Averages/All/points/All/desc/1/Regular_Season</x:v>
      </x:c>
    </x:row>
    <x:row r="137">
      <x:c r="A137" t="str">
        <x:v>Ryan Rollins</x:v>
      </x:c>
      <x:c r="B137" t="n">
        <x:v>132</x:v>
      </x:c>
      <x:c r="C137" t="str">
        <x:v>PG</x:v>
      </x:c>
      <x:c r="D137" t="n">
        <x:v>73</x:v>
      </x:c>
      <x:c r="E137" t="n">
        <x:v>0</x:v>
      </x:c>
      <x:c r="F137" t="n">
        <x:v>3.5</x:v>
      </x:c>
      <x:c r="G137" t="str">
        <x:v>STANDARD</x:v>
      </x:c>
      <x:c r="H137" t="n">
        <x:v>0.09826589595375722</x:v>
      </x:c>
      <x:c r="I137" t="n">
        <x:v>0.021806853582554516</x:v>
      </x:c>
      <x:c r="J137" t="str">
        <x:v>2025-26 rates</x:v>
      </x:c>
      <x:c r="K137" t="str">
        <x:v>Milwaukee has added Herro; previous production is not a guaranteed starting point.</x:v>
      </x:c>
      <x:c r="L137" t="str">
        <x:v>https://www.nba.com/news/2026-27-season-preview-mil</x:v>
      </x:c>
      <x:c r="M137" t="str">
        <x:v>https://basketball.realgm.com/nba/stats/2026/Averages/All/points/All/desc/1/Regular_Season</x:v>
      </x:c>
    </x:row>
    <x:row r="138">
      <x:c r="A138" t="str">
        <x:v>Aaron Nesmith</x:v>
      </x:c>
      <x:c r="B138" t="n">
        <x:v>133</x:v>
      </x:c>
      <x:c r="C138" t="str">
        <x:v>SF</x:v>
      </x:c>
      <x:c r="D138" t="n">
        <x:v>71</x:v>
      </x:c>
      <x:c r="E138" t="n">
        <x:v>0</x:v>
      </x:c>
      <x:c r="F138" t="n">
        <x:v>3.5</x:v>
      </x:c>
      <x:c r="G138" t="str">
        <x:v>DEEP</x:v>
      </x:c>
      <x:c r="H138"/>
      <x:c r="I138"/>
      <x:c r="J138" t="str">
        <x:v>Deep-board estimate</x:v>
      </x:c>
      <x:c r="K138" t="str">
        <x:v>Deep-board candidate for a 10-team league; custom-format estimate emphasizes role, efficiency and rebounding. Recheck camp role and app eligibility before draft day.</x:v>
      </x:c>
      <x:c r="L138" t="str">
        <x:v>https://www.fantasypros.com/nba/projections/overall.php</x:v>
      </x:c>
      <x:c r="M138" t="str">
        <x:v>https://ca.sports.yahoo.com/news/2026-27-fantasy-basketball-rankings-top-200-players-points-leagues-182942270.html</x:v>
      </x:c>
    </x:row>
    <x:row r="139">
      <x:c r="A139" t="str">
        <x:v>Derik Queen</x:v>
      </x:c>
      <x:c r="B139" t="n">
        <x:v>134</x:v>
      </x:c>
      <x:c r="C139" t="str">
        <x:v>C</x:v>
      </x:c>
      <x:c r="D139" t="n">
        <x:v>70</x:v>
      </x:c>
      <x:c r="E139" t="n">
        <x:v>0</x:v>
      </x:c>
      <x:c r="F139" t="n">
        <x:v>3.5</x:v>
      </x:c>
      <x:c r="G139" t="str">
        <x:v>DEEP</x:v>
      </x:c>
      <x:c r="H139"/>
      <x:c r="I139"/>
      <x:c r="J139" t="str">
        <x:v>Deep-board estimate</x:v>
      </x:c>
      <x:c r="K139" t="str">
        <x:v>Deep-board candidate for a 10-team league; custom-format estimate emphasizes role, efficiency and rebounding. Recheck camp role and app eligibility before draft day.</x:v>
      </x:c>
      <x:c r="L139" t="str">
        <x:v>https://ca.sports.yahoo.com/news/2026-27-fantasy-basketball-rankings-top-200-players-points-leagues-182942270.html</x:v>
      </x:c>
      <x:c r="M139" t="str">
        <x:v>https://ca.sports.yahoo.com/news/2026-27-fantasy-basketball-rankings-top-200-players-points-leagues-182942270.html</x:v>
      </x:c>
    </x:row>
    <x:row r="140">
      <x:c r="A140" t="str">
        <x:v>Santi Aldama</x:v>
      </x:c>
      <x:c r="B140" t="n">
        <x:v>135</x:v>
      </x:c>
      <x:c r="C140" t="str">
        <x:v>PF</x:v>
      </x:c>
      <x:c r="D140" t="n">
        <x:v>70</x:v>
      </x:c>
      <x:c r="E140" t="n">
        <x:v>0</x:v>
      </x:c>
      <x:c r="F140" t="n">
        <x:v>3.5</x:v>
      </x:c>
      <x:c r="G140" t="str">
        <x:v>DEEP</x:v>
      </x:c>
      <x:c r="H140"/>
      <x:c r="I140"/>
      <x:c r="J140" t="str">
        <x:v>Deep-board estimate</x:v>
      </x:c>
      <x:c r="K140" t="str">
        <x:v>Deep-board candidate for a 10-team league; custom-format estimate emphasizes role, efficiency and rebounding. Recheck camp role and app eligibility before draft day.</x:v>
      </x:c>
      <x:c r="L140" t="str">
        <x:v>https://ca.sports.yahoo.com/news/2026-27-fantasy-basketball-rankings-top-200-players-points-leagues-182942270.html</x:v>
      </x:c>
      <x:c r="M140" t="str">
        <x:v>https://ca.sports.yahoo.com/news/2026-27-fantasy-basketball-rankings-top-200-players-points-leagues-182942270.html</x:v>
      </x:c>
    </x:row>
    <x:row r="141">
      <x:c r="A141" t="str">
        <x:v>Ausar Thompson</x:v>
      </x:c>
      <x:c r="B141" t="n">
        <x:v>136</x:v>
      </x:c>
      <x:c r="C141" t="str">
        <x:v>SF</x:v>
      </x:c>
      <x:c r="D141" t="n">
        <x:v>70</x:v>
      </x:c>
      <x:c r="E141" t="n">
        <x:v>0</x:v>
      </x:c>
      <x:c r="F141" t="n">
        <x:v>3.5</x:v>
      </x:c>
      <x:c r="G141" t="str">
        <x:v>DEEP</x:v>
      </x:c>
      <x:c r="H141"/>
      <x:c r="I141"/>
      <x:c r="J141" t="str">
        <x:v>Deep-board estimate</x:v>
      </x:c>
      <x:c r="K141" t="str">
        <x:v>Deep-board candidate for a 10-team league; custom-format estimate emphasizes role, efficiency and rebounding. Recheck camp role and app eligibility before draft day.</x:v>
      </x:c>
      <x:c r="L141" t="str">
        <x:v>https://ca.sports.yahoo.com/news/2026-27-fantasy-basketball-rankings-top-200-players-points-leagues-182942270.html</x:v>
      </x:c>
      <x:c r="M141" t="str">
        <x:v>https://ca.sports.yahoo.com/news/2026-27-fantasy-basketball-rankings-top-200-players-points-leagues-182942270.html</x:v>
      </x:c>
    </x:row>
    <x:row r="142">
      <x:c r="A142" t="str">
        <x:v>Ace Bailey</x:v>
      </x:c>
      <x:c r="B142" t="n">
        <x:v>137</x:v>
      </x:c>
      <x:c r="C142" t="str">
        <x:v>SF</x:v>
      </x:c>
      <x:c r="D142" t="n">
        <x:v>75</x:v>
      </x:c>
      <x:c r="E142" t="n">
        <x:v>0</x:v>
      </x:c>
      <x:c r="F142" t="n">
        <x:v>3.5</x:v>
      </x:c>
      <x:c r="G142" t="str">
        <x:v>DEEP</x:v>
      </x:c>
      <x:c r="H142"/>
      <x:c r="I142"/>
      <x:c r="J142" t="str">
        <x:v>Deep-board estimate</x:v>
      </x:c>
      <x:c r="K142" t="str">
        <x:v>Deep-board candidate for a 10-team league; custom-format estimate emphasizes role, efficiency and rebounding. Recheck camp role and app eligibility before draft day.</x:v>
      </x:c>
      <x:c r="L142" t="str">
        <x:v>https://www.fantasypros.com/nba/projections/overall.php</x:v>
      </x:c>
      <x:c r="M142" t="str">
        <x:v>https://ca.sports.yahoo.com/news/2026-27-fantasy-basketball-rankings-top-200-players-points-leagues-182942270.html</x:v>
      </x:c>
    </x:row>
    <x:row r="143">
      <x:c r="A143" t="str">
        <x:v>Tari Eason</x:v>
      </x:c>
      <x:c r="B143" t="n">
        <x:v>138</x:v>
      </x:c>
      <x:c r="C143" t="str">
        <x:v>SF</x:v>
      </x:c>
      <x:c r="D143" t="n">
        <x:v>70</x:v>
      </x:c>
      <x:c r="E143" t="n">
        <x:v>0</x:v>
      </x:c>
      <x:c r="F143" t="n">
        <x:v>3.5</x:v>
      </x:c>
      <x:c r="G143" t="str">
        <x:v>DEEP</x:v>
      </x:c>
      <x:c r="H143"/>
      <x:c r="I143"/>
      <x:c r="J143" t="str">
        <x:v>Deep-board estimate</x:v>
      </x:c>
      <x:c r="K143" t="str">
        <x:v>Deep-board candidate for a 10-team league; custom-format estimate emphasizes role, efficiency and rebounding. Recheck camp role and app eligibility before draft day.</x:v>
      </x:c>
      <x:c r="L143" t="str">
        <x:v>https://ca.sports.yahoo.com/news/2026-27-fantasy-basketball-rankings-top-200-players-points-leagues-182942270.html</x:v>
      </x:c>
      <x:c r="M143" t="str">
        <x:v>https://ca.sports.yahoo.com/news/2026-27-fantasy-basketball-rankings-top-200-players-points-leagues-182942270.html</x:v>
      </x:c>
    </x:row>
    <x:row r="144">
      <x:c r="A144" t="str">
        <x:v>Jerami Grant</x:v>
      </x:c>
      <x:c r="B144" t="n">
        <x:v>139</x:v>
      </x:c>
      <x:c r="C144" t="str">
        <x:v>PF</x:v>
      </x:c>
      <x:c r="D144" t="n">
        <x:v>73</x:v>
      </x:c>
      <x:c r="E144" t="n">
        <x:v>0</x:v>
      </x:c>
      <x:c r="F144" t="n">
        <x:v>3.5</x:v>
      </x:c>
      <x:c r="G144" t="str">
        <x:v>STANDARD</x:v>
      </x:c>
      <x:c r="H144" t="n">
        <x:v>0.24731182795698922</x:v>
      </x:c>
      <x:c r="I144" t="n">
        <x:v>0.03367003367003367</x:v>
      </x:c>
      <x:c r="J144" t="str">
        <x:v>2025-26 rates</x:v>
      </x:c>
      <x:c r="K144" t="str">
        <x:v>Memphis veteran role; useful only when price and minutes align.</x:v>
      </x:c>
      <x:c r="L144" t="str">
        <x:v>https://www.fantasypros.com/nba/projections/overall.php</x:v>
      </x:c>
      <x:c r="M144" t="str">
        <x:v>https://basketball.realgm.com/nba/stats/2026/Averages/All/points/All/desc/1/Regular_Season</x:v>
      </x:c>
    </x:row>
    <x:row r="145">
      <x:c r="A145" t="str">
        <x:v>Jaime Jaquez Jr.</x:v>
      </x:c>
      <x:c r="B145" t="n">
        <x:v>140</x:v>
      </x:c>
      <x:c r="C145" t="str">
        <x:v>SF</x:v>
      </x:c>
      <x:c r="D145" t="n">
        <x:v>76</x:v>
      </x:c>
      <x:c r="E145" t="n">
        <x:v>0</x:v>
      </x:c>
      <x:c r="F145" t="n">
        <x:v>3.5</x:v>
      </x:c>
      <x:c r="G145" t="str">
        <x:v>DEEP</x:v>
      </x:c>
      <x:c r="H145"/>
      <x:c r="I145"/>
      <x:c r="J145" t="str">
        <x:v>Deep-board estimate</x:v>
      </x:c>
      <x:c r="K145" t="str">
        <x:v>Deep-board candidate for a 10-team league; custom-format estimate emphasizes role, efficiency and rebounding. Recheck camp role and app eligibility before draft day.</x:v>
      </x:c>
      <x:c r="L145" t="str">
        <x:v>https://www.fantasypros.com/nba/projections/overall.php</x:v>
      </x:c>
      <x:c r="M145" t="str">
        <x:v>https://ca.sports.yahoo.com/news/2026-27-fantasy-basketball-rankings-top-200-players-points-leagues-182942270.html</x:v>
      </x:c>
    </x:row>
    <x:row r="146">
      <x:c r="A146" t="str">
        <x:v>Rui Hachimura</x:v>
      </x:c>
      <x:c r="B146" t="n">
        <x:v>141</x:v>
      </x:c>
      <x:c r="C146" t="str">
        <x:v>PF</x:v>
      </x:c>
      <x:c r="D146" t="n">
        <x:v>75</x:v>
      </x:c>
      <x:c r="E146" t="n">
        <x:v>0</x:v>
      </x:c>
      <x:c r="F146" t="n">
        <x:v>3.5</x:v>
      </x:c>
      <x:c r="G146" t="str">
        <x:v>DEEP</x:v>
      </x:c>
      <x:c r="H146"/>
      <x:c r="I146"/>
      <x:c r="J146" t="str">
        <x:v>Deep-board estimate</x:v>
      </x:c>
      <x:c r="K146" t="str">
        <x:v>Deep-board candidate for a 10-team league; custom-format estimate emphasizes role, efficiency and rebounding. Recheck camp role and app eligibility before draft day.</x:v>
      </x:c>
      <x:c r="L146" t="str">
        <x:v>https://www.fantasypros.com/nba/projections/overall.php</x:v>
      </x:c>
      <x:c r="M146" t="str">
        <x:v>https://ca.sports.yahoo.com/news/2026-27-fantasy-basketball-rankings-top-200-players-points-leagues-182942270.html</x:v>
      </x:c>
    </x:row>
    <x:row r="147">
      <x:c r="A147" t="str">
        <x:v>Collin Sexton</x:v>
      </x:c>
      <x:c r="B147" t="n">
        <x:v>142</x:v>
      </x:c>
      <x:c r="C147" t="str">
        <x:v>PG</x:v>
      </x:c>
      <x:c r="D147" t="n">
        <x:v>75</x:v>
      </x:c>
      <x:c r="E147" t="n">
        <x:v>0</x:v>
      </x:c>
      <x:c r="F147" t="n">
        <x:v>3.5</x:v>
      </x:c>
      <x:c r="G147" t="str">
        <x:v>DEEP</x:v>
      </x:c>
      <x:c r="H147"/>
      <x:c r="I147"/>
      <x:c r="J147" t="str">
        <x:v>Deep-board estimate</x:v>
      </x:c>
      <x:c r="K147" t="str">
        <x:v>Deep-board candidate for a 10-team league; custom-format estimate emphasizes role, efficiency and rebounding. Recheck camp role and app eligibility before draft day.</x:v>
      </x:c>
      <x:c r="L147" t="str">
        <x:v>https://www.fantasypros.com/nba/projections/overall.php</x:v>
      </x:c>
      <x:c r="M147" t="str">
        <x:v>https://ca.sports.yahoo.com/news/2026-27-fantasy-basketball-rankings-top-200-players-points-leagues-182942270.html</x:v>
      </x:c>
    </x:row>
    <x:row r="148">
      <x:c r="A148" t="str">
        <x:v>Tobias Harris</x:v>
      </x:c>
      <x:c r="B148" t="n">
        <x:v>143</x:v>
      </x:c>
      <x:c r="C148" t="str">
        <x:v>PF</x:v>
      </x:c>
      <x:c r="D148" t="n">
        <x:v>65</x:v>
      </x:c>
      <x:c r="E148" t="n">
        <x:v>0</x:v>
      </x:c>
      <x:c r="F148" t="n">
        <x:v>5.5</x:v>
      </x:c>
      <x:c r="G148" t="str">
        <x:v>MEDIUM</x:v>
      </x:c>
      <x:c r="H148"/>
      <x:c r="I148"/>
      <x:c r="J148" t="str">
        <x:v>Deep-board estimate</x:v>
      </x:c>
      <x:c r="K148" t="str">
        <x:v>Left calf strain; out for preseason and questionable for opening night.</x:v>
      </x:c>
      <x:c r="L148" t="str">
        <x:v>https://www.nba.com/news/spurs-harris-questionable-for-regular-season-opener-after-straining-left-calf-in-training-camp</x:v>
      </x:c>
      <x:c r="M148" t="str">
        <x:v>https://ca.sports.yahoo.com/news/2026-27-fantasy-basketball-rankings-top-200-players-points-leagues-182942270.html</x:v>
      </x:c>
    </x:row>
    <x:row r="149">
      <x:c r="A149" t="str">
        <x:v>Reed Sheppard</x:v>
      </x:c>
      <x:c r="B149" t="n">
        <x:v>144</x:v>
      </x:c>
      <x:c r="C149" t="str">
        <x:v>PG</x:v>
      </x:c>
      <x:c r="D149" t="n">
        <x:v>70</x:v>
      </x:c>
      <x:c r="E149" t="n">
        <x:v>0</x:v>
      </x:c>
      <x:c r="F149" t="n">
        <x:v>3.5</x:v>
      </x:c>
      <x:c r="G149" t="str">
        <x:v>DEEP</x:v>
      </x:c>
      <x:c r="H149"/>
      <x:c r="I149"/>
      <x:c r="J149" t="str">
        <x:v>Deep-board estimate</x:v>
      </x:c>
      <x:c r="K149" t="str">
        <x:v>Deep-board candidate for a 10-team league; custom-format estimate emphasizes role, efficiency and rebounding. Recheck camp role and app eligibility before draft day.</x:v>
      </x:c>
      <x:c r="L149" t="str">
        <x:v>https://ca.sports.yahoo.com/news/2026-27-fantasy-basketball-rankings-top-200-players-points-leagues-182942270.html</x:v>
      </x:c>
      <x:c r="M149" t="str">
        <x:v>https://ca.sports.yahoo.com/news/2026-27-fantasy-basketball-rankings-top-200-players-points-leagues-182942270.html</x:v>
      </x:c>
    </x:row>
    <x:row r="150">
      <x:c r="A150" t="str">
        <x:v>Bennedict Mathurin</x:v>
      </x:c>
      <x:c r="B150" t="n">
        <x:v>145</x:v>
      </x:c>
      <x:c r="C150" t="str">
        <x:v>SG</x:v>
      </x:c>
      <x:c r="D150" t="n">
        <x:v>73</x:v>
      </x:c>
      <x:c r="E150" t="n">
        <x:v>0</x:v>
      </x:c>
      <x:c r="F150" t="n">
        <x:v>3.5</x:v>
      </x:c>
      <x:c r="G150" t="str">
        <x:v>STANDARD</x:v>
      </x:c>
      <x:c r="H150" t="n">
        <x:v>0.3068181818181818</x:v>
      </x:c>
      <x:c r="I150" t="n">
        <x:v>0.03333333333333333</x:v>
      </x:c>
      <x:c r="J150" t="str">
        <x:v>2025-26 rates</x:v>
      </x:c>
      <x:c r="K150" t="str">
        <x:v>Late scoring-wing option; efficiency and role will determine relevance.</x:v>
      </x:c>
      <x:c r="L150" t="str">
        <x:v>https://www.fantasypros.com/nba/projections/overall.php</x:v>
      </x:c>
      <x:c r="M150" t="str">
        <x:v>https://basketball.realgm.com/nba/stats/2026/Averages/All/points/All/desc/1/Regular_Season</x:v>
      </x:c>
    </x:row>
    <x:row r="151">
      <x:c r="A151" t="str">
        <x:v>Toumani Camara</x:v>
      </x:c>
      <x:c r="B151" t="n">
        <x:v>146</x:v>
      </x:c>
      <x:c r="C151" t="str">
        <x:v>SF</x:v>
      </x:c>
      <x:c r="D151" t="n">
        <x:v>70</x:v>
      </x:c>
      <x:c r="E151" t="n">
        <x:v>0</x:v>
      </x:c>
      <x:c r="F151" t="n">
        <x:v>3.5</x:v>
      </x:c>
      <x:c r="G151" t="str">
        <x:v>DEEP</x:v>
      </x:c>
      <x:c r="H151"/>
      <x:c r="I151"/>
      <x:c r="J151" t="str">
        <x:v>Deep-board estimate</x:v>
      </x:c>
      <x:c r="K151" t="str">
        <x:v>Deep-board candidate for a 10-team league; custom-format estimate emphasizes role, efficiency and rebounding. Recheck camp role and app eligibility before draft day.</x:v>
      </x:c>
      <x:c r="L151" t="str">
        <x:v>https://ca.sports.yahoo.com/news/2026-27-fantasy-basketball-rankings-top-200-players-points-leagues-182942270.html</x:v>
      </x:c>
      <x:c r="M151" t="str">
        <x:v>https://ca.sports.yahoo.com/news/2026-27-fantasy-basketball-rankings-top-200-players-points-leagues-182942270.html</x:v>
      </x:c>
    </x:row>
    <x:row r="152">
      <x:c r="A152" t="str">
        <x:v>Devin Vassell</x:v>
      </x:c>
      <x:c r="B152" t="n">
        <x:v>147</x:v>
      </x:c>
      <x:c r="C152" t="str">
        <x:v>SG</x:v>
      </x:c>
      <x:c r="D152" t="n">
        <x:v>74</x:v>
      </x:c>
      <x:c r="E152" t="n">
        <x:v>0</x:v>
      </x:c>
      <x:c r="F152" t="n">
        <x:v>3.5</x:v>
      </x:c>
      <x:c r="G152" t="str">
        <x:v>DEEP</x:v>
      </x:c>
      <x:c r="H152"/>
      <x:c r="I152"/>
      <x:c r="J152" t="str">
        <x:v>Deep-board estimate</x:v>
      </x:c>
      <x:c r="K152" t="str">
        <x:v>Deep-board candidate for a 10-team league; custom-format estimate emphasizes role, efficiency and rebounding. Recheck camp role and app eligibility before draft day.</x:v>
      </x:c>
      <x:c r="L152" t="str">
        <x:v>https://www.fantasypros.com/nba/projections/overall.php</x:v>
      </x:c>
      <x:c r="M152" t="str">
        <x:v>https://ca.sports.yahoo.com/news/2026-27-fantasy-basketball-rankings-top-200-players-points-leagues-182942270.html</x:v>
      </x:c>
    </x:row>
    <x:row r="153">
      <x:c r="A153" t="str">
        <x:v>Chris Boucher</x:v>
      </x:c>
      <x:c r="B153" t="n">
        <x:v>148</x:v>
      </x:c>
      <x:c r="C153" t="str">
        <x:v>PF</x:v>
      </x:c>
      <x:c r="D153" t="n">
        <x:v>70</x:v>
      </x:c>
      <x:c r="E153" t="n">
        <x:v>0</x:v>
      </x:c>
      <x:c r="F153" t="n">
        <x:v>3.5</x:v>
      </x:c>
      <x:c r="G153" t="str">
        <x:v>DEEP</x:v>
      </x:c>
      <x:c r="H153"/>
      <x:c r="I153"/>
      <x:c r="J153" t="str">
        <x:v>Deep-board estimate</x:v>
      </x:c>
      <x:c r="K153" t="str">
        <x:v>Deep-board candidate for a 10-team league; custom-format estimate emphasizes role, efficiency and rebounding. Recheck camp role and app eligibility before draft day.</x:v>
      </x:c>
      <x:c r="L153" t="str">
        <x:v>https://ca.sports.yahoo.com/news/2026-27-fantasy-basketball-rankings-top-200-players-points-leagues-182942270.html</x:v>
      </x:c>
      <x:c r="M153" t="str">
        <x:v>https://ca.sports.yahoo.com/news/2026-27-fantasy-basketball-rankings-top-200-players-points-leagues-182942270.html</x:v>
      </x:c>
    </x:row>
    <x:row r="154">
      <x:c r="A154" t="str">
        <x:v>Herbert Jones</x:v>
      </x:c>
      <x:c r="B154" t="n">
        <x:v>149</x:v>
      </x:c>
      <x:c r="C154" t="str">
        <x:v>SF</x:v>
      </x:c>
      <x:c r="D154" t="n">
        <x:v>70</x:v>
      </x:c>
      <x:c r="E154" t="n">
        <x:v>0</x:v>
      </x:c>
      <x:c r="F154" t="n">
        <x:v>3.5</x:v>
      </x:c>
      <x:c r="G154" t="str">
        <x:v>DEEP</x:v>
      </x:c>
      <x:c r="H154"/>
      <x:c r="I154"/>
      <x:c r="J154" t="str">
        <x:v>Deep-board estimate</x:v>
      </x:c>
      <x:c r="K154" t="str">
        <x:v>Deep-board candidate for a 10-team league; custom-format estimate emphasizes role, efficiency and rebounding. Recheck camp role and app eligibility before draft day.</x:v>
      </x:c>
      <x:c r="L154" t="str">
        <x:v>https://ca.sports.yahoo.com/news/2026-27-fantasy-basketball-rankings-top-200-players-points-leagues-182942270.html</x:v>
      </x:c>
      <x:c r="M154" t="str">
        <x:v>https://ca.sports.yahoo.com/news/2026-27-fantasy-basketball-rankings-top-200-players-points-leagues-182942270.html</x:v>
      </x:c>
    </x:row>
    <x:row r="155">
      <x:c r="A155" t="str">
        <x:v>Kevin Porter Jr.</x:v>
      </x:c>
      <x:c r="B155" t="n">
        <x:v>150</x:v>
      </x:c>
      <x:c r="C155" t="str">
        <x:v>PG</x:v>
      </x:c>
      <x:c r="D155" t="n">
        <x:v>72</x:v>
      </x:c>
      <x:c r="E155" t="n">
        <x:v>0</x:v>
      </x:c>
      <x:c r="F155" t="n">
        <x:v>3.5</x:v>
      </x:c>
      <x:c r="G155" t="str">
        <x:v>STANDARD</x:v>
      </x:c>
      <x:c r="H155" t="n">
        <x:v>0.20689655172413796</x:v>
      </x:c>
      <x:c r="I155" t="n">
        <x:v>0.027108433734939756</x:v>
      </x:c>
      <x:c r="J155" t="str">
        <x:v>2025-26 rates</x:v>
      </x:c>
      <x:c r="K155" t="str">
        <x:v>Milwaukee role and touches look less secure; large projected decline warrants caution.</x:v>
      </x:c>
      <x:c r="L155" t="str">
        <x:v>https://www.nba.com/news/2026-27-season-preview-mil</x:v>
      </x:c>
      <x:c r="M155" t="str">
        <x:v>https://basketball.realgm.com/nba/stats/2026/Averages/All/points/All/desc/1/Regular_Season</x:v>
      </x:c>
    </x:row>
    <x:row r="156">
      <x:c r="A156" t="str">
        <x:v>Nique Clifford</x:v>
      </x:c>
      <x:c r="B156" t="n">
        <x:v>151</x:v>
      </x:c>
      <x:c r="C156" t="str">
        <x:v>SG</x:v>
      </x:c>
      <x:c r="D156" t="n">
        <x:v>70</x:v>
      </x:c>
      <x:c r="E156" t="n">
        <x:v>0</x:v>
      </x:c>
      <x:c r="F156" t="n">
        <x:v>3.5</x:v>
      </x:c>
      <x:c r="G156" t="str">
        <x:v>DEEP</x:v>
      </x:c>
      <x:c r="H156"/>
      <x:c r="I156"/>
      <x:c r="J156" t="str">
        <x:v>Deep-board estimate</x:v>
      </x:c>
      <x:c r="K156" t="str">
        <x:v>Deep-board candidate for a 10-team league; custom-format estimate emphasizes role, efficiency and rebounding. Recheck camp role and app eligibility before draft day.</x:v>
      </x:c>
      <x:c r="L156" t="str">
        <x:v>https://ca.sports.yahoo.com/news/2026-27-fantasy-basketball-rankings-top-200-players-points-leagues-182942270.html</x:v>
      </x:c>
      <x:c r="M156" t="str">
        <x:v>https://ca.sports.yahoo.com/news/2026-27-fantasy-basketball-rankings-top-200-players-points-leagues-182942270.html</x:v>
      </x:c>
    </x:row>
    <x:row r="157">
      <x:c r="A157" t="str">
        <x:v>Isaiah Collier</x:v>
      </x:c>
      <x:c r="B157" t="n">
        <x:v>152</x:v>
      </x:c>
      <x:c r="C157" t="str">
        <x:v>PG</x:v>
      </x:c>
      <x:c r="D157" t="n">
        <x:v>70</x:v>
      </x:c>
      <x:c r="E157" t="n">
        <x:v>0</x:v>
      </x:c>
      <x:c r="F157" t="n">
        <x:v>3.5</x:v>
      </x:c>
      <x:c r="G157" t="str">
        <x:v>DEEP</x:v>
      </x:c>
      <x:c r="H157"/>
      <x:c r="I157"/>
      <x:c r="J157" t="str">
        <x:v>Deep-board estimate</x:v>
      </x:c>
      <x:c r="K157" t="str">
        <x:v>Deep-board candidate for a 10-team league; custom-format estimate emphasizes role, efficiency and rebounding. Recheck camp role and app eligibility before draft day.</x:v>
      </x:c>
      <x:c r="L157" t="str">
        <x:v>https://ca.sports.yahoo.com/news/2026-27-fantasy-basketball-rankings-top-200-players-points-leagues-182942270.html</x:v>
      </x:c>
      <x:c r="M157" t="str">
        <x:v>https://ca.sports.yahoo.com/news/2026-27-fantasy-basketball-rankings-top-200-players-points-leagues-182942270.html</x:v>
      </x:c>
    </x:row>
    <x:row r="158">
      <x:c r="A158" t="str">
        <x:v>Kyshawn George</x:v>
      </x:c>
      <x:c r="B158" t="n">
        <x:v>153</x:v>
      </x:c>
      <x:c r="C158" t="str">
        <x:v>SG</x:v>
      </x:c>
      <x:c r="D158" t="n">
        <x:v>72</x:v>
      </x:c>
      <x:c r="E158" t="n">
        <x:v>0</x:v>
      </x:c>
      <x:c r="F158" t="n">
        <x:v>4.424999999999999</x:v>
      </x:c>
      <x:c r="G158" t="str">
        <x:v>DEEP</x:v>
      </x:c>
      <x:c r="H158"/>
      <x:c r="I158"/>
      <x:c r="J158" t="str">
        <x:v>2025-26 custom-score + role shrink</x:v>
      </x:c>
      <x:c r="K158" t="str">
        <x:v>Deep-pool model: 2025-26 custom-score production shrunk toward a conservative 2026-27 role estimate; not a published projection.</x:v>
      </x:c>
      <x:c r="L158" t="str">
        <x:v>https://www.fantasypros.com/nba/projections/overall.php</x:v>
      </x:c>
      <x:c r="M158" t="str">
        <x:v>https://github.com/ballacademy/NBA-head-to-head-/blob/5b1decfc31ffb645469c7ffbd01aaca4b18181bd/data/nba-stats/nba-player-stats-202526-regular-season-per-game.csv</x:v>
      </x:c>
    </x:row>
    <x:row r="159">
      <x:c r="A159" t="str">
        <x:v>Corey Kispert</x:v>
      </x:c>
      <x:c r="B159" t="n">
        <x:v>154</x:v>
      </x:c>
      <x:c r="C159" t="str">
        <x:v>SF</x:v>
      </x:c>
      <x:c r="D159" t="n">
        <x:v>70</x:v>
      </x:c>
      <x:c r="E159" t="n">
        <x:v>0</x:v>
      </x:c>
      <x:c r="F159" t="n">
        <x:v>3.5</x:v>
      </x:c>
      <x:c r="G159" t="str">
        <x:v>DEEP</x:v>
      </x:c>
      <x:c r="H159"/>
      <x:c r="I159"/>
      <x:c r="J159" t="str">
        <x:v>Deep-board estimate</x:v>
      </x:c>
      <x:c r="K159" t="str">
        <x:v>Deep-board candidate for a 10-team league; custom-format estimate emphasizes role, efficiency and rebounding. Recheck camp role and app eligibility before draft day.</x:v>
      </x:c>
      <x:c r="L159" t="str">
        <x:v>https://ca.sports.yahoo.com/news/2026-27-fantasy-basketball-rankings-top-200-players-points-leagues-182942270.html</x:v>
      </x:c>
      <x:c r="M159" t="str">
        <x:v>https://ca.sports.yahoo.com/news/2026-27-fantasy-basketball-rankings-top-200-players-points-leagues-182942270.html</x:v>
      </x:c>
    </x:row>
    <x:row r="160">
      <x:c r="A160" t="str">
        <x:v>Davion Mitchell</x:v>
      </x:c>
      <x:c r="B160" t="n">
        <x:v>155</x:v>
      </x:c>
      <x:c r="C160" t="str">
        <x:v>PG</x:v>
      </x:c>
      <x:c r="D160" t="n">
        <x:v>70</x:v>
      </x:c>
      <x:c r="E160" t="n">
        <x:v>0</x:v>
      </x:c>
      <x:c r="F160" t="n">
        <x:v>3.5</x:v>
      </x:c>
      <x:c r="G160" t="str">
        <x:v>DEEP</x:v>
      </x:c>
      <x:c r="H160"/>
      <x:c r="I160"/>
      <x:c r="J160" t="str">
        <x:v>Deep-board estimate</x:v>
      </x:c>
      <x:c r="K160" t="str">
        <x:v>Deep-board candidate for a 10-team league; custom-format estimate emphasizes role, efficiency and rebounding. Recheck camp role and app eligibility before draft day.</x:v>
      </x:c>
      <x:c r="L160" t="str">
        <x:v>https://ca.sports.yahoo.com/news/2026-27-fantasy-basketball-rankings-top-200-players-points-leagues-182942270.html</x:v>
      </x:c>
      <x:c r="M160" t="str">
        <x:v>https://ca.sports.yahoo.com/news/2026-27-fantasy-basketball-rankings-top-200-players-points-leagues-182942270.html</x:v>
      </x:c>
    </x:row>
    <x:row r="161">
      <x:c r="A161" t="str">
        <x:v>Egor Demin</x:v>
      </x:c>
      <x:c r="B161" t="n">
        <x:v>156</x:v>
      </x:c>
      <x:c r="C161" t="str">
        <x:v>PG</x:v>
      </x:c>
      <x:c r="D161" t="n">
        <x:v>75</x:v>
      </x:c>
      <x:c r="E161" t="n">
        <x:v>0</x:v>
      </x:c>
      <x:c r="F161" t="n">
        <x:v>3.5</x:v>
      </x:c>
      <x:c r="G161" t="str">
        <x:v>DEEP</x:v>
      </x:c>
      <x:c r="H161"/>
      <x:c r="I161"/>
      <x:c r="J161" t="str">
        <x:v>Deep-board estimate</x:v>
      </x:c>
      <x:c r="K161" t="str">
        <x:v>Deep-board candidate for a 10-team league; custom-format estimate emphasizes role, efficiency and rebounding. Recheck camp role and app eligibility before draft day.</x:v>
      </x:c>
      <x:c r="L161" t="str">
        <x:v>https://www.fantasypros.com/nba/projections/overall.php</x:v>
      </x:c>
      <x:c r="M161" t="str">
        <x:v>https://ca.sports.yahoo.com/news/2026-27-fantasy-basketball-rankings-top-200-players-points-leagues-182942270.html</x:v>
      </x:c>
    </x:row>
    <x:row r="162">
      <x:c r="A162" t="str">
        <x:v>Ajay Mitchell</x:v>
      </x:c>
      <x:c r="B162" t="n">
        <x:v>157</x:v>
      </x:c>
      <x:c r="C162" t="str">
        <x:v>PG</x:v>
      </x:c>
      <x:c r="D162" t="n">
        <x:v>70</x:v>
      </x:c>
      <x:c r="E162" t="n">
        <x:v>0</x:v>
      </x:c>
      <x:c r="F162" t="n">
        <x:v>3.5</x:v>
      </x:c>
      <x:c r="G162" t="str">
        <x:v>DEEP</x:v>
      </x:c>
      <x:c r="H162"/>
      <x:c r="I162"/>
      <x:c r="J162" t="str">
        <x:v>Deep-board estimate</x:v>
      </x:c>
      <x:c r="K162" t="str">
        <x:v>Deep-board candidate for a 10-team league; custom-format estimate emphasizes role, efficiency and rebounding. Recheck camp role and app eligibility before draft day.</x:v>
      </x:c>
      <x:c r="L162" t="str">
        <x:v>https://ca.sports.yahoo.com/news/2026-27-fantasy-basketball-rankings-top-200-players-points-leagues-182942270.html</x:v>
      </x:c>
      <x:c r="M162" t="str">
        <x:v>https://ca.sports.yahoo.com/news/2026-27-fantasy-basketball-rankings-top-200-players-points-leagues-182942270.html</x:v>
      </x:c>
    </x:row>
    <x:row r="163">
      <x:c r="A163" t="str">
        <x:v>Tre Jones</x:v>
      </x:c>
      <x:c r="B163" t="n">
        <x:v>158</x:v>
      </x:c>
      <x:c r="C163" t="str">
        <x:v>PG</x:v>
      </x:c>
      <x:c r="D163" t="n">
        <x:v>60</x:v>
      </x:c>
      <x:c r="E163" t="n">
        <x:v>0</x:v>
      </x:c>
      <x:c r="F163" t="n">
        <x:v>4.664999999999999</x:v>
      </x:c>
      <x:c r="G163" t="str">
        <x:v>DEEP</x:v>
      </x:c>
      <x:c r="H163"/>
      <x:c r="I163"/>
      <x:c r="J163" t="str">
        <x:v>2025-26 custom-score + role shrink</x:v>
      </x:c>
      <x:c r="K163" t="str">
        <x:v>Deep-pool model: 2025-26 custom-score production shrunk toward a conservative 2026-27 role estimate; not a published projection.</x:v>
      </x:c>
      <x:c r="L163" t="str">
        <x:v>https://github.com/plourr03/wolves-front-office/blob/5d152a169188fb9b210186a7a0d3403d4081ed38/kuminga/data/roster_snapshot_2026_27_v3.csv</x:v>
      </x:c>
      <x:c r="M163" t="str">
        <x:v>https://github.com/ballacademy/NBA-head-to-head-/blob/5b1decfc31ffb645469c7ffbd01aaca4b18181bd/data/nba-stats/nba-player-stats-202526-regular-season-per-game.csv</x:v>
      </x:c>
    </x:row>
    <x:row r="164">
      <x:c r="A164" t="str">
        <x:v>Jaylen Wells</x:v>
      </x:c>
      <x:c r="B164" t="n">
        <x:v>159</x:v>
      </x:c>
      <x:c r="C164" t="str">
        <x:v>SF</x:v>
      </x:c>
      <x:c r="D164" t="n">
        <x:v>70</x:v>
      </x:c>
      <x:c r="E164" t="n">
        <x:v>0</x:v>
      </x:c>
      <x:c r="F164" t="n">
        <x:v>3.5</x:v>
      </x:c>
      <x:c r="G164" t="str">
        <x:v>DEEP</x:v>
      </x:c>
      <x:c r="H164"/>
      <x:c r="I164"/>
      <x:c r="J164" t="str">
        <x:v>Deep-board estimate</x:v>
      </x:c>
      <x:c r="K164" t="str">
        <x:v>Deep-board candidate for a 10-team league; custom-format estimate emphasizes role, efficiency and rebounding. Recheck camp role and app eligibility before draft day.</x:v>
      </x:c>
      <x:c r="L164" t="str">
        <x:v>https://ca.sports.yahoo.com/news/2026-27-fantasy-basketball-rankings-top-200-players-points-leagues-182942270.html</x:v>
      </x:c>
      <x:c r="M164" t="str">
        <x:v>https://ca.sports.yahoo.com/news/2026-27-fantasy-basketball-rankings-top-200-players-points-leagues-182942270.html</x:v>
      </x:c>
    </x:row>
    <x:row r="165">
      <x:c r="A165" t="str">
        <x:v>Wendell Carter Jr.</x:v>
      </x:c>
      <x:c r="B165" t="n">
        <x:v>160</x:v>
      </x:c>
      <x:c r="C165" t="str">
        <x:v>C</x:v>
      </x:c>
      <x:c r="D165" t="n">
        <x:v>60</x:v>
      </x:c>
      <x:c r="E165" t="n">
        <x:v>0</x:v>
      </x:c>
      <x:c r="F165" t="n">
        <x:v>4.6</x:v>
      </x:c>
      <x:c r="G165" t="str">
        <x:v>DEEP</x:v>
      </x:c>
      <x:c r="H165"/>
      <x:c r="I165"/>
      <x:c r="J165" t="str">
        <x:v>2025-26 custom-score + role shrink</x:v>
      </x:c>
      <x:c r="K165" t="str">
        <x:v>Deep-pool model: 2025-26 custom-score production shrunk toward a conservative 2026-27 role estimate; not a published projection.</x:v>
      </x:c>
      <x:c r="L165" t="str">
        <x:v>https://github.com/plourr03/wolves-front-office/blob/5d152a169188fb9b210186a7a0d3403d4081ed38/kuminga/data/roster_snapshot_2026_27_v3.csv</x:v>
      </x:c>
      <x:c r="M165" t="str">
        <x:v>https://github.com/ballacademy/NBA-head-to-head-/blob/5b1decfc31ffb645469c7ffbd01aaca4b18181bd/data/nba-stats/nba-player-stats-202526-regular-season-per-game.csv</x:v>
      </x:c>
    </x:row>
    <x:row r="166">
      <x:c r="A166" t="str">
        <x:v>Keaton Wagler</x:v>
      </x:c>
      <x:c r="B166" t="n">
        <x:v>161</x:v>
      </x:c>
      <x:c r="C166" t="str">
        <x:v>SG</x:v>
      </x:c>
      <x:c r="D166" t="n">
        <x:v>74</x:v>
      </x:c>
      <x:c r="E166" t="n">
        <x:v>0</x:v>
      </x:c>
      <x:c r="F166" t="n">
        <x:v>4.835</x:v>
      </x:c>
      <x:c r="G166" t="str">
        <x:v>VERY_DEEP</x:v>
      </x:c>
      <x:c r="H166"/>
      <x:c r="I166"/>
      <x:c r="J166" t="str">
        <x:v>Rookie/depth role estimate</x:v>
      </x:c>
      <x:c r="K166" t="str">
        <x:v>Rookie/depth role estimate with a wide band and limited NBA evidence. Treat as a watch-list projection, not a published forecast.</x:v>
      </x:c>
      <x:c r="L166" t="str">
        <x:v>https://www.fantasypros.com/nba/projections/overall.php</x:v>
      </x:c>
      <x:c r="M166" t="str">
        <x:v>https://github.com/ballacademy/NBA-head-to-head-/blob/5b1decfc31ffb645469c7ffbd01aaca4b18181bd/data/nba-stats/nba-player-stats-202526-regular-season-per-game.csv</x:v>
      </x:c>
    </x:row>
    <x:row r="167">
      <x:c r="A167" t="str">
        <x:v>Sam Hauser</x:v>
      </x:c>
      <x:c r="B167" t="n">
        <x:v>162</x:v>
      </x:c>
      <x:c r="C167" t="str">
        <x:v>SF</x:v>
      </x:c>
      <x:c r="D167" t="n">
        <x:v>70</x:v>
      </x:c>
      <x:c r="E167" t="n">
        <x:v>0</x:v>
      </x:c>
      <x:c r="F167" t="n">
        <x:v>3.5</x:v>
      </x:c>
      <x:c r="G167" t="str">
        <x:v>DEEP</x:v>
      </x:c>
      <x:c r="H167"/>
      <x:c r="I167"/>
      <x:c r="J167" t="str">
        <x:v>Deep-board estimate</x:v>
      </x:c>
      <x:c r="K167" t="str">
        <x:v>Deep-board candidate for a 10-team league; custom-format estimate emphasizes role, efficiency and rebounding. Recheck camp role and app eligibility before draft day.</x:v>
      </x:c>
      <x:c r="L167" t="str">
        <x:v>https://ca.sports.yahoo.com/news/2026-27-fantasy-basketball-rankings-top-200-players-points-leagues-182942270.html</x:v>
      </x:c>
      <x:c r="M167" t="str">
        <x:v>https://ca.sports.yahoo.com/news/2026-27-fantasy-basketball-rankings-top-200-players-points-leagues-182942270.html</x:v>
      </x:c>
    </x:row>
    <x:row r="168">
      <x:c r="A168" t="str">
        <x:v>Jeremiah Fears</x:v>
      </x:c>
      <x:c r="B168" t="n">
        <x:v>163</x:v>
      </x:c>
      <x:c r="C168" t="str">
        <x:v>PG</x:v>
      </x:c>
      <x:c r="D168" t="n">
        <x:v>78</x:v>
      </x:c>
      <x:c r="E168" t="n">
        <x:v>0</x:v>
      </x:c>
      <x:c r="F168" t="n">
        <x:v>3.5</x:v>
      </x:c>
      <x:c r="G168" t="str">
        <x:v>DEEP</x:v>
      </x:c>
      <x:c r="H168"/>
      <x:c r="I168"/>
      <x:c r="J168" t="str">
        <x:v>Deep-board estimate</x:v>
      </x:c>
      <x:c r="K168" t="str">
        <x:v>Deep-board candidate for a 10-team league; custom-format estimate emphasizes role, efficiency and rebounding. Recheck camp role and app eligibility before draft day.</x:v>
      </x:c>
      <x:c r="L168" t="str">
        <x:v>https://www.fantasypros.com/nba/projections/overall.php</x:v>
      </x:c>
      <x:c r="M168" t="str">
        <x:v>https://ca.sports.yahoo.com/news/2026-27-fantasy-basketball-rankings-top-200-players-points-leagues-182942270.html</x:v>
      </x:c>
    </x:row>
    <x:row r="169">
      <x:c r="A169" t="str">
        <x:v>Kevin Huerter</x:v>
      </x:c>
      <x:c r="B169" t="n">
        <x:v>164</x:v>
      </x:c>
      <x:c r="C169" t="str">
        <x:v>SG</x:v>
      </x:c>
      <x:c r="D169" t="n">
        <x:v>70</x:v>
      </x:c>
      <x:c r="E169" t="n">
        <x:v>0</x:v>
      </x:c>
      <x:c r="F169" t="n">
        <x:v>3.5</x:v>
      </x:c>
      <x:c r="G169" t="str">
        <x:v>DEEP</x:v>
      </x:c>
      <x:c r="H169"/>
      <x:c r="I169"/>
      <x:c r="J169" t="str">
        <x:v>Deep-board estimate</x:v>
      </x:c>
      <x:c r="K169" t="str">
        <x:v>Deep-board candidate for a 10-team league; custom-format estimate emphasizes role, efficiency and rebounding. Recheck camp role and app eligibility before draft day.</x:v>
      </x:c>
      <x:c r="L169" t="str">
        <x:v>https://ca.sports.yahoo.com/news/2026-27-fantasy-basketball-rankings-top-200-players-points-leagues-182942270.html</x:v>
      </x:c>
      <x:c r="M169" t="str">
        <x:v>https://ca.sports.yahoo.com/news/2026-27-fantasy-basketball-rankings-top-200-players-points-leagues-182942270.html</x:v>
      </x:c>
    </x:row>
    <x:row r="170">
      <x:c r="A170" t="str">
        <x:v>De'Andre Hunter</x:v>
      </x:c>
      <x:c r="B170" t="n">
        <x:v>165</x:v>
      </x:c>
      <x:c r="C170" t="str">
        <x:v>SF</x:v>
      </x:c>
      <x:c r="D170" t="n">
        <x:v>68</x:v>
      </x:c>
      <x:c r="E170" t="n">
        <x:v>0</x:v>
      </x:c>
      <x:c r="F170" t="n">
        <x:v>5.5</x:v>
      </x:c>
      <x:c r="G170" t="str">
        <x:v>MEDIUM</x:v>
      </x:c>
      <x:c r="H170"/>
      <x:c r="I170"/>
      <x:c r="J170" t="str">
        <x:v>Deep-board estimate</x:v>
      </x:c>
      <x:c r="K170" t="str">
        <x:v>Current public projection feed flags him OUT. Apply a modest short-term availability discount until status clears.</x:v>
      </x:c>
      <x:c r="L170" t="str">
        <x:v>https://www.fantasypros.com/nba/projections/overall.php</x:v>
      </x:c>
      <x:c r="M170" t="str">
        <x:v>https://ca.sports.yahoo.com/news/2026-27-fantasy-basketball-rankings-top-200-players-points-leagues-182942270.html</x:v>
      </x:c>
    </x:row>
    <x:row r="171">
      <x:c r="A171" t="str">
        <x:v>Jimmy Butler</x:v>
      </x:c>
      <x:c r="B171" t="n">
        <x:v>166</x:v>
      </x:c>
      <x:c r="C171" t="str">
        <x:v>SF</x:v>
      </x:c>
      <x:c r="D171" t="n">
        <x:v>28</x:v>
      </x:c>
      <x:c r="E171" t="n">
        <x:v>0</x:v>
      </x:c>
      <x:c r="F171" t="n">
        <x:v>8</x:v>
      </x:c>
      <x:c r="G171" t="str">
        <x:v>HIGH</x:v>
      </x:c>
      <x:c r="H171" t="n">
        <x:v>0.325</x:v>
      </x:c>
      <x:c r="I171" t="n">
        <x:v>0.07395498392282958</x:v>
      </x:c>
      <x:c r="J171" t="str">
        <x:v>2025-26 rates</x:v>
      </x:c>
      <x:c r="K171" t="str">
        <x:v>ACL rehab; current reporting points to a January-February return window. IR stash only at a deep discount.</x:v>
      </x:c>
      <x:c r="L171" t="str">
        <x:v>https://www.nba.com/news/2026-27-season-preview-gsw</x:v>
      </x:c>
      <x:c r="M171" t="str">
        <x:v>https://basketball.realgm.com/nba/stats/2026/Averages/All/points/All/desc/1/Regular_Season</x:v>
      </x:c>
    </x:row>
    <x:row r="172">
      <x:c r="A172" t="str">
        <x:v>Moussa Diabate</x:v>
      </x:c>
      <x:c r="B172" t="n">
        <x:v>167</x:v>
      </x:c>
      <x:c r="C172" t="str">
        <x:v>PF</x:v>
      </x:c>
      <x:c r="D172" t="n">
        <x:v>60</x:v>
      </x:c>
      <x:c r="E172" t="n">
        <x:v>0</x:v>
      </x:c>
      <x:c r="F172" t="n">
        <x:v>4.505000000000001</x:v>
      </x:c>
      <x:c r="G172" t="str">
        <x:v>DEEP</x:v>
      </x:c>
      <x:c r="H172"/>
      <x:c r="I172"/>
      <x:c r="J172" t="str">
        <x:v>2025-26 custom-score + role shrink</x:v>
      </x:c>
      <x:c r="K172" t="str">
        <x:v>Deep-pool model: 2025-26 custom-score production shrunk toward a conservative 2026-27 role estimate; not a published projection.</x:v>
      </x:c>
      <x:c r="L172" t="str">
        <x:v>https://github.com/plourr03/wolves-front-office/blob/5d152a169188fb9b210186a7a0d3403d4081ed38/kuminga/data/roster_snapshot_2026_27_v3.csv</x:v>
      </x:c>
      <x:c r="M172" t="str">
        <x:v>https://github.com/ballacademy/NBA-head-to-head-/blob/5b1decfc31ffb645469c7ffbd01aaca4b18181bd/data/nba-stats/nba-player-stats-202526-regular-season-per-game.csv</x:v>
      </x:c>
    </x:row>
    <x:row r="173">
      <x:c r="A173" t="str">
        <x:v>Buddy Hield</x:v>
      </x:c>
      <x:c r="B173" t="n">
        <x:v>168</x:v>
      </x:c>
      <x:c r="C173" t="str">
        <x:v>SG</x:v>
      </x:c>
      <x:c r="D173" t="n">
        <x:v>70</x:v>
      </x:c>
      <x:c r="E173" t="n">
        <x:v>0</x:v>
      </x:c>
      <x:c r="F173" t="n">
        <x:v>3.5</x:v>
      </x:c>
      <x:c r="G173" t="str">
        <x:v>DEEP</x:v>
      </x:c>
      <x:c r="H173"/>
      <x:c r="I173"/>
      <x:c r="J173" t="str">
        <x:v>Deep-board estimate</x:v>
      </x:c>
      <x:c r="K173" t="str">
        <x:v>Deep-board candidate for a 10-team league; custom-format estimate emphasizes role, efficiency and rebounding. Recheck camp role and app eligibility before draft day.</x:v>
      </x:c>
      <x:c r="L173" t="str">
        <x:v>https://ca.sports.yahoo.com/news/2026-27-fantasy-basketball-rankings-top-200-players-points-leagues-182942270.html</x:v>
      </x:c>
      <x:c r="M173" t="str">
        <x:v>https://ca.sports.yahoo.com/news/2026-27-fantasy-basketball-rankings-top-200-players-points-leagues-182942270.html</x:v>
      </x:c>
    </x:row>
    <x:row r="174">
      <x:c r="A174" t="str">
        <x:v>Kelly Oubre Jr.</x:v>
      </x:c>
      <x:c r="B174" t="n">
        <x:v>169</x:v>
      </x:c>
      <x:c r="C174" t="str">
        <x:v>SF</x:v>
      </x:c>
      <x:c r="D174" t="n">
        <x:v>73</x:v>
      </x:c>
      <x:c r="E174" t="n">
        <x:v>0</x:v>
      </x:c>
      <x:c r="F174" t="n">
        <x:v>3.5</x:v>
      </x:c>
      <x:c r="G174" t="str">
        <x:v>DEEP</x:v>
      </x:c>
      <x:c r="H174"/>
      <x:c r="I174"/>
      <x:c r="J174" t="str">
        <x:v>Deep-board estimate</x:v>
      </x:c>
      <x:c r="K174" t="str">
        <x:v>Deep-board candidate for a 10-team league; custom-format estimate emphasizes role, efficiency and rebounding. Recheck camp role and app eligibility before draft day.</x:v>
      </x:c>
      <x:c r="L174" t="str">
        <x:v>https://www.fantasypros.com/nba/projections/overall.php</x:v>
      </x:c>
      <x:c r="M174" t="str">
        <x:v>https://ca.sports.yahoo.com/news/2026-27-fantasy-basketball-rankings-top-200-players-points-leagues-182942270.html</x:v>
      </x:c>
    </x:row>
    <x:row r="175">
      <x:c r="A175" t="str">
        <x:v>Naji Marshall</x:v>
      </x:c>
      <x:c r="B175" t="n">
        <x:v>170</x:v>
      </x:c>
      <x:c r="C175" t="str">
        <x:v>SF</x:v>
      </x:c>
      <x:c r="D175" t="n">
        <x:v>60</x:v>
      </x:c>
      <x:c r="E175" t="n">
        <x:v>0</x:v>
      </x:c>
      <x:c r="F175" t="n">
        <x:v>4.504999999999999</x:v>
      </x:c>
      <x:c r="G175" t="str">
        <x:v>DEEP</x:v>
      </x:c>
      <x:c r="H175"/>
      <x:c r="I175"/>
      <x:c r="J175" t="str">
        <x:v>2025-26 custom-score + role shrink</x:v>
      </x:c>
      <x:c r="K175" t="str">
        <x:v>Deep-pool model: 2025-26 custom-score production shrunk toward a conservative 2026-27 role estimate; not a published projection.</x:v>
      </x:c>
      <x:c r="L175" t="str">
        <x:v>https://github.com/plourr03/wolves-front-office/blob/5d152a169188fb9b210186a7a0d3403d4081ed38/kuminga/data/roster_snapshot_2026_27_v3.csv</x:v>
      </x:c>
      <x:c r="M175" t="str">
        <x:v>https://github.com/ballacademy/NBA-head-to-head-/blob/5b1decfc31ffb645469c7ffbd01aaca4b18181bd/data/nba-stats/nba-player-stats-202526-regular-season-per-game.csv</x:v>
      </x:c>
    </x:row>
    <x:row r="176">
      <x:c r="A176" t="str">
        <x:v>Malik Monk</x:v>
      </x:c>
      <x:c r="B176" t="n">
        <x:v>171</x:v>
      </x:c>
      <x:c r="C176" t="str">
        <x:v>SG</x:v>
      </x:c>
      <x:c r="D176" t="n">
        <x:v>73</x:v>
      </x:c>
      <x:c r="E176" t="n">
        <x:v>0</x:v>
      </x:c>
      <x:c r="F176" t="n">
        <x:v>3.5</x:v>
      </x:c>
      <x:c r="G176" t="str">
        <x:v>DEEP</x:v>
      </x:c>
      <x:c r="H176"/>
      <x:c r="I176"/>
      <x:c r="J176" t="str">
        <x:v>Deep-board estimate</x:v>
      </x:c>
      <x:c r="K176" t="str">
        <x:v>Deep-board candidate for a 10-team league; custom-format estimate emphasizes role, efficiency and rebounding. Recheck camp role and app eligibility before draft day.</x:v>
      </x:c>
      <x:c r="L176" t="str">
        <x:v>https://www.fantasypros.com/nba/projections/overall.php</x:v>
      </x:c>
      <x:c r="M176" t="str">
        <x:v>https://ca.sports.yahoo.com/news/2026-27-fantasy-basketball-rankings-top-200-players-points-leagues-182942270.html</x:v>
      </x:c>
    </x:row>
    <x:row r="177">
      <x:c r="A177" t="str">
        <x:v>Harrison Barnes</x:v>
      </x:c>
      <x:c r="B177" t="n">
        <x:v>172</x:v>
      </x:c>
      <x:c r="C177" t="str">
        <x:v>SF</x:v>
      </x:c>
      <x:c r="D177" t="n">
        <x:v>70</x:v>
      </x:c>
      <x:c r="E177" t="n">
        <x:v>0</x:v>
      </x:c>
      <x:c r="F177" t="n">
        <x:v>3.5</x:v>
      </x:c>
      <x:c r="G177" t="str">
        <x:v>DEEP</x:v>
      </x:c>
      <x:c r="H177"/>
      <x:c r="I177"/>
      <x:c r="J177" t="str">
        <x:v>Deep-board estimate</x:v>
      </x:c>
      <x:c r="K177" t="str">
        <x:v>Deep-board candidate for a 10-team league; custom-format estimate emphasizes role, efficiency and rebounding. Recheck camp role and app eligibility before draft day.</x:v>
      </x:c>
      <x:c r="L177" t="str">
        <x:v>https://ca.sports.yahoo.com/news/2026-27-fantasy-basketball-rankings-top-200-players-points-leagues-182942270.html</x:v>
      </x:c>
      <x:c r="M177" t="str">
        <x:v>https://ca.sports.yahoo.com/news/2026-27-fantasy-basketball-rankings-top-200-players-points-leagues-182942270.html</x:v>
      </x:c>
    </x:row>
    <x:row r="178">
      <x:c r="A178" t="str">
        <x:v>Duncan Robinson</x:v>
      </x:c>
      <x:c r="B178" t="n">
        <x:v>173</x:v>
      </x:c>
      <x:c r="C178" t="str">
        <x:v>SG</x:v>
      </x:c>
      <x:c r="D178" t="n">
        <x:v>77</x:v>
      </x:c>
      <x:c r="E178" t="n">
        <x:v>0</x:v>
      </x:c>
      <x:c r="F178" t="n">
        <x:v>3.5</x:v>
      </x:c>
      <x:c r="G178" t="str">
        <x:v>DEEP</x:v>
      </x:c>
      <x:c r="H178"/>
      <x:c r="I178"/>
      <x:c r="J178" t="str">
        <x:v>Deep-board estimate</x:v>
      </x:c>
      <x:c r="K178" t="str">
        <x:v>Deep-board candidate for a 10-team league; custom-format estimate emphasizes role, efficiency and rebounding. Recheck camp role and app eligibility before draft day.</x:v>
      </x:c>
      <x:c r="L178" t="str">
        <x:v>https://www.fantasypros.com/nba/projections/overall.php</x:v>
      </x:c>
      <x:c r="M178" t="str">
        <x:v>https://ca.sports.yahoo.com/news/2026-27-fantasy-basketball-rankings-top-200-players-points-leagues-182942270.html</x:v>
      </x:c>
    </x:row>
    <x:row r="179">
      <x:c r="A179" t="str">
        <x:v>Maxime Raynaud</x:v>
      </x:c>
      <x:c r="B179" t="n">
        <x:v>174</x:v>
      </x:c>
      <x:c r="C179" t="str">
        <x:v>C</x:v>
      </x:c>
      <x:c r="D179" t="n">
        <x:v>64</x:v>
      </x:c>
      <x:c r="E179" t="n">
        <x:v>0</x:v>
      </x:c>
      <x:c r="F179" t="n">
        <x:v>4.345000000000001</x:v>
      </x:c>
      <x:c r="G179" t="str">
        <x:v>DEEP</x:v>
      </x:c>
      <x:c r="H179"/>
      <x:c r="I179"/>
      <x:c r="J179" t="str">
        <x:v>2025-26 custom-score + role shrink</x:v>
      </x:c>
      <x:c r="K179" t="str">
        <x:v>Deep-pool model: 2025-26 custom-score production shrunk toward a conservative 2026-27 role estimate; not a published projection.</x:v>
      </x:c>
      <x:c r="L179" t="str">
        <x:v>https://github.com/A-V29/NBA.Rosters/blob/main/2026.Summer.League.json</x:v>
      </x:c>
      <x:c r="M179" t="str">
        <x:v>https://github.com/ballacademy/NBA-head-to-head-/blob/5b1decfc31ffb645469c7ffbd01aaca4b18181bd/data/nba-stats/nba-player-stats-202526-regular-season-per-game.csv</x:v>
      </x:c>
    </x:row>
    <x:row r="180">
      <x:c r="A180" t="str">
        <x:v>Bilal Coulibaly</x:v>
      </x:c>
      <x:c r="B180" t="n">
        <x:v>175</x:v>
      </x:c>
      <x:c r="C180" t="str">
        <x:v>SF</x:v>
      </x:c>
      <x:c r="D180" t="n">
        <x:v>70</x:v>
      </x:c>
      <x:c r="E180" t="n">
        <x:v>0</x:v>
      </x:c>
      <x:c r="F180" t="n">
        <x:v>3.5</x:v>
      </x:c>
      <x:c r="G180" t="str">
        <x:v>DEEP</x:v>
      </x:c>
      <x:c r="H180"/>
      <x:c r="I180"/>
      <x:c r="J180" t="str">
        <x:v>Deep-board estimate</x:v>
      </x:c>
      <x:c r="K180" t="str">
        <x:v>Deep-board candidate for a 10-team league; custom-format estimate emphasizes role, efficiency and rebounding. Recheck camp role and app eligibility before draft day.</x:v>
      </x:c>
      <x:c r="L180" t="str">
        <x:v>https://ca.sports.yahoo.com/news/2026-27-fantasy-basketball-rankings-top-200-players-points-leagues-182942270.html</x:v>
      </x:c>
      <x:c r="M180" t="str">
        <x:v>https://ca.sports.yahoo.com/news/2026-27-fantasy-basketball-rankings-top-200-players-points-leagues-182942270.html</x:v>
      </x:c>
    </x:row>
    <x:row r="181">
      <x:c r="A181" t="str">
        <x:v>Klay Thompson</x:v>
      </x:c>
      <x:c r="B181" t="n">
        <x:v>176</x:v>
      </x:c>
      <x:c r="C181" t="str">
        <x:v>SG</x:v>
      </x:c>
      <x:c r="D181" t="n">
        <x:v>74</x:v>
      </x:c>
      <x:c r="E181" t="n">
        <x:v>0</x:v>
      </x:c>
      <x:c r="F181" t="n">
        <x:v>3.5</x:v>
      </x:c>
      <x:c r="G181" t="str">
        <x:v>DEEP</x:v>
      </x:c>
      <x:c r="H181"/>
      <x:c r="I181"/>
      <x:c r="J181" t="str">
        <x:v>Deep-board estimate</x:v>
      </x:c>
      <x:c r="K181" t="str">
        <x:v>Deep-board candidate for a 10-team league; custom-format estimate emphasizes role, efficiency and rebounding. Recheck camp role and app eligibility before draft day.</x:v>
      </x:c>
      <x:c r="L181" t="str">
        <x:v>https://www.fantasypros.com/nba/projections/overall.php</x:v>
      </x:c>
      <x:c r="M181" t="str">
        <x:v>https://ca.sports.yahoo.com/news/2026-27-fantasy-basketball-rankings-top-200-players-points-leagues-182942270.html</x:v>
      </x:c>
    </x:row>
    <x:row r="182">
      <x:c r="A182" t="str">
        <x:v>Keldon Johnson</x:v>
      </x:c>
      <x:c r="B182" t="n">
        <x:v>177</x:v>
      </x:c>
      <x:c r="C182" t="str">
        <x:v>SF</x:v>
      </x:c>
      <x:c r="D182" t="n">
        <x:v>70</x:v>
      </x:c>
      <x:c r="E182" t="n">
        <x:v>0</x:v>
      </x:c>
      <x:c r="F182" t="n">
        <x:v>3.5</x:v>
      </x:c>
      <x:c r="G182" t="str">
        <x:v>DEEP</x:v>
      </x:c>
      <x:c r="H182"/>
      <x:c r="I182"/>
      <x:c r="J182" t="str">
        <x:v>Deep-board estimate</x:v>
      </x:c>
      <x:c r="K182" t="str">
        <x:v>Deep-board candidate for a 10-team league; custom-format estimate emphasizes role, efficiency and rebounding. Recheck camp role and app eligibility before draft day.</x:v>
      </x:c>
      <x:c r="L182" t="str">
        <x:v>https://ca.sports.yahoo.com/news/2026-27-fantasy-basketball-rankings-top-200-players-points-leagues-182942270.html</x:v>
      </x:c>
      <x:c r="M182" t="str">
        <x:v>https://ca.sports.yahoo.com/news/2026-27-fantasy-basketball-rankings-top-200-players-points-leagues-182942270.html</x:v>
      </x:c>
    </x:row>
    <x:row r="183">
      <x:c r="A183" t="str">
        <x:v>Grayson Allen</x:v>
      </x:c>
      <x:c r="B183" t="n">
        <x:v>178</x:v>
      </x:c>
      <x:c r="C183" t="str">
        <x:v>SG</x:v>
      </x:c>
      <x:c r="D183" t="n">
        <x:v>71</x:v>
      </x:c>
      <x:c r="E183" t="n">
        <x:v>0</x:v>
      </x:c>
      <x:c r="F183" t="n">
        <x:v>3.5</x:v>
      </x:c>
      <x:c r="G183" t="str">
        <x:v>DEEP</x:v>
      </x:c>
      <x:c r="H183"/>
      <x:c r="I183"/>
      <x:c r="J183" t="str">
        <x:v>Deep-board estimate</x:v>
      </x:c>
      <x:c r="K183" t="str">
        <x:v>Deep-board candidate for a 10-team league; custom-format estimate emphasizes role, efficiency and rebounding. Recheck camp role and app eligibility before draft day.</x:v>
      </x:c>
      <x:c r="L183" t="str">
        <x:v>https://www.fantasypros.com/nba/projections/overall.php</x:v>
      </x:c>
      <x:c r="M183" t="str">
        <x:v>https://ca.sports.yahoo.com/news/2026-27-fantasy-basketball-rankings-top-200-players-points-leagues-182942270.html</x:v>
      </x:c>
    </x:row>
    <x:row r="184">
      <x:c r="A184" t="str">
        <x:v>Daniel Gafford</x:v>
      </x:c>
      <x:c r="B184" t="n">
        <x:v>179</x:v>
      </x:c>
      <x:c r="C184" t="str">
        <x:v>C</x:v>
      </x:c>
      <x:c r="D184" t="n">
        <x:v>60</x:v>
      </x:c>
      <x:c r="E184" t="n">
        <x:v>0</x:v>
      </x:c>
      <x:c r="F184" t="n">
        <x:v>4.33</x:v>
      </x:c>
      <x:c r="G184" t="str">
        <x:v>DEEP</x:v>
      </x:c>
      <x:c r="H184"/>
      <x:c r="I184"/>
      <x:c r="J184" t="str">
        <x:v>2025-26 custom-score + role shrink</x:v>
      </x:c>
      <x:c r="K184" t="str">
        <x:v>Deep-pool model: 2025-26 custom-score production shrunk toward a conservative 2026-27 role estimate; not a published projection.</x:v>
      </x:c>
      <x:c r="L184" t="str">
        <x:v>https://github.com/plourr03/wolves-front-office/blob/5d152a169188fb9b210186a7a0d3403d4081ed38/kuminga/data/roster_snapshot_2026_27_v3.csv</x:v>
      </x:c>
      <x:c r="M184" t="str">
        <x:v>https://github.com/ballacademy/NBA-head-to-head-/blob/5b1decfc31ffb645469c7ffbd01aaca4b18181bd/data/nba-stats/nba-player-stats-202526-regular-season-per-game.csv</x:v>
      </x:c>
    </x:row>
    <x:row r="185">
      <x:c r="A185" t="str">
        <x:v>Bradley Beal</x:v>
      </x:c>
      <x:c r="B185" t="n">
        <x:v>180</x:v>
      </x:c>
      <x:c r="C185" t="str">
        <x:v>SG</x:v>
      </x:c>
      <x:c r="D185" t="n">
        <x:v>66</x:v>
      </x:c>
      <x:c r="E185" t="n">
        <x:v>0</x:v>
      </x:c>
      <x:c r="F185" t="n">
        <x:v>3.5</x:v>
      </x:c>
      <x:c r="G185" t="str">
        <x:v>DEEP</x:v>
      </x:c>
      <x:c r="H185"/>
      <x:c r="I185"/>
      <x:c r="J185" t="str">
        <x:v>Deep-board estimate</x:v>
      </x:c>
      <x:c r="K185" t="str">
        <x:v>Deep-board candidate for a 10-team league; custom-format estimate emphasizes role, efficiency and rebounding. Recheck camp role and app eligibility before draft day.</x:v>
      </x:c>
      <x:c r="L185" t="str">
        <x:v>https://www.fantasypros.com/nba/projections/overall.php</x:v>
      </x:c>
      <x:c r="M185" t="str">
        <x:v>https://ca.sports.yahoo.com/news/2026-27-fantasy-basketball-rankings-top-200-players-points-leagues-182942270.html</x:v>
      </x:c>
    </x:row>
    <x:row r="186">
      <x:c r="A186" t="str">
        <x:v>Collin Gillespie</x:v>
      </x:c>
      <x:c r="B186" t="n">
        <x:v>181</x:v>
      </x:c>
      <x:c r="C186" t="str">
        <x:v>PG</x:v>
      </x:c>
      <x:c r="D186" t="n">
        <x:v>60</x:v>
      </x:c>
      <x:c r="E186" t="n">
        <x:v>0</x:v>
      </x:c>
      <x:c r="F186" t="n">
        <x:v>4.295000000000002</x:v>
      </x:c>
      <x:c r="G186" t="str">
        <x:v>DEEP</x:v>
      </x:c>
      <x:c r="H186"/>
      <x:c r="I186"/>
      <x:c r="J186" t="str">
        <x:v>2025-26 custom-score + role shrink</x:v>
      </x:c>
      <x:c r="K186" t="str">
        <x:v>Deep-pool model: 2025-26 custom-score production shrunk toward a conservative 2026-27 role estimate; not a published projection.</x:v>
      </x:c>
      <x:c r="L186" t="str">
        <x:v>https://github.com/plourr03/wolves-front-office/blob/5d152a169188fb9b210186a7a0d3403d4081ed38/kuminga/data/roster_snapshot_2026_27_v3.csv</x:v>
      </x:c>
      <x:c r="M186" t="str">
        <x:v>https://github.com/ballacademy/NBA-head-to-head-/blob/5b1decfc31ffb645469c7ffbd01aaca4b18181bd/data/nba-stats/nba-player-stats-202526-regular-season-per-game.csv</x:v>
      </x:c>
    </x:row>
    <x:row r="187">
      <x:c r="A187" t="str">
        <x:v>Gary Trent Jr.</x:v>
      </x:c>
      <x:c r="B187" t="n">
        <x:v>182</x:v>
      </x:c>
      <x:c r="C187" t="str">
        <x:v>SG</x:v>
      </x:c>
      <x:c r="D187" t="n">
        <x:v>70</x:v>
      </x:c>
      <x:c r="E187" t="n">
        <x:v>0</x:v>
      </x:c>
      <x:c r="F187" t="n">
        <x:v>3.5</x:v>
      </x:c>
      <x:c r="G187" t="str">
        <x:v>DEEP</x:v>
      </x:c>
      <x:c r="H187"/>
      <x:c r="I187"/>
      <x:c r="J187" t="str">
        <x:v>Deep-board estimate</x:v>
      </x:c>
      <x:c r="K187" t="str">
        <x:v>Deep-board candidate for a 10-team league; custom-format estimate emphasizes role, efficiency and rebounding. Recheck camp role and app eligibility before draft day.</x:v>
      </x:c>
      <x:c r="L187" t="str">
        <x:v>https://ca.sports.yahoo.com/news/2026-27-fantasy-basketball-rankings-top-200-players-points-leagues-182942270.html</x:v>
      </x:c>
      <x:c r="M187" t="str">
        <x:v>https://ca.sports.yahoo.com/news/2026-27-fantasy-basketball-rankings-top-200-players-points-leagues-182942270.html</x:v>
      </x:c>
    </x:row>
    <x:row r="188">
      <x:c r="A188" t="str">
        <x:v>Caris LeVert</x:v>
      </x:c>
      <x:c r="B188" t="n">
        <x:v>183</x:v>
      </x:c>
      <x:c r="C188" t="str">
        <x:v>SG</x:v>
      </x:c>
      <x:c r="D188" t="n">
        <x:v>70</x:v>
      </x:c>
      <x:c r="E188" t="n">
        <x:v>0</x:v>
      </x:c>
      <x:c r="F188" t="n">
        <x:v>3.5</x:v>
      </x:c>
      <x:c r="G188" t="str">
        <x:v>DEEP</x:v>
      </x:c>
      <x:c r="H188"/>
      <x:c r="I188"/>
      <x:c r="J188" t="str">
        <x:v>Deep-board estimate</x:v>
      </x:c>
      <x:c r="K188" t="str">
        <x:v>Deep-board candidate for a 10-team league; custom-format estimate emphasizes role, efficiency and rebounding. Recheck camp role and app eligibility before draft day.</x:v>
      </x:c>
      <x:c r="L188" t="str">
        <x:v>https://ca.sports.yahoo.com/news/2026-27-fantasy-basketball-rankings-top-200-players-points-leagues-182942270.html</x:v>
      </x:c>
      <x:c r="M188" t="str">
        <x:v>https://ca.sports.yahoo.com/news/2026-27-fantasy-basketball-rankings-top-200-players-points-leagues-182942270.html</x:v>
      </x:c>
    </x:row>
    <x:row r="189">
      <x:c r="A189" t="str">
        <x:v>Khris Middleton</x:v>
      </x:c>
      <x:c r="B189" t="n">
        <x:v>184</x:v>
      </x:c>
      <x:c r="C189" t="str">
        <x:v>SF</x:v>
      </x:c>
      <x:c r="D189" t="n">
        <x:v>70</x:v>
      </x:c>
      <x:c r="E189" t="n">
        <x:v>0</x:v>
      </x:c>
      <x:c r="F189" t="n">
        <x:v>3.5</x:v>
      </x:c>
      <x:c r="G189" t="str">
        <x:v>DEEP</x:v>
      </x:c>
      <x:c r="H189"/>
      <x:c r="I189"/>
      <x:c r="J189" t="str">
        <x:v>Deep-board estimate</x:v>
      </x:c>
      <x:c r="K189" t="str">
        <x:v>Deep-board candidate for a 10-team league; custom-format estimate emphasizes role, efficiency and rebounding. Recheck camp role and app eligibility before draft day.</x:v>
      </x:c>
      <x:c r="L189" t="str">
        <x:v>https://ca.sports.yahoo.com/news/2026-27-fantasy-basketball-rankings-top-200-players-points-leagues-182942270.html</x:v>
      </x:c>
      <x:c r="M189" t="str">
        <x:v>https://ca.sports.yahoo.com/news/2026-27-fantasy-basketball-rankings-top-200-players-points-leagues-182942270.html</x:v>
      </x:c>
    </x:row>
    <x:row r="190">
      <x:c r="A190" t="str">
        <x:v>Anthony Black</x:v>
      </x:c>
      <x:c r="B190" t="n">
        <x:v>185</x:v>
      </x:c>
      <x:c r="C190" t="str">
        <x:v>SG</x:v>
      </x:c>
      <x:c r="D190" t="n">
        <x:v>74</x:v>
      </x:c>
      <x:c r="E190" t="n">
        <x:v>0</x:v>
      </x:c>
      <x:c r="F190" t="n">
        <x:v>4.41</x:v>
      </x:c>
      <x:c r="G190" t="str">
        <x:v>DEEP</x:v>
      </x:c>
      <x:c r="H190"/>
      <x:c r="I190"/>
      <x:c r="J190" t="str">
        <x:v>2025-26 custom-score + role shrink</x:v>
      </x:c>
      <x:c r="K190" t="str">
        <x:v>Deep-pool model: 2025-26 custom-score production shrunk toward a conservative 2026-27 role estimate; not a published projection.</x:v>
      </x:c>
      <x:c r="L190" t="str">
        <x:v>https://www.fantasypros.com/nba/projections/overall.php</x:v>
      </x:c>
      <x:c r="M190" t="str">
        <x:v>https://github.com/ballacademy/NBA-head-to-head-/blob/5b1decfc31ffb645469c7ffbd01aaca4b18181bd/data/nba-stats/nba-player-stats-202526-regular-season-per-game.csv</x:v>
      </x:c>
    </x:row>
    <x:row r="191">
      <x:c r="A191" t="str">
        <x:v>Max Christie</x:v>
      </x:c>
      <x:c r="B191" t="n">
        <x:v>186</x:v>
      </x:c>
      <x:c r="C191" t="str">
        <x:v>SG</x:v>
      </x:c>
      <x:c r="D191" t="n">
        <x:v>78</x:v>
      </x:c>
      <x:c r="E191" t="n">
        <x:v>0</x:v>
      </x:c>
      <x:c r="F191" t="n">
        <x:v>3.5</x:v>
      </x:c>
      <x:c r="G191" t="str">
        <x:v>DEEP</x:v>
      </x:c>
      <x:c r="H191"/>
      <x:c r="I191"/>
      <x:c r="J191" t="str">
        <x:v>2025-26 custom-score + role shrink</x:v>
      </x:c>
      <x:c r="K191" t="str">
        <x:v>Deep-pool model: 2025-26 custom-score production shrunk toward a conservative 2026-27 role estimate; not a published projection.</x:v>
      </x:c>
      <x:c r="L191" t="str">
        <x:v>https://www.fantasypros.com/nba/projections/overall.php</x:v>
      </x:c>
      <x:c r="M191" t="str">
        <x:v>https://github.com/ballacademy/NBA-head-to-head-/blob/5b1decfc31ffb645469c7ffbd01aaca4b18181bd/data/nba-stats/nba-player-stats-202526-regular-season-per-game.csv</x:v>
      </x:c>
    </x:row>
    <x:row r="192">
      <x:c r="A192" t="str">
        <x:v>Kyle Kuzma</x:v>
      </x:c>
      <x:c r="B192" t="n">
        <x:v>187</x:v>
      </x:c>
      <x:c r="C192" t="str">
        <x:v>PF</x:v>
      </x:c>
      <x:c r="D192" t="n">
        <x:v>73</x:v>
      </x:c>
      <x:c r="E192" t="n">
        <x:v>0</x:v>
      </x:c>
      <x:c r="F192" t="n">
        <x:v>3.5</x:v>
      </x:c>
      <x:c r="G192" t="str">
        <x:v>DEEP</x:v>
      </x:c>
      <x:c r="H192"/>
      <x:c r="I192"/>
      <x:c r="J192" t="str">
        <x:v>Deep-board estimate</x:v>
      </x:c>
      <x:c r="K192" t="str">
        <x:v>Deep-board candidate for a 10-team league; custom-format estimate emphasizes role, efficiency and rebounding. Recheck camp role and app eligibility before draft day.</x:v>
      </x:c>
      <x:c r="L192" t="str">
        <x:v>https://www.fantasypros.com/nba/projections/overall.php</x:v>
      </x:c>
      <x:c r="M192" t="str">
        <x:v>https://ca.sports.yahoo.com/news/2026-27-fantasy-basketball-rankings-top-200-players-points-leagues-182942270.html</x:v>
      </x:c>
    </x:row>
    <x:row r="193">
      <x:c r="A193" t="str">
        <x:v>Scoot Henderson</x:v>
      </x:c>
      <x:c r="B193" t="n">
        <x:v>188</x:v>
      </x:c>
      <x:c r="C193" t="str">
        <x:v>PG</x:v>
      </x:c>
      <x:c r="D193" t="n">
        <x:v>72</x:v>
      </x:c>
      <x:c r="E193" t="n">
        <x:v>0</x:v>
      </x:c>
      <x:c r="F193" t="n">
        <x:v>3.5</x:v>
      </x:c>
      <x:c r="G193" t="str">
        <x:v>DEEP</x:v>
      </x:c>
      <x:c r="H193"/>
      <x:c r="I193"/>
      <x:c r="J193" t="str">
        <x:v>Deep-board estimate</x:v>
      </x:c>
      <x:c r="K193" t="str">
        <x:v>Deep-board candidate for a 10-team league; custom-format estimate emphasizes role, efficiency and rebounding. Recheck camp role and app eligibility before draft day.</x:v>
      </x:c>
      <x:c r="L193" t="str">
        <x:v>https://www.fantasypros.com/nba/projections/overall.php</x:v>
      </x:c>
      <x:c r="M193" t="str">
        <x:v>https://ca.sports.yahoo.com/news/2026-27-fantasy-basketball-rankings-top-200-players-points-leagues-182942270.html</x:v>
      </x:c>
    </x:row>
    <x:row r="194">
      <x:c r="A194" t="str">
        <x:v>D'Angelo Russell</x:v>
      </x:c>
      <x:c r="B194" t="n">
        <x:v>189</x:v>
      </x:c>
      <x:c r="C194" t="str">
        <x:v>PG</x:v>
      </x:c>
      <x:c r="D194" t="n">
        <x:v>70</x:v>
      </x:c>
      <x:c r="E194" t="n">
        <x:v>0</x:v>
      </x:c>
      <x:c r="F194" t="n">
        <x:v>3.5</x:v>
      </x:c>
      <x:c r="G194" t="str">
        <x:v>DEEP</x:v>
      </x:c>
      <x:c r="H194"/>
      <x:c r="I194"/>
      <x:c r="J194" t="str">
        <x:v>Deep-board estimate</x:v>
      </x:c>
      <x:c r="K194" t="str">
        <x:v>Deep-board candidate for a 10-team league; custom-format estimate emphasizes role, efficiency and rebounding. Recheck camp role and app eligibility before draft day.</x:v>
      </x:c>
      <x:c r="L194" t="str">
        <x:v>https://ca.sports.yahoo.com/news/2026-27-fantasy-basketball-rankings-top-200-players-points-leagues-182942270.html</x:v>
      </x:c>
      <x:c r="M194" t="str">
        <x:v>https://ca.sports.yahoo.com/news/2026-27-fantasy-basketball-rankings-top-200-players-points-leagues-182942270.html</x:v>
      </x:c>
    </x:row>
    <x:row r="195">
      <x:c r="A195" t="str">
        <x:v>Deandre Ayton</x:v>
      </x:c>
      <x:c r="B195" t="n">
        <x:v>190</x:v>
      </x:c>
      <x:c r="C195" t="str">
        <x:v>C</x:v>
      </x:c>
      <x:c r="D195" t="n">
        <x:v>70</x:v>
      </x:c>
      <x:c r="E195" t="n">
        <x:v>0</x:v>
      </x:c>
      <x:c r="F195" t="n">
        <x:v>3.5</x:v>
      </x:c>
      <x:c r="G195" t="str">
        <x:v>DEEP</x:v>
      </x:c>
      <x:c r="H195"/>
      <x:c r="I195"/>
      <x:c r="J195" t="str">
        <x:v>Deep-board estimate</x:v>
      </x:c>
      <x:c r="K195" t="str">
        <x:v>Deep-board candidate for a 10-team league; custom-format estimate emphasizes role, efficiency and rebounding. Recheck camp role and app eligibility before draft day.</x:v>
      </x:c>
      <x:c r="L195" t="str">
        <x:v>https://ca.sports.yahoo.com/news/2026-27-fantasy-basketball-rankings-top-200-players-points-leagues-182942270.html</x:v>
      </x:c>
      <x:c r="M195" t="str">
        <x:v>https://ca.sports.yahoo.com/news/2026-27-fantasy-basketball-rankings-top-200-players-points-leagues-182942270.html</x:v>
      </x:c>
    </x:row>
    <x:row r="196">
      <x:c r="A196" t="str">
        <x:v>Jaylon Tyson</x:v>
      </x:c>
      <x:c r="B196" t="n">
        <x:v>191</x:v>
      </x:c>
      <x:c r="C196" t="str">
        <x:v>SG</x:v>
      </x:c>
      <x:c r="D196" t="n">
        <x:v>60</x:v>
      </x:c>
      <x:c r="E196" t="n">
        <x:v>0</x:v>
      </x:c>
      <x:c r="F196" t="n">
        <x:v>4.115</x:v>
      </x:c>
      <x:c r="G196" t="str">
        <x:v>DEEP</x:v>
      </x:c>
      <x:c r="H196"/>
      <x:c r="I196"/>
      <x:c r="J196" t="str">
        <x:v>2025-26 custom-score + role shrink</x:v>
      </x:c>
      <x:c r="K196" t="str">
        <x:v>Deep-pool model: 2025-26 custom-score production shrunk toward a conservative 2026-27 role estimate; not a published projection.</x:v>
      </x:c>
      <x:c r="L196" t="str">
        <x:v>https://github.com/plourr03/wolves-front-office/blob/5d152a169188fb9b210186a7a0d3403d4081ed38/kuminga/data/roster_snapshot_2026_27_v3.csv</x:v>
      </x:c>
      <x:c r="M196" t="str">
        <x:v>https://github.com/ballacademy/NBA-head-to-head-/blob/5b1decfc31ffb645469c7ffbd01aaca4b18181bd/data/nba-stats/nba-player-stats-202526-regular-season-per-game.csv</x:v>
      </x:c>
    </x:row>
    <x:row r="197">
      <x:c r="A197" t="str">
        <x:v>Day'Ron Sharpe</x:v>
      </x:c>
      <x:c r="B197" t="n">
        <x:v>192</x:v>
      </x:c>
      <x:c r="C197" t="str">
        <x:v>C</x:v>
      </x:c>
      <x:c r="D197" t="n">
        <x:v>60</x:v>
      </x:c>
      <x:c r="E197" t="n">
        <x:v>0</x:v>
      </x:c>
      <x:c r="F197" t="n">
        <x:v>4.09</x:v>
      </x:c>
      <x:c r="G197" t="str">
        <x:v>DEEP</x:v>
      </x:c>
      <x:c r="H197"/>
      <x:c r="I197"/>
      <x:c r="J197" t="str">
        <x:v>2025-26 custom-score + role shrink</x:v>
      </x:c>
      <x:c r="K197" t="str">
        <x:v>Deep-pool model: 2025-26 custom-score production shrunk toward a conservative 2026-27 role estimate; not a published projection.</x:v>
      </x:c>
      <x:c r="L197" t="str">
        <x:v>https://github.com/plourr03/wolves-front-office/blob/5d152a169188fb9b210186a7a0d3403d4081ed38/kuminga/data/roster_snapshot_2026_27_v3.csv</x:v>
      </x:c>
      <x:c r="M197" t="str">
        <x:v>https://github.com/ballacademy/NBA-head-to-head-/blob/5b1decfc31ffb645469c7ffbd01aaca4b18181bd/data/nba-stats/nba-player-stats-202526-regular-season-per-game.csv</x:v>
      </x:c>
    </x:row>
    <x:row r="198">
      <x:c r="A198" t="str">
        <x:v>Mitchell Robinson</x:v>
      </x:c>
      <x:c r="B198" t="n">
        <x:v>193</x:v>
      </x:c>
      <x:c r="C198" t="str">
        <x:v>C</x:v>
      </x:c>
      <x:c r="D198" t="n">
        <x:v>70</x:v>
      </x:c>
      <x:c r="E198" t="n">
        <x:v>0</x:v>
      </x:c>
      <x:c r="F198" t="n">
        <x:v>3.5</x:v>
      </x:c>
      <x:c r="G198" t="str">
        <x:v>DEEP</x:v>
      </x:c>
      <x:c r="H198"/>
      <x:c r="I198"/>
      <x:c r="J198" t="str">
        <x:v>Deep-board estimate</x:v>
      </x:c>
      <x:c r="K198" t="str">
        <x:v>Deep-board candidate for a 10-team league; custom-format estimate emphasizes role, efficiency and rebounding. Recheck camp role and app eligibility before draft day.</x:v>
      </x:c>
      <x:c r="L198" t="str">
        <x:v>https://ca.sports.yahoo.com/news/2026-27-fantasy-basketball-rankings-top-200-players-points-leagues-182942270.html</x:v>
      </x:c>
      <x:c r="M198" t="str">
        <x:v>https://ca.sports.yahoo.com/news/2026-27-fantasy-basketball-rankings-top-200-players-points-leagues-182942270.html</x:v>
      </x:c>
    </x:row>
    <x:row r="199">
      <x:c r="A199" t="str">
        <x:v>Jock Landale</x:v>
      </x:c>
      <x:c r="B199" t="n">
        <x:v>194</x:v>
      </x:c>
      <x:c r="C199" t="str">
        <x:v>C</x:v>
      </x:c>
      <x:c r="D199" t="n">
        <x:v>60</x:v>
      </x:c>
      <x:c r="E199" t="n">
        <x:v>0</x:v>
      </x:c>
      <x:c r="F199" t="n">
        <x:v>4.09</x:v>
      </x:c>
      <x:c r="G199" t="str">
        <x:v>DEEP</x:v>
      </x:c>
      <x:c r="H199"/>
      <x:c r="I199"/>
      <x:c r="J199" t="str">
        <x:v>2025-26 custom-score + role shrink</x:v>
      </x:c>
      <x:c r="K199" t="str">
        <x:v>Deep-pool model: 2025-26 custom-score production shrunk toward a conservative 2026-27 role estimate; not a published projection.</x:v>
      </x:c>
      <x:c r="L199" t="str">
        <x:v>https://github.com/plourr03/wolves-front-office/blob/5d152a169188fb9b210186a7a0d3403d4081ed38/kuminga/data/roster_snapshot_2026_27_v3.csv</x:v>
      </x:c>
      <x:c r="M199" t="str">
        <x:v>https://github.com/ballacademy/NBA-head-to-head-/blob/5b1decfc31ffb645469c7ffbd01aaca4b18181bd/data/nba-stats/nba-player-stats-202526-regular-season-per-game.csv</x:v>
      </x:c>
    </x:row>
    <x:row r="200">
      <x:c r="A200" t="str">
        <x:v>Anfernee Simons</x:v>
      </x:c>
      <x:c r="B200" t="n">
        <x:v>195</x:v>
      </x:c>
      <x:c r="C200" t="str">
        <x:v>SG</x:v>
      </x:c>
      <x:c r="D200" t="n">
        <x:v>72</x:v>
      </x:c>
      <x:c r="E200" t="n">
        <x:v>0</x:v>
      </x:c>
      <x:c r="F200" t="n">
        <x:v>3.5600000000000005</x:v>
      </x:c>
      <x:c r="G200" t="str">
        <x:v>DEEP</x:v>
      </x:c>
      <x:c r="H200"/>
      <x:c r="I200"/>
      <x:c r="J200" t="str">
        <x:v>2025-26 custom-score + role shrink</x:v>
      </x:c>
      <x:c r="K200" t="str">
        <x:v>Deep-pool model: 2025-26 custom-score production shrunk toward a conservative 2026-27 role estimate; not a published projection.</x:v>
      </x:c>
      <x:c r="L200" t="str">
        <x:v>https://www.fantasypros.com/nba/projections/overall.php</x:v>
      </x:c>
      <x:c r="M200" t="str">
        <x:v>https://github.com/ballacademy/NBA-head-to-head-/blob/5b1decfc31ffb645469c7ffbd01aaca4b18181bd/data/nba-stats/nba-player-stats-202526-regular-season-per-game.csv</x:v>
      </x:c>
    </x:row>
    <x:row r="201">
      <x:c r="A201" t="str">
        <x:v>Neemias Queta</x:v>
      </x:c>
      <x:c r="B201" t="n">
        <x:v>196</x:v>
      </x:c>
      <x:c r="C201" t="str">
        <x:v>C</x:v>
      </x:c>
      <x:c r="D201" t="n">
        <x:v>70</x:v>
      </x:c>
      <x:c r="E201" t="n">
        <x:v>0</x:v>
      </x:c>
      <x:c r="F201" t="n">
        <x:v>3.5</x:v>
      </x:c>
      <x:c r="G201" t="str">
        <x:v>DEEP</x:v>
      </x:c>
      <x:c r="H201"/>
      <x:c r="I201"/>
      <x:c r="J201" t="str">
        <x:v>Deep-board estimate</x:v>
      </x:c>
      <x:c r="K201" t="str">
        <x:v>Deep-board candidate for a 10-team league; custom-format estimate emphasizes role, efficiency and rebounding. Recheck camp role and app eligibility before draft day.</x:v>
      </x:c>
      <x:c r="L201" t="str">
        <x:v>https://ca.sports.yahoo.com/news/2026-27-fantasy-basketball-rankings-top-200-players-points-leagues-182942270.html</x:v>
      </x:c>
      <x:c r="M201" t="str">
        <x:v>https://ca.sports.yahoo.com/news/2026-27-fantasy-basketball-rankings-top-200-players-points-leagues-182942270.html</x:v>
      </x:c>
    </x:row>
    <x:row r="202">
      <x:c r="A202" t="str">
        <x:v>Kristaps Porzingis</x:v>
      </x:c>
      <x:c r="B202" t="n">
        <x:v>197</x:v>
      </x:c>
      <x:c r="C202" t="str">
        <x:v>C</x:v>
      </x:c>
      <x:c r="D202" t="n">
        <x:v>35</x:v>
      </x:c>
      <x:c r="E202" t="n">
        <x:v>0</x:v>
      </x:c>
      <x:c r="F202" t="n">
        <x:v>8</x:v>
      </x:c>
      <x:c r="G202" t="str">
        <x:v>HIGH</x:v>
      </x:c>
      <x:c r="H202" t="n">
        <x:v>0.251497005988024</x:v>
      </x:c>
      <x:c r="I202" t="n">
        <x:v>0.05416666666666667</x:v>
      </x:c>
      <x:c r="J202" t="str">
        <x:v>2025-26 rates</x:v>
      </x:c>
      <x:c r="K202" t="str">
        <x:v>OUT INDEFINITELY with an unresolved health issue and no return timetable. Treat as late stash, not a normal mid-round target.</x:v>
      </x:c>
      <x:c r="L202" t="str">
        <x:v>https://www.nba.com/news/kristaps-porzingis-health-issue-out-indefinitely</x:v>
      </x:c>
      <x:c r="M202" t="str">
        <x:v>https://basketball.realgm.com/nba/stats/2026/Averages/All/points/All/desc/1/Regular_Season</x:v>
      </x:c>
    </x:row>
    <x:row r="203">
      <x:c r="A203" t="str">
        <x:v>Marvin Bagley III</x:v>
      </x:c>
      <x:c r="B203" t="n">
        <x:v>198</x:v>
      </x:c>
      <x:c r="C203" t="str">
        <x:v>PF</x:v>
      </x:c>
      <x:c r="D203" t="n">
        <x:v>60</x:v>
      </x:c>
      <x:c r="E203" t="n">
        <x:v>0</x:v>
      </x:c>
      <x:c r="F203" t="n">
        <x:v>3.99</x:v>
      </x:c>
      <x:c r="G203" t="str">
        <x:v>DEEP</x:v>
      </x:c>
      <x:c r="H203"/>
      <x:c r="I203"/>
      <x:c r="J203" t="str">
        <x:v>2025-26 custom-score + role shrink</x:v>
      </x:c>
      <x:c r="K203" t="str">
        <x:v>Deep-pool model: 2025-26 custom-score production shrunk toward a conservative 2026-27 role estimate; not a published projection.</x:v>
      </x:c>
      <x:c r="L203" t="str">
        <x:v>https://github.com/plourr03/wolves-front-office/blob/5d152a169188fb9b210186a7a0d3403d4081ed38/kuminga/data/roster_snapshot_2026_27_v3.csv</x:v>
      </x:c>
      <x:c r="M203" t="str">
        <x:v>https://github.com/ballacademy/NBA-head-to-head-/blob/5b1decfc31ffb645469c7ffbd01aaca4b18181bd/data/nba-stats/nba-player-stats-202526-regular-season-per-game.csv</x:v>
      </x:c>
    </x:row>
    <x:row r="204">
      <x:c r="A204" t="str">
        <x:v>Jared McCain</x:v>
      </x:c>
      <x:c r="B204" t="n">
        <x:v>199</x:v>
      </x:c>
      <x:c r="C204" t="str">
        <x:v>SG</x:v>
      </x:c>
      <x:c r="D204" t="n">
        <x:v>70</x:v>
      </x:c>
      <x:c r="E204" t="n">
        <x:v>0</x:v>
      </x:c>
      <x:c r="F204" t="n">
        <x:v>3.5</x:v>
      </x:c>
      <x:c r="G204" t="str">
        <x:v>DEEP</x:v>
      </x:c>
      <x:c r="H204"/>
      <x:c r="I204"/>
      <x:c r="J204" t="str">
        <x:v>Deep-board estimate</x:v>
      </x:c>
      <x:c r="K204" t="str">
        <x:v>Deep-board candidate for a 10-team league; custom-format estimate emphasizes role, efficiency and rebounding. Recheck camp role and app eligibility before draft day.</x:v>
      </x:c>
      <x:c r="L204" t="str">
        <x:v>https://ca.sports.yahoo.com/news/2026-27-fantasy-basketball-rankings-top-200-players-points-leagues-182942270.html</x:v>
      </x:c>
      <x:c r="M204" t="str">
        <x:v>https://ca.sports.yahoo.com/news/2026-27-fantasy-basketball-rankings-top-200-players-points-leagues-182942270.html</x:v>
      </x:c>
    </x:row>
    <x:row r="205">
      <x:c r="A205" t="str">
        <x:v>Precious Achiuwa</x:v>
      </x:c>
      <x:c r="B205" t="n">
        <x:v>200</x:v>
      </x:c>
      <x:c r="C205" t="str">
        <x:v>PF</x:v>
      </x:c>
      <x:c r="D205" t="n">
        <x:v>60</x:v>
      </x:c>
      <x:c r="E205" t="n">
        <x:v>0</x:v>
      </x:c>
      <x:c r="F205" t="n">
        <x:v>3.9899999999999984</x:v>
      </x:c>
      <x:c r="G205" t="str">
        <x:v>DEEP</x:v>
      </x:c>
      <x:c r="H205"/>
      <x:c r="I205"/>
      <x:c r="J205" t="str">
        <x:v>2025-26 custom-score + role shrink</x:v>
      </x:c>
      <x:c r="K205" t="str">
        <x:v>Deep-pool model: 2025-26 custom-score production shrunk toward a conservative 2026-27 role estimate; not a published projection.</x:v>
      </x:c>
      <x:c r="L205" t="str">
        <x:v>https://github.com/plourr03/wolves-front-office/blob/5d152a169188fb9b210186a7a0d3403d4081ed38/kuminga/data/roster_snapshot_2026_27_v3.csv</x:v>
      </x:c>
      <x:c r="M205" t="str">
        <x:v>https://github.com/ballacademy/NBA-head-to-head-/blob/5b1decfc31ffb645469c7ffbd01aaca4b18181bd/data/nba-stats/nba-player-stats-202526-regular-season-per-game.csv</x:v>
      </x:c>
    </x:row>
    <x:row r="206">
      <x:c r="A206" s="48" t="str">
        <x:v>Clint Capela</x:v>
      </x:c>
      <x:c r="B206" s="48" t="n">
        <x:v>201</x:v>
      </x:c>
      <x:c r="C206" s="48" t="str">
        <x:v>C</x:v>
      </x:c>
      <x:c r="D206" s="48" t="n">
        <x:v>70</x:v>
      </x:c>
      <x:c r="E206" s="48" t="n">
        <x:v>0</x:v>
      </x:c>
      <x:c r="F206" s="48" t="n">
        <x:v>3.5</x:v>
      </x:c>
      <x:c r="G206" s="48" t="str">
        <x:v>DEEP</x:v>
      </x:c>
      <x:c r="H206" s="48"/>
      <x:c r="I206" s="48"/>
      <x:c r="J206" s="48" t="str">
        <x:v>Deep-board estimate</x:v>
      </x:c>
      <x:c r="K206" s="50" t="str">
        <x:v>Deep-board candidate for a 10-team league; custom-format estimate emphasizes role, efficiency and rebounding. Recheck camp role and app eligibility before draft day.</x:v>
      </x:c>
      <x:c r="L206" s="50" t="str">
        <x:v>https://ca.sports.yahoo.com/news/2026-27-fantasy-basketball-rankings-top-200-players-points-leagues-182942270.html</x:v>
      </x:c>
      <x:c r="M206" s="50" t="str">
        <x:v>https://ca.sports.yahoo.com/news/2026-27-fantasy-basketball-rankings-top-200-players-points-leagues-182942270.html</x:v>
      </x:c>
    </x:row>
    <x:row r="207">
      <x:c r="A207" s="48" t="str">
        <x:v>Sandro Mamukelashvili</x:v>
      </x:c>
      <x:c r="B207" s="48" t="n">
        <x:v>202</x:v>
      </x:c>
      <x:c r="C207" s="48" t="str">
        <x:v>C</x:v>
      </x:c>
      <x:c r="D207" s="48" t="n">
        <x:v>60</x:v>
      </x:c>
      <x:c r="E207" s="48" t="n">
        <x:v>0</x:v>
      </x:c>
      <x:c r="F207" s="48" t="n">
        <x:v>3.9800000000000004</x:v>
      </x:c>
      <x:c r="G207" s="48" t="str">
        <x:v>DEEP</x:v>
      </x:c>
      <x:c r="H207" s="48"/>
      <x:c r="I207" s="48"/>
      <x:c r="J207" s="48" t="str">
        <x:v>2025-26 custom-score + role shrink</x:v>
      </x:c>
      <x:c r="K207" s="50" t="str">
        <x:v>Deep-pool model: 2025-26 custom-score production shrunk toward a conservative 2026-27 role estimate; not a published projection.</x:v>
      </x:c>
      <x:c r="L207" s="50" t="str">
        <x:v>https://github.com/plourr03/wolves-front-office/blob/5d152a169188fb9b210186a7a0d3403d4081ed38/kuminga/data/roster_snapshot_2026_27_v3.csv</x:v>
      </x:c>
      <x:c r="M207" s="50" t="str">
        <x:v>https://github.com/ballacademy/NBA-head-to-head-/blob/5b1decfc31ffb645469c7ffbd01aaca4b18181bd/data/nba-stats/nba-player-stats-202526-regular-season-per-game.csv</x:v>
      </x:c>
    </x:row>
    <x:row r="208">
      <x:c r="A208" s="48" t="str">
        <x:v>Jusuf Nurkic</x:v>
      </x:c>
      <x:c r="B208" s="48" t="n">
        <x:v>203</x:v>
      </x:c>
      <x:c r="C208" s="48" t="str">
        <x:v>C</x:v>
      </x:c>
      <x:c r="D208" s="48" t="n">
        <x:v>50</x:v>
      </x:c>
      <x:c r="E208" s="48" t="n">
        <x:v>0</x:v>
      </x:c>
      <x:c r="F208" s="48" t="n">
        <x:v>8</x:v>
      </x:c>
      <x:c r="G208" s="48" t="str">
        <x:v>HIGH</x:v>
      </x:c>
      <x:c r="H208" s="48"/>
      <x:c r="I208" s="48"/>
      <x:c r="J208" s="48" t="str">
        <x:v>2025-26 custom-score + role shrink</x:v>
      </x:c>
      <x:c r="K208" s="50" t="str">
        <x:v>Partial plantar plate tear in right foot; scheduled for re-evaluation in four weeks. Significant draft-day downgrade.</x:v>
      </x:c>
      <x:c r="L208" s="50" t="str">
        <x:v>https://www.nba.com/news/jazz-jusuf-nurkic-foot-injury</x:v>
      </x:c>
      <x:c r="M208" s="50" t="str">
        <x:v>https://github.com/ballacademy/NBA-head-to-head-/blob/5b1decfc31ffb645469c7ffbd01aaca4b18181bd/data/nba-stats/nba-player-stats-202526-regular-season-per-game.csv</x:v>
      </x:c>
    </x:row>
    <x:row r="209">
      <x:c r="A209" s="48" t="str">
        <x:v>Tre Johnson</x:v>
      </x:c>
      <x:c r="B209" s="48" t="n">
        <x:v>204</x:v>
      </x:c>
      <x:c r="C209" s="48" t="str">
        <x:v>SG</x:v>
      </x:c>
      <x:c r="D209" s="48" t="n">
        <x:v>70</x:v>
      </x:c>
      <x:c r="E209" s="48" t="n">
        <x:v>0</x:v>
      </x:c>
      <x:c r="F209" s="48" t="n">
        <x:v>3.5</x:v>
      </x:c>
      <x:c r="G209" s="48" t="str">
        <x:v>DEEP</x:v>
      </x:c>
      <x:c r="H209" s="48"/>
      <x:c r="I209" s="48"/>
      <x:c r="J209" s="48" t="str">
        <x:v>Deep-board estimate</x:v>
      </x:c>
      <x:c r="K209" s="50" t="str">
        <x:v>Deep-board candidate for a 10-team league; custom-format estimate emphasizes role, efficiency and rebounding. Recheck camp role and app eligibility before draft day.</x:v>
      </x:c>
      <x:c r="L209" s="50" t="str">
        <x:v>https://ca.sports.yahoo.com/news/2026-27-fantasy-basketball-rankings-top-200-players-points-leagues-182942270.html</x:v>
      </x:c>
      <x:c r="M209" s="50" t="str">
        <x:v>https://ca.sports.yahoo.com/news/2026-27-fantasy-basketball-rankings-top-200-players-points-leagues-182942270.html</x:v>
      </x:c>
    </x:row>
    <x:row r="210">
      <x:c r="A210" s="48" t="str">
        <x:v>Luke Kornet</x:v>
      </x:c>
      <x:c r="B210" s="48" t="n">
        <x:v>205</x:v>
      </x:c>
      <x:c r="C210" s="48" t="str">
        <x:v>C</x:v>
      </x:c>
      <x:c r="D210" s="48" t="n">
        <x:v>60</x:v>
      </x:c>
      <x:c r="E210" s="48" t="n">
        <x:v>0</x:v>
      </x:c>
      <x:c r="F210" s="48" t="n">
        <x:v>3.91</x:v>
      </x:c>
      <x:c r="G210" s="48" t="str">
        <x:v>DEEP</x:v>
      </x:c>
      <x:c r="H210" s="48"/>
      <x:c r="I210" s="48"/>
      <x:c r="J210" s="48" t="str">
        <x:v>2025-26 custom-score + role shrink</x:v>
      </x:c>
      <x:c r="K210" s="50" t="str">
        <x:v>Deep-pool model: 2025-26 custom-score production shrunk toward a conservative 2026-27 role estimate; not a published projection.</x:v>
      </x:c>
      <x:c r="L210" s="50" t="str">
        <x:v>https://github.com/plourr03/wolves-front-office/blob/5d152a169188fb9b210186a7a0d3403d4081ed38/kuminga/data/roster_snapshot_2026_27_v3.csv</x:v>
      </x:c>
      <x:c r="M210" s="50" t="str">
        <x:v>https://github.com/ballacademy/NBA-head-to-head-/blob/5b1decfc31ffb645469c7ffbd01aaca4b18181bd/data/nba-stats/nba-player-stats-202526-regular-season-per-game.csv</x:v>
      </x:c>
    </x:row>
    <x:row r="211">
      <x:c r="A211" s="48" t="str">
        <x:v>Cam Whitmore</x:v>
      </x:c>
      <x:c r="B211" s="48" t="n">
        <x:v>206</x:v>
      </x:c>
      <x:c r="C211" s="48" t="str">
        <x:v>SF</x:v>
      </x:c>
      <x:c r="D211" s="48" t="n">
        <x:v>70</x:v>
      </x:c>
      <x:c r="E211" s="48" t="n">
        <x:v>0</x:v>
      </x:c>
      <x:c r="F211" s="48" t="n">
        <x:v>3.5</x:v>
      </x:c>
      <x:c r="G211" s="48" t="str">
        <x:v>DEEP</x:v>
      </x:c>
      <x:c r="H211" s="48"/>
      <x:c r="I211" s="48"/>
      <x:c r="J211" s="48" t="str">
        <x:v>Deep-board estimate</x:v>
      </x:c>
      <x:c r="K211" s="50" t="str">
        <x:v>Deep-board candidate for a 10-team league; custom-format estimate emphasizes role, efficiency and rebounding. Recheck camp role and app eligibility before draft day.</x:v>
      </x:c>
      <x:c r="L211" s="50" t="str">
        <x:v>https://ca.sports.yahoo.com/news/2026-27-fantasy-basketball-rankings-top-200-players-points-leagues-182942270.html</x:v>
      </x:c>
      <x:c r="M211" s="50" t="str">
        <x:v>https://ca.sports.yahoo.com/news/2026-27-fantasy-basketball-rankings-top-200-players-points-leagues-182942270.html</x:v>
      </x:c>
    </x:row>
    <x:row r="212">
      <x:c r="A212" s="48" t="str">
        <x:v>Mikel Brown Jr.</x:v>
      </x:c>
      <x:c r="B212" s="48" t="n">
        <x:v>207</x:v>
      </x:c>
      <x:c r="C212" s="48" t="str">
        <x:v>PG</x:v>
      </x:c>
      <x:c r="D212" s="48" t="n">
        <x:v>68</x:v>
      </x:c>
      <x:c r="E212" s="48" t="n">
        <x:v>0</x:v>
      </x:c>
      <x:c r="F212" s="48" t="n">
        <x:v>5.5</x:v>
      </x:c>
      <x:c r="G212" s="48" t="str">
        <x:v>MEDIUM</x:v>
      </x:c>
      <x:c r="H212" s="48"/>
      <x:c r="I212" s="48"/>
      <x:c r="J212" s="48" t="str">
        <x:v>Rookie/depth role estimate</x:v>
      </x:c>
      <x:c r="K212" s="50" t="str">
        <x:v>Current public projection feed flags him OUT. Apply a cautious short-term availability discount until status clears.</x:v>
      </x:c>
      <x:c r="L212" s="50" t="str">
        <x:v>https://www.fantasypros.com/nba/projections/overall.php</x:v>
      </x:c>
      <x:c r="M212" s="50" t="str">
        <x:v>https://github.com/ballacademy/NBA-head-to-head-/blob/5b1decfc31ffb645469c7ffbd01aaca4b18181bd/data/nba-stats/nba-player-stats-202526-regular-season-per-game.csv</x:v>
      </x:c>
    </x:row>
    <x:row r="213">
      <x:c r="A213" s="48" t="str">
        <x:v>Collin Murray-Boyles</x:v>
      </x:c>
      <x:c r="B213" s="48" t="n">
        <x:v>208</x:v>
      </x:c>
      <x:c r="C213" s="48" t="str">
        <x:v>PF</x:v>
      </x:c>
      <x:c r="D213" s="48" t="n">
        <x:v>64</x:v>
      </x:c>
      <x:c r="E213" s="48" t="n">
        <x:v>0</x:v>
      </x:c>
      <x:c r="F213" s="48" t="n">
        <x:v>3.869999999999999</x:v>
      </x:c>
      <x:c r="G213" s="48" t="str">
        <x:v>DEEP</x:v>
      </x:c>
      <x:c r="H213" s="48"/>
      <x:c r="I213" s="48"/>
      <x:c r="J213" s="48" t="str">
        <x:v>2025-26 custom-score + role shrink</x:v>
      </x:c>
      <x:c r="K213" s="50" t="str">
        <x:v>Deep-pool model: 2025-26 custom-score production shrunk toward a conservative 2026-27 role estimate; not a published projection.</x:v>
      </x:c>
      <x:c r="L213" s="50" t="str">
        <x:v>https://github.com/A-V29/NBA.Rosters/blob/main/2026.Summer.League.json</x:v>
      </x:c>
      <x:c r="M213" s="50" t="str">
        <x:v>https://github.com/ballacademy/NBA-head-to-head-/blob/5b1decfc31ffb645469c7ffbd01aaca4b18181bd/data/nba-stats/nba-player-stats-202526-regular-season-per-game.csv</x:v>
      </x:c>
    </x:row>
    <x:row r="214">
      <x:c r="A214" s="48" t="str">
        <x:v>Cam Spencer</x:v>
      </x:c>
      <x:c r="B214" s="48" t="n">
        <x:v>209</x:v>
      </x:c>
      <x:c r="C214" s="48" t="str">
        <x:v>SG</x:v>
      </x:c>
      <x:c r="D214" s="48" t="n">
        <x:v>60</x:v>
      </x:c>
      <x:c r="E214" s="48" t="n">
        <x:v>0</x:v>
      </x:c>
      <x:c r="F214" s="48" t="n">
        <x:v>3.885</x:v>
      </x:c>
      <x:c r="G214" s="48" t="str">
        <x:v>DEEP</x:v>
      </x:c>
      <x:c r="H214" s="48"/>
      <x:c r="I214" s="48"/>
      <x:c r="J214" s="48" t="str">
        <x:v>2025-26 custom-score + role shrink</x:v>
      </x:c>
      <x:c r="K214" s="50" t="str">
        <x:v>Deep-pool model: 2025-26 custom-score production shrunk toward a conservative 2026-27 role estimate; not a published projection.</x:v>
      </x:c>
      <x:c r="L214" s="50" t="str">
        <x:v>https://github.com/plourr03/wolves-front-office/blob/5d152a169188fb9b210186a7a0d3403d4081ed38/kuminga/data/roster_snapshot_2026_27_v3.csv</x:v>
      </x:c>
      <x:c r="M214" s="50" t="str">
        <x:v>https://github.com/ballacademy/NBA-head-to-head-/blob/5b1decfc31ffb645469c7ffbd01aaca4b18181bd/data/nba-stats/nba-player-stats-202526-regular-season-per-game.csv</x:v>
      </x:c>
    </x:row>
    <x:row r="215">
      <x:c r="A215" s="48" t="str">
        <x:v>Kingston Flemings</x:v>
      </x:c>
      <x:c r="B215" s="48" t="n">
        <x:v>210</x:v>
      </x:c>
      <x:c r="C215" s="48" t="str">
        <x:v>PG</x:v>
      </x:c>
      <x:c r="D215" s="48" t="n">
        <x:v>75</x:v>
      </x:c>
      <x:c r="E215" s="48" t="n">
        <x:v>0</x:v>
      </x:c>
      <x:c r="F215" s="48" t="n">
        <x:v>4.7299999999999995</x:v>
      </x:c>
      <x:c r="G215" s="48" t="str">
        <x:v>VERY_DEEP</x:v>
      </x:c>
      <x:c r="H215" s="48"/>
      <x:c r="I215" s="48"/>
      <x:c r="J215" s="48" t="str">
        <x:v>Rookie/depth role estimate</x:v>
      </x:c>
      <x:c r="K215" s="50" t="str">
        <x:v>Rookie/depth role estimate with a wide band and limited NBA evidence. Treat as a watch-list projection, not a published forecast.</x:v>
      </x:c>
      <x:c r="L215" s="50" t="str">
        <x:v>https://www.fantasypros.com/nba/projections/overall.php</x:v>
      </x:c>
      <x:c r="M215" s="50" t="str">
        <x:v>https://github.com/ballacademy/NBA-head-to-head-/blob/5b1decfc31ffb645469c7ffbd01aaca4b18181bd/data/nba-stats/nba-player-stats-202526-regular-season-per-game.csv</x:v>
      </x:c>
    </x:row>
    <x:row r="216">
      <x:c r="A216" s="48" t="str">
        <x:v>Julian Champagnie</x:v>
      </x:c>
      <x:c r="B216" s="48" t="n">
        <x:v>211</x:v>
      </x:c>
      <x:c r="C216" s="48" t="str">
        <x:v>SF</x:v>
      </x:c>
      <x:c r="D216" s="48" t="n">
        <x:v>60</x:v>
      </x:c>
      <x:c r="E216" s="48" t="n">
        <x:v>0</x:v>
      </x:c>
      <x:c r="F216" s="48" t="n">
        <x:v>3.865</x:v>
      </x:c>
      <x:c r="G216" s="48" t="str">
        <x:v>DEEP</x:v>
      </x:c>
      <x:c r="H216" s="48"/>
      <x:c r="I216" s="48"/>
      <x:c r="J216" s="48" t="str">
        <x:v>2025-26 custom-score + role shrink</x:v>
      </x:c>
      <x:c r="K216" s="50" t="str">
        <x:v>Deep-pool model: 2025-26 custom-score production shrunk toward a conservative 2026-27 role estimate; not a published projection.</x:v>
      </x:c>
      <x:c r="L216" s="50" t="str">
        <x:v>https://github.com/plourr03/wolves-front-office/blob/5d152a169188fb9b210186a7a0d3403d4081ed38/kuminga/data/roster_snapshot_2026_27_v3.csv</x:v>
      </x:c>
      <x:c r="M216" s="50" t="str">
        <x:v>https://github.com/ballacademy/NBA-head-to-head-/blob/5b1decfc31ffb645469c7ffbd01aaca4b18181bd/data/nba-stats/nba-player-stats-202526-regular-season-per-game.csv</x:v>
      </x:c>
    </x:row>
    <x:row r="217">
      <x:c r="A217" s="48" t="str">
        <x:v>Moses Moody</x:v>
      </x:c>
      <x:c r="B217" s="48" t="n">
        <x:v>212</x:v>
      </x:c>
      <x:c r="C217" s="48" t="str">
        <x:v>SG</x:v>
      </x:c>
      <x:c r="D217" s="48" t="n">
        <x:v>70</x:v>
      </x:c>
      <x:c r="E217" s="48" t="n">
        <x:v>0</x:v>
      </x:c>
      <x:c r="F217" s="48" t="n">
        <x:v>3.5</x:v>
      </x:c>
      <x:c r="G217" s="48" t="str">
        <x:v>DEEP</x:v>
      </x:c>
      <x:c r="H217" s="48"/>
      <x:c r="I217" s="48"/>
      <x:c r="J217" s="48" t="str">
        <x:v>Deep-board estimate</x:v>
      </x:c>
      <x:c r="K217" s="50" t="str">
        <x:v>Deep-board candidate for a 10-team league; custom-format estimate emphasizes role, efficiency and rebounding. Recheck camp role and app eligibility before draft day.</x:v>
      </x:c>
      <x:c r="L217" s="50" t="str">
        <x:v>https://ca.sports.yahoo.com/news/2026-27-fantasy-basketball-rankings-top-200-players-points-leagues-182942270.html</x:v>
      </x:c>
      <x:c r="M217" s="50" t="str">
        <x:v>https://ca.sports.yahoo.com/news/2026-27-fantasy-basketball-rankings-top-200-players-points-leagues-182942270.html</x:v>
      </x:c>
    </x:row>
    <x:row r="218">
      <x:c r="A218" s="48" t="str">
        <x:v>Jalen Smith</x:v>
      </x:c>
      <x:c r="B218" s="48" t="n">
        <x:v>213</x:v>
      </x:c>
      <x:c r="C218" s="48" t="str">
        <x:v>PF</x:v>
      </x:c>
      <x:c r="D218" s="48" t="n">
        <x:v>60</x:v>
      </x:c>
      <x:c r="E218" s="48" t="n">
        <x:v>0</x:v>
      </x:c>
      <x:c r="F218" s="48" t="n">
        <x:v>3.835000000000001</x:v>
      </x:c>
      <x:c r="G218" s="48" t="str">
        <x:v>DEEP</x:v>
      </x:c>
      <x:c r="H218" s="48"/>
      <x:c r="I218" s="48"/>
      <x:c r="J218" s="48" t="str">
        <x:v>2025-26 custom-score + role shrink</x:v>
      </x:c>
      <x:c r="K218" s="50" t="str">
        <x:v>Deep-pool model: 2025-26 custom-score production shrunk toward a conservative 2026-27 role estimate; not a published projection.</x:v>
      </x:c>
      <x:c r="L218" s="50" t="str">
        <x:v>https://github.com/plourr03/wolves-front-office/blob/5d152a169188fb9b210186a7a0d3403d4081ed38/kuminga/data/roster_snapshot_2026_27_v3.csv</x:v>
      </x:c>
      <x:c r="M218" s="50" t="str">
        <x:v>https://github.com/ballacademy/NBA-head-to-head-/blob/5b1decfc31ffb645469c7ffbd01aaca4b18181bd/data/nba-stats/nba-player-stats-202526-regular-season-per-game.csv</x:v>
      </x:c>
    </x:row>
    <x:row r="219">
      <x:c r="A219" s="48" t="str">
        <x:v>Steven Adams</x:v>
      </x:c>
      <x:c r="B219" s="48" t="n">
        <x:v>214</x:v>
      </x:c>
      <x:c r="C219" s="48" t="str">
        <x:v>C</x:v>
      </x:c>
      <x:c r="D219" s="48" t="n">
        <x:v>60</x:v>
      </x:c>
      <x:c r="E219" s="48" t="n">
        <x:v>0</x:v>
      </x:c>
      <x:c r="F219" s="48" t="n">
        <x:v>3.8249999999999993</x:v>
      </x:c>
      <x:c r="G219" s="48" t="str">
        <x:v>DEEP</x:v>
      </x:c>
      <x:c r="H219" s="48"/>
      <x:c r="I219" s="48"/>
      <x:c r="J219" s="48" t="str">
        <x:v>2025-26 custom-score + role shrink</x:v>
      </x:c>
      <x:c r="K219" s="50" t="str">
        <x:v>Deep-pool model: 2025-26 custom-score production shrunk toward a conservative 2026-27 role estimate; not a published projection.</x:v>
      </x:c>
      <x:c r="L219" s="50" t="str">
        <x:v>https://github.com/plourr03/wolves-front-office/blob/5d152a169188fb9b210186a7a0d3403d4081ed38/kuminga/data/roster_snapshot_2026_27_v3.csv</x:v>
      </x:c>
      <x:c r="M219" s="50" t="str">
        <x:v>https://github.com/ballacademy/NBA-head-to-head-/blob/5b1decfc31ffb645469c7ffbd01aaca4b18181bd/data/nba-stats/nba-player-stats-202526-regular-season-per-game.csv</x:v>
      </x:c>
    </x:row>
    <x:row r="220">
      <x:c r="A220" s="48" t="str">
        <x:v>Cam Thomas</x:v>
      </x:c>
      <x:c r="B220" s="48" t="n">
        <x:v>215</x:v>
      </x:c>
      <x:c r="C220" s="48" t="str">
        <x:v>SG</x:v>
      </x:c>
      <x:c r="D220" s="48" t="n">
        <x:v>70</x:v>
      </x:c>
      <x:c r="E220" s="48" t="n">
        <x:v>0</x:v>
      </x:c>
      <x:c r="F220" s="48" t="n">
        <x:v>3.5</x:v>
      </x:c>
      <x:c r="G220" s="48" t="str">
        <x:v>DEEP</x:v>
      </x:c>
      <x:c r="H220" s="48"/>
      <x:c r="I220" s="48"/>
      <x:c r="J220" s="48" t="str">
        <x:v>Deep-board estimate</x:v>
      </x:c>
      <x:c r="K220" s="50" t="str">
        <x:v>Deep-board candidate for a 10-team league; custom-format estimate emphasizes role, efficiency and rebounding. Recheck camp role and app eligibility before draft day.</x:v>
      </x:c>
      <x:c r="L220" s="50" t="str">
        <x:v>https://ca.sports.yahoo.com/news/2026-27-fantasy-basketball-rankings-top-200-players-points-leagues-182942270.html</x:v>
      </x:c>
      <x:c r="M220" s="50" t="str">
        <x:v>https://ca.sports.yahoo.com/news/2026-27-fantasy-basketball-rankings-top-200-players-points-leagues-182942270.html</x:v>
      </x:c>
    </x:row>
    <x:row r="221">
      <x:c r="A221" s="48" t="str">
        <x:v>Robert Williams III</x:v>
      </x:c>
      <x:c r="B221" s="48" t="n">
        <x:v>216</x:v>
      </x:c>
      <x:c r="C221" s="48" t="str">
        <x:v>C</x:v>
      </x:c>
      <x:c r="D221" s="48" t="n">
        <x:v>60</x:v>
      </x:c>
      <x:c r="E221" s="48" t="n">
        <x:v>0</x:v>
      </x:c>
      <x:c r="F221" s="48" t="n">
        <x:v>3.8200000000000003</x:v>
      </x:c>
      <x:c r="G221" s="48" t="str">
        <x:v>DEEP</x:v>
      </x:c>
      <x:c r="H221" s="48"/>
      <x:c r="I221" s="48"/>
      <x:c r="J221" s="48" t="str">
        <x:v>2025-26 custom-score + role shrink</x:v>
      </x:c>
      <x:c r="K221" s="50" t="str">
        <x:v>Deep-pool model: 2025-26 custom-score production shrunk toward a conservative 2026-27 role estimate; not a published projection.</x:v>
      </x:c>
      <x:c r="L221" s="50" t="str">
        <x:v>https://github.com/plourr03/wolves-front-office/blob/5d152a169188fb9b210186a7a0d3403d4081ed38/kuminga/data/roster_snapshot_2026_27_v3.csv</x:v>
      </x:c>
      <x:c r="M221" s="50" t="str">
        <x:v>https://github.com/ballacademy/NBA-head-to-head-/blob/5b1decfc31ffb645469c7ffbd01aaca4b18181bd/data/nba-stats/nba-player-stats-202526-regular-season-per-game.csv</x:v>
      </x:c>
    </x:row>
    <x:row r="222">
      <x:c r="A222" s="48" t="str">
        <x:v>Isaiah Stewart</x:v>
      </x:c>
      <x:c r="B222" s="48" t="n">
        <x:v>217</x:v>
      </x:c>
      <x:c r="C222" s="48" t="str">
        <x:v>C</x:v>
      </x:c>
      <x:c r="D222" s="48" t="n">
        <x:v>70</x:v>
      </x:c>
      <x:c r="E222" s="48" t="n">
        <x:v>0</x:v>
      </x:c>
      <x:c r="F222" s="48" t="n">
        <x:v>3.5</x:v>
      </x:c>
      <x:c r="G222" s="48" t="str">
        <x:v>DEEP</x:v>
      </x:c>
      <x:c r="H222" s="48"/>
      <x:c r="I222" s="48"/>
      <x:c r="J222" s="48" t="str">
        <x:v>Deep-board estimate</x:v>
      </x:c>
      <x:c r="K222" s="50" t="str">
        <x:v>Deep-board candidate for a 10-team league; custom-format estimate emphasizes role, efficiency and rebounding. Recheck camp role and app eligibility before draft day.</x:v>
      </x:c>
      <x:c r="L222" s="50" t="str">
        <x:v>https://ca.sports.yahoo.com/news/2026-27-fantasy-basketball-rankings-top-200-players-points-leagues-182942270.html</x:v>
      </x:c>
      <x:c r="M222" s="50" t="str">
        <x:v>https://ca.sports.yahoo.com/news/2026-27-fantasy-basketball-rankings-top-200-players-points-leagues-182942270.html</x:v>
      </x:c>
    </x:row>
    <x:row r="223">
      <x:c r="A223" s="48" t="str">
        <x:v>Dennis Schroder</x:v>
      </x:c>
      <x:c r="B223" s="48" t="n">
        <x:v>218</x:v>
      </x:c>
      <x:c r="C223" s="48" t="str">
        <x:v>PG</x:v>
      </x:c>
      <x:c r="D223" s="48" t="n">
        <x:v>70</x:v>
      </x:c>
      <x:c r="E223" s="48" t="n">
        <x:v>0</x:v>
      </x:c>
      <x:c r="F223" s="48" t="n">
        <x:v>3.5</x:v>
      </x:c>
      <x:c r="G223" s="48" t="str">
        <x:v>DEEP</x:v>
      </x:c>
      <x:c r="H223" s="48"/>
      <x:c r="I223" s="48"/>
      <x:c r="J223" s="48" t="str">
        <x:v>Deep-board estimate</x:v>
      </x:c>
      <x:c r="K223" s="50" t="str">
        <x:v>Deep-board candidate for a 10-team league; custom-format estimate emphasizes role, efficiency and rebounding. Recheck camp role and app eligibility before draft day.</x:v>
      </x:c>
      <x:c r="L223" s="50" t="str">
        <x:v>https://ca.sports.yahoo.com/news/2026-27-fantasy-basketball-rankings-top-200-players-points-leagues-182942270.html</x:v>
      </x:c>
      <x:c r="M223" s="50" t="str">
        <x:v>https://ca.sports.yahoo.com/news/2026-27-fantasy-basketball-rankings-top-200-players-points-leagues-182942270.html</x:v>
      </x:c>
    </x:row>
    <x:row r="224">
      <x:c r="A224" s="48" t="str">
        <x:v>Al Horford</x:v>
      </x:c>
      <x:c r="B224" s="48" t="n">
        <x:v>219</x:v>
      </x:c>
      <x:c r="C224" s="48" t="str">
        <x:v>C</x:v>
      </x:c>
      <x:c r="D224" s="48" t="n">
        <x:v>70</x:v>
      </x:c>
      <x:c r="E224" s="48" t="n">
        <x:v>0</x:v>
      </x:c>
      <x:c r="F224" s="48" t="n">
        <x:v>3.5</x:v>
      </x:c>
      <x:c r="G224" s="48" t="str">
        <x:v>DEEP</x:v>
      </x:c>
      <x:c r="H224" s="48"/>
      <x:c r="I224" s="48"/>
      <x:c r="J224" s="48" t="str">
        <x:v>Deep-board estimate</x:v>
      </x:c>
      <x:c r="K224" s="50" t="str">
        <x:v>Deep-board candidate for a 10-team league; custom-format estimate emphasizes role, efficiency and rebounding. Recheck camp role and app eligibility before draft day.</x:v>
      </x:c>
      <x:c r="L224" s="50" t="str">
        <x:v>https://ca.sports.yahoo.com/news/2026-27-fantasy-basketball-rankings-top-200-players-points-leagues-182942270.html</x:v>
      </x:c>
      <x:c r="M224" s="50" t="str">
        <x:v>https://ca.sports.yahoo.com/news/2026-27-fantasy-basketball-rankings-top-200-players-points-leagues-182942270.html</x:v>
      </x:c>
    </x:row>
    <x:row r="225">
      <x:c r="A225" s="48" t="str">
        <x:v>Brice Sensabaugh</x:v>
      </x:c>
      <x:c r="B225" s="48" t="n">
        <x:v>220</x:v>
      </x:c>
      <x:c r="C225" s="48" t="str">
        <x:v>SF</x:v>
      </x:c>
      <x:c r="D225" s="48" t="n">
        <x:v>60</x:v>
      </x:c>
      <x:c r="E225" s="48" t="n">
        <x:v>0</x:v>
      </x:c>
      <x:c r="F225" s="48" t="n">
        <x:v>3.8000000000000007</x:v>
      </x:c>
      <x:c r="G225" s="48" t="str">
        <x:v>DEEP</x:v>
      </x:c>
      <x:c r="H225" s="48"/>
      <x:c r="I225" s="48"/>
      <x:c r="J225" s="48" t="str">
        <x:v>2025-26 custom-score + role shrink</x:v>
      </x:c>
      <x:c r="K225" s="50" t="str">
        <x:v>Deep-pool model: 2025-26 custom-score production shrunk toward a conservative 2026-27 role estimate; not a published projection.</x:v>
      </x:c>
      <x:c r="L225" s="50" t="str">
        <x:v>https://github.com/plourr03/wolves-front-office/blob/5d152a169188fb9b210186a7a0d3403d4081ed38/kuminga/data/roster_snapshot_2026_27_v3.csv</x:v>
      </x:c>
      <x:c r="M225" s="50" t="str">
        <x:v>https://github.com/ballacademy/NBA-head-to-head-/blob/5b1decfc31ffb645469c7ffbd01aaca4b18181bd/data/nba-stats/nba-player-stats-202526-regular-season-per-game.csv</x:v>
      </x:c>
    </x:row>
    <x:row r="226">
      <x:c r="A226" s="48" t="str">
        <x:v>Brook Lopez</x:v>
      </x:c>
      <x:c r="B226" s="48" t="n">
        <x:v>221</x:v>
      </x:c>
      <x:c r="C226" s="48" t="str">
        <x:v>C</x:v>
      </x:c>
      <x:c r="D226" s="48" t="n">
        <x:v>70</x:v>
      </x:c>
      <x:c r="E226" s="48" t="n">
        <x:v>0</x:v>
      </x:c>
      <x:c r="F226" s="48" t="n">
        <x:v>3.5</x:v>
      </x:c>
      <x:c r="G226" s="48" t="str">
        <x:v>DEEP</x:v>
      </x:c>
      <x:c r="H226" s="48"/>
      <x:c r="I226" s="48"/>
      <x:c r="J226" s="48" t="str">
        <x:v>Deep-board estimate</x:v>
      </x:c>
      <x:c r="K226" s="50" t="str">
        <x:v>Deep-board candidate for a 10-team league; custom-format estimate emphasizes role, efficiency and rebounding. Recheck camp role and app eligibility before draft day.</x:v>
      </x:c>
      <x:c r="L226" s="50" t="str">
        <x:v>https://ca.sports.yahoo.com/news/2026-27-fantasy-basketball-rankings-top-200-players-points-leagues-182942270.html</x:v>
      </x:c>
      <x:c r="M226" s="50" t="str">
        <x:v>https://ca.sports.yahoo.com/news/2026-27-fantasy-basketball-rankings-top-200-players-points-leagues-182942270.html</x:v>
      </x:c>
    </x:row>
    <x:row r="227">
      <x:c r="A227" s="48" t="str">
        <x:v>Jordan Clarkson</x:v>
      </x:c>
      <x:c r="B227" s="48" t="n">
        <x:v>222</x:v>
      </x:c>
      <x:c r="C227" s="48" t="str">
        <x:v>SG</x:v>
      </x:c>
      <x:c r="D227" s="48" t="n">
        <x:v>70</x:v>
      </x:c>
      <x:c r="E227" s="48" t="n">
        <x:v>0</x:v>
      </x:c>
      <x:c r="F227" s="48" t="n">
        <x:v>3.5</x:v>
      </x:c>
      <x:c r="G227" s="48" t="str">
        <x:v>DEEP</x:v>
      </x:c>
      <x:c r="H227" s="48"/>
      <x:c r="I227" s="48"/>
      <x:c r="J227" s="48" t="str">
        <x:v>Deep-board estimate</x:v>
      </x:c>
      <x:c r="K227" s="50" t="str">
        <x:v>Deep-board candidate for a 10-team league; custom-format estimate emphasizes role, efficiency and rebounding. Recheck camp role and app eligibility before draft day.</x:v>
      </x:c>
      <x:c r="L227" s="50" t="str">
        <x:v>https://ca.sports.yahoo.com/news/2026-27-fantasy-basketball-rankings-top-200-players-points-leagues-182942270.html</x:v>
      </x:c>
      <x:c r="M227" s="50" t="str">
        <x:v>https://ca.sports.yahoo.com/news/2026-27-fantasy-basketball-rankings-top-200-players-points-leagues-182942270.html</x:v>
      </x:c>
    </x:row>
    <x:row r="228">
      <x:c r="A228" s="48" t="str">
        <x:v>Kennedy Chandler</x:v>
      </x:c>
      <x:c r="B228" s="48" t="n">
        <x:v>223</x:v>
      </x:c>
      <x:c r="C228" s="48" t="str">
        <x:v>PG</x:v>
      </x:c>
      <x:c r="D228" s="48" t="n">
        <x:v>64</x:v>
      </x:c>
      <x:c r="E228" s="48" t="n">
        <x:v>0</x:v>
      </x:c>
      <x:c r="F228" s="48" t="n">
        <x:v>5.665</x:v>
      </x:c>
      <x:c r="G228" s="48" t="str">
        <x:v>VERY_DEEP</x:v>
      </x:c>
      <x:c r="H228" s="48"/>
      <x:c r="I228" s="48"/>
      <x:c r="J228" s="48" t="str">
        <x:v>2025-26 custom-score + role shrink</x:v>
      </x:c>
      <x:c r="K228" s="50" t="str">
        <x:v>Very-deep model estimate with limited sample/role certainty. Use as a search/watch-list value and refresh once final rotations are known.</x:v>
      </x:c>
      <x:c r="L228" s="50" t="str">
        <x:v>https://github.com/A-V29/NBA.Rosters/blob/main/2026.Summer.League.json</x:v>
      </x:c>
      <x:c r="M228" s="50" t="str">
        <x:v>https://github.com/ballacademy/NBA-head-to-head-/blob/5b1decfc31ffb645469c7ffbd01aaca4b18181bd/data/nba-stats/nba-player-stats-202526-regular-season-per-game.csv</x:v>
      </x:c>
    </x:row>
    <x:row r="229">
      <x:c r="A229" s="48" t="str">
        <x:v>Andre Drummond</x:v>
      </x:c>
      <x:c r="B229" s="48" t="n">
        <x:v>224</x:v>
      </x:c>
      <x:c r="C229" s="48" t="str">
        <x:v>C</x:v>
      </x:c>
      <x:c r="D229" s="48" t="n">
        <x:v>60</x:v>
      </x:c>
      <x:c r="E229" s="48" t="n">
        <x:v>0</x:v>
      </x:c>
      <x:c r="F229" s="48" t="n">
        <x:v>3.6449999999999996</x:v>
      </x:c>
      <x:c r="G229" s="48" t="str">
        <x:v>DEEP</x:v>
      </x:c>
      <x:c r="H229" s="48"/>
      <x:c r="I229" s="48"/>
      <x:c r="J229" s="48" t="str">
        <x:v>2025-26 custom-score + role shrink</x:v>
      </x:c>
      <x:c r="K229" s="50" t="str">
        <x:v>Deep-pool model: 2025-26 custom-score production shrunk toward a conservative 2026-27 role estimate; not a published projection.</x:v>
      </x:c>
      <x:c r="L229" s="50" t="str">
        <x:v>https://github.com/plourr03/wolves-front-office/blob/5d152a169188fb9b210186a7a0d3403d4081ed38/kuminga/data/roster_snapshot_2026_27_v3.csv</x:v>
      </x:c>
      <x:c r="M229" s="50" t="str">
        <x:v>https://github.com/ballacademy/NBA-head-to-head-/blob/5b1decfc31ffb645469c7ffbd01aaca4b18181bd/data/nba-stats/nba-player-stats-202526-regular-season-per-game.csv</x:v>
      </x:c>
    </x:row>
    <x:row r="230">
      <x:c r="A230" s="48" t="str">
        <x:v>Walter Clayton Jr.</x:v>
      </x:c>
      <x:c r="B230" s="48" t="n">
        <x:v>225</x:v>
      </x:c>
      <x:c r="C230" s="48" t="str">
        <x:v>PG</x:v>
      </x:c>
      <x:c r="D230" s="48" t="n">
        <x:v>70</x:v>
      </x:c>
      <x:c r="E230" s="48" t="n">
        <x:v>0</x:v>
      </x:c>
      <x:c r="F230" s="48" t="n">
        <x:v>3.5</x:v>
      </x:c>
      <x:c r="G230" s="48" t="str">
        <x:v>DEEP</x:v>
      </x:c>
      <x:c r="H230" s="48"/>
      <x:c r="I230" s="48"/>
      <x:c r="J230" s="48" t="str">
        <x:v>Deep-board estimate</x:v>
      </x:c>
      <x:c r="K230" s="50" t="str">
        <x:v>Deep-board candidate for a 10-team league; custom-format estimate emphasizes role, efficiency and rebounding. Recheck camp role and app eligibility before draft day.</x:v>
      </x:c>
      <x:c r="L230" s="50" t="str">
        <x:v>https://ca.sports.yahoo.com/news/2026-27-fantasy-basketball-rankings-top-200-players-points-leagues-182942270.html</x:v>
      </x:c>
      <x:c r="M230" s="50" t="str">
        <x:v>https://ca.sports.yahoo.com/news/2026-27-fantasy-basketball-rankings-top-200-players-points-leagues-182942270.html</x:v>
      </x:c>
    </x:row>
    <x:row r="231">
      <x:c r="A231" s="48" t="str">
        <x:v>Brandon Williams</x:v>
      </x:c>
      <x:c r="B231" s="48" t="n">
        <x:v>226</x:v>
      </x:c>
      <x:c r="C231" s="48" t="str">
        <x:v>PG</x:v>
      </x:c>
      <x:c r="D231" s="48" t="n">
        <x:v>60</x:v>
      </x:c>
      <x:c r="E231" s="48" t="n">
        <x:v>0</x:v>
      </x:c>
      <x:c r="F231" s="48" t="n">
        <x:v>3.635</x:v>
      </x:c>
      <x:c r="G231" s="48" t="str">
        <x:v>DEEP</x:v>
      </x:c>
      <x:c r="H231" s="48"/>
      <x:c r="I231" s="48"/>
      <x:c r="J231" s="48" t="str">
        <x:v>2025-26 custom-score + role shrink</x:v>
      </x:c>
      <x:c r="K231" s="50" t="str">
        <x:v>Deep-pool model: 2025-26 custom-score production shrunk toward a conservative 2026-27 role estimate; not a published projection.</x:v>
      </x:c>
      <x:c r="L231" s="50" t="str">
        <x:v>https://github.com/plourr03/wolves-front-office/blob/5d152a169188fb9b210186a7a0d3403d4081ed38/kuminga/data/roster_snapshot_2026_27_v3.csv</x:v>
      </x:c>
      <x:c r="M231" s="50" t="str">
        <x:v>https://github.com/ballacademy/NBA-head-to-head-/blob/5b1decfc31ffb645469c7ffbd01aaca4b18181bd/data/nba-stats/nba-player-stats-202526-regular-season-per-game.csv</x:v>
      </x:c>
    </x:row>
    <x:row r="232">
      <x:c r="A232" s="48" t="str">
        <x:v>De'Anthony Melton</x:v>
      </x:c>
      <x:c r="B232" s="48" t="n">
        <x:v>227</x:v>
      </x:c>
      <x:c r="C232" s="48" t="str">
        <x:v>SG</x:v>
      </x:c>
      <x:c r="D232" s="48" t="n">
        <x:v>72</x:v>
      </x:c>
      <x:c r="E232" s="48" t="n">
        <x:v>0</x:v>
      </x:c>
      <x:c r="F232" s="48" t="n">
        <x:v>3.5</x:v>
      </x:c>
      <x:c r="G232" s="48" t="str">
        <x:v>DEEP</x:v>
      </x:c>
      <x:c r="H232" s="48"/>
      <x:c r="I232" s="48"/>
      <x:c r="J232" s="48" t="str">
        <x:v>2025-26 custom-score + role shrink</x:v>
      </x:c>
      <x:c r="K232" s="50" t="str">
        <x:v>Deep-pool model: 2025-26 custom-score production shrunk toward a conservative 2026-27 role estimate; not a published projection.</x:v>
      </x:c>
      <x:c r="L232" s="50" t="str">
        <x:v>https://www.fantasypros.com/nba/projections/overall.php</x:v>
      </x:c>
      <x:c r="M232" s="50" t="str">
        <x:v>https://github.com/ballacademy/NBA-head-to-head-/blob/5b1decfc31ffb645469c7ffbd01aaca4b18181bd/data/nba-stats/nba-player-stats-202526-regular-season-per-game.csv</x:v>
      </x:c>
    </x:row>
    <x:row r="233">
      <x:c r="A233" s="48" t="str">
        <x:v>Jaden Ivey</x:v>
      </x:c>
      <x:c r="B233" s="48" t="n">
        <x:v>228</x:v>
      </x:c>
      <x:c r="C233" s="48" t="str">
        <x:v>SG</x:v>
      </x:c>
      <x:c r="D233" s="48" t="n">
        <x:v>70</x:v>
      </x:c>
      <x:c r="E233" s="48" t="n">
        <x:v>0</x:v>
      </x:c>
      <x:c r="F233" s="48" t="n">
        <x:v>3.5</x:v>
      </x:c>
      <x:c r="G233" s="48" t="str">
        <x:v>DEEP</x:v>
      </x:c>
      <x:c r="H233" s="48"/>
      <x:c r="I233" s="48"/>
      <x:c r="J233" s="48" t="str">
        <x:v>Deep-board estimate</x:v>
      </x:c>
      <x:c r="K233" s="50" t="str">
        <x:v>Deep-board candidate for a 10-team league; custom-format estimate emphasizes role, efficiency and rebounding. Recheck camp role and app eligibility before draft day.</x:v>
      </x:c>
      <x:c r="L233" s="50" t="str">
        <x:v>https://ca.sports.yahoo.com/news/2026-27-fantasy-basketball-rankings-top-200-players-points-leagues-182942270.html</x:v>
      </x:c>
      <x:c r="M233" s="50" t="str">
        <x:v>https://ca.sports.yahoo.com/news/2026-27-fantasy-basketball-rankings-top-200-players-points-leagues-182942270.html</x:v>
      </x:c>
    </x:row>
    <x:row r="234">
      <x:c r="A234" s="48" t="str">
        <x:v>Pelle Larsson</x:v>
      </x:c>
      <x:c r="B234" s="48" t="n">
        <x:v>229</x:v>
      </x:c>
      <x:c r="C234" s="48" t="str">
        <x:v>SG</x:v>
      </x:c>
      <x:c r="D234" s="48" t="n">
        <x:v>60</x:v>
      </x:c>
      <x:c r="E234" s="48" t="n">
        <x:v>0</x:v>
      </x:c>
      <x:c r="F234" s="48" t="n">
        <x:v>3.585000000000001</x:v>
      </x:c>
      <x:c r="G234" s="48" t="str">
        <x:v>DEEP</x:v>
      </x:c>
      <x:c r="H234" s="48"/>
      <x:c r="I234" s="48"/>
      <x:c r="J234" s="48" t="str">
        <x:v>2025-26 custom-score + role shrink</x:v>
      </x:c>
      <x:c r="K234" s="50" t="str">
        <x:v>Deep-pool model: 2025-26 custom-score production shrunk toward a conservative 2026-27 role estimate; not a published projection.</x:v>
      </x:c>
      <x:c r="L234" s="50" t="str">
        <x:v>https://github.com/plourr03/wolves-front-office/blob/5d152a169188fb9b210186a7a0d3403d4081ed38/kuminga/data/roster_snapshot_2026_27_v3.csv</x:v>
      </x:c>
      <x:c r="M234" s="50" t="str">
        <x:v>https://github.com/ballacademy/NBA-head-to-head-/blob/5b1decfc31ffb645469c7ffbd01aaca4b18181bd/data/nba-stats/nba-player-stats-202526-regular-season-per-game.csv</x:v>
      </x:c>
    </x:row>
    <x:row r="235">
      <x:c r="A235" s="48" t="str">
        <x:v>Ryan Kalkbrenner</x:v>
      </x:c>
      <x:c r="B235" s="48" t="n">
        <x:v>230</x:v>
      </x:c>
      <x:c r="C235" s="48" t="str">
        <x:v>C</x:v>
      </x:c>
      <x:c r="D235" s="48" t="n">
        <x:v>64</x:v>
      </x:c>
      <x:c r="E235" s="48" t="n">
        <x:v>0</x:v>
      </x:c>
      <x:c r="F235" s="48" t="n">
        <x:v>3.5549999999999997</x:v>
      </x:c>
      <x:c r="G235" s="48" t="str">
        <x:v>DEEP</x:v>
      </x:c>
      <x:c r="H235" s="48"/>
      <x:c r="I235" s="48"/>
      <x:c r="J235" s="48" t="str">
        <x:v>2025-26 custom-score + role shrink</x:v>
      </x:c>
      <x:c r="K235" s="50" t="str">
        <x:v>Deep-pool model: 2025-26 custom-score production shrunk toward a conservative 2026-27 role estimate; not a published projection.</x:v>
      </x:c>
      <x:c r="L235" s="50" t="str">
        <x:v>https://github.com/A-V29/NBA.Rosters/blob/main/2026.Summer.League.json</x:v>
      </x:c>
      <x:c r="M235" s="50" t="str">
        <x:v>https://github.com/ballacademy/NBA-head-to-head-/blob/5b1decfc31ffb645469c7ffbd01aaca4b18181bd/data/nba-stats/nba-player-stats-202526-regular-season-per-game.csv</x:v>
      </x:c>
    </x:row>
    <x:row r="236">
      <x:c r="A236" s="48" t="str">
        <x:v>Tre Mann</x:v>
      </x:c>
      <x:c r="B236" s="48" t="n">
        <x:v>231</x:v>
      </x:c>
      <x:c r="C236" s="48" t="str">
        <x:v>PG</x:v>
      </x:c>
      <x:c r="D236" s="48" t="n">
        <x:v>70</x:v>
      </x:c>
      <x:c r="E236" s="48" t="n">
        <x:v>0</x:v>
      </x:c>
      <x:c r="F236" s="48" t="n">
        <x:v>3.5</x:v>
      </x:c>
      <x:c r="G236" s="48" t="str">
        <x:v>DEEP</x:v>
      </x:c>
      <x:c r="H236" s="48"/>
      <x:c r="I236" s="48"/>
      <x:c r="J236" s="48" t="str">
        <x:v>Deep-board estimate</x:v>
      </x:c>
      <x:c r="K236" s="50" t="str">
        <x:v>Deep-board candidate for a 10-team league; custom-format estimate emphasizes role, efficiency and rebounding. Recheck camp role and app eligibility before draft day.</x:v>
      </x:c>
      <x:c r="L236" s="50" t="str">
        <x:v>https://ca.sports.yahoo.com/news/2026-27-fantasy-basketball-rankings-top-200-players-points-leagues-182942270.html</x:v>
      </x:c>
      <x:c r="M236" s="50" t="str">
        <x:v>https://ca.sports.yahoo.com/news/2026-27-fantasy-basketball-rankings-top-200-players-points-leagues-182942270.html</x:v>
      </x:c>
    </x:row>
    <x:row r="237">
      <x:c r="A237" s="48" t="str">
        <x:v>G.G. Jackson</x:v>
      </x:c>
      <x:c r="B237" s="48" t="n">
        <x:v>232</x:v>
      </x:c>
      <x:c r="C237" s="48" t="str">
        <x:v>PF</x:v>
      </x:c>
      <x:c r="D237" s="48" t="n">
        <x:v>60</x:v>
      </x:c>
      <x:c r="E237" s="48" t="n">
        <x:v>0</x:v>
      </x:c>
      <x:c r="F237" s="48" t="n">
        <x:v>3.58</x:v>
      </x:c>
      <x:c r="G237" s="48" t="str">
        <x:v>DEEP</x:v>
      </x:c>
      <x:c r="H237" s="48"/>
      <x:c r="I237" s="48"/>
      <x:c r="J237" s="48" t="str">
        <x:v>2025-26 custom-score + role shrink</x:v>
      </x:c>
      <x:c r="K237" s="50" t="str">
        <x:v>Deep-pool model: 2025-26 custom-score production shrunk toward a conservative 2026-27 role estimate; not a published projection.</x:v>
      </x:c>
      <x:c r="L237" s="50" t="str">
        <x:v>https://github.com/plourr03/wolves-front-office/blob/5d152a169188fb9b210186a7a0d3403d4081ed38/kuminga/data/roster_snapshot_2026_27_v3.csv</x:v>
      </x:c>
      <x:c r="M237" s="50" t="str">
        <x:v>https://github.com/ballacademy/NBA-head-to-head-/blob/5b1decfc31ffb645469c7ffbd01aaca4b18181bd/data/nba-stats/nba-player-stats-202526-regular-season-per-game.csv</x:v>
      </x:c>
    </x:row>
    <x:row r="238">
      <x:c r="A238" s="48" t="str">
        <x:v>Sam Merrill</x:v>
      </x:c>
      <x:c r="B238" s="48" t="n">
        <x:v>233</x:v>
      </x:c>
      <x:c r="C238" s="48" t="str">
        <x:v>SG</x:v>
      </x:c>
      <x:c r="D238" s="48" t="n">
        <x:v>60</x:v>
      </x:c>
      <x:c r="E238" s="48" t="n">
        <x:v>0</x:v>
      </x:c>
      <x:c r="F238" s="48" t="n">
        <x:v>3.58</x:v>
      </x:c>
      <x:c r="G238" s="48" t="str">
        <x:v>DEEP</x:v>
      </x:c>
      <x:c r="H238" s="48"/>
      <x:c r="I238" s="48"/>
      <x:c r="J238" s="48" t="str">
        <x:v>2025-26 custom-score + role shrink</x:v>
      </x:c>
      <x:c r="K238" s="50" t="str">
        <x:v>Deep-pool model: 2025-26 custom-score production shrunk toward a conservative 2026-27 role estimate; not a published projection.</x:v>
      </x:c>
      <x:c r="L238" s="50" t="str">
        <x:v>https://github.com/plourr03/wolves-front-office/blob/5d152a169188fb9b210186a7a0d3403d4081ed38/kuminga/data/roster_snapshot_2026_27_v3.csv</x:v>
      </x:c>
      <x:c r="M238" s="50" t="str">
        <x:v>https://github.com/ballacademy/NBA-head-to-head-/blob/5b1decfc31ffb645469c7ffbd01aaca4b18181bd/data/nba-stats/nba-player-stats-202526-regular-season-per-game.csv</x:v>
      </x:c>
    </x:row>
    <x:row r="239">
      <x:c r="A239" s="48" t="str">
        <x:v>Noah Clowney</x:v>
      </x:c>
      <x:c r="B239" s="48" t="n">
        <x:v>234</x:v>
      </x:c>
      <x:c r="C239" s="48" t="str">
        <x:v>PF</x:v>
      </x:c>
      <x:c r="D239" s="48" t="n">
        <x:v>60</x:v>
      </x:c>
      <x:c r="E239" s="48" t="n">
        <x:v>0</x:v>
      </x:c>
      <x:c r="F239" s="48" t="n">
        <x:v>3.5749999999999993</x:v>
      </x:c>
      <x:c r="G239" s="48" t="str">
        <x:v>DEEP</x:v>
      </x:c>
      <x:c r="H239" s="48"/>
      <x:c r="I239" s="48"/>
      <x:c r="J239" s="48" t="str">
        <x:v>2025-26 custom-score + role shrink</x:v>
      </x:c>
      <x:c r="K239" s="50" t="str">
        <x:v>Deep-pool model: 2025-26 custom-score production shrunk toward a conservative 2026-27 role estimate; not a published projection.</x:v>
      </x:c>
      <x:c r="L239" s="50" t="str">
        <x:v>https://github.com/plourr03/wolves-front-office/blob/5d152a169188fb9b210186a7a0d3403d4081ed38/kuminga/data/roster_snapshot_2026_27_v3.csv</x:v>
      </x:c>
      <x:c r="M239" s="50" t="str">
        <x:v>https://github.com/ballacademy/NBA-head-to-head-/blob/5b1decfc31ffb645469c7ffbd01aaca4b18181bd/data/nba-stats/nba-player-stats-202526-regular-season-per-game.csv</x:v>
      </x:c>
    </x:row>
    <x:row r="240">
      <x:c r="A240" s="48" t="str">
        <x:v>Jordan Goodwin</x:v>
      </x:c>
      <x:c r="B240" s="48" t="n">
        <x:v>235</x:v>
      </x:c>
      <x:c r="C240" s="48" t="str">
        <x:v>PG</x:v>
      </x:c>
      <x:c r="D240" s="48" t="n">
        <x:v>60</x:v>
      </x:c>
      <x:c r="E240" s="48" t="n">
        <x:v>0</x:v>
      </x:c>
      <x:c r="F240" s="48" t="n">
        <x:v>3.5650000000000013</x:v>
      </x:c>
      <x:c r="G240" s="48" t="str">
        <x:v>DEEP</x:v>
      </x:c>
      <x:c r="H240" s="48"/>
      <x:c r="I240" s="48"/>
      <x:c r="J240" s="48" t="str">
        <x:v>2025-26 custom-score + role shrink</x:v>
      </x:c>
      <x:c r="K240" s="50" t="str">
        <x:v>Deep-pool model: 2025-26 custom-score production shrunk toward a conservative 2026-27 role estimate; not a published projection.</x:v>
      </x:c>
      <x:c r="L240" s="50" t="str">
        <x:v>https://github.com/plourr03/wolves-front-office/blob/5d152a169188fb9b210186a7a0d3403d4081ed38/kuminga/data/roster_snapshot_2026_27_v3.csv</x:v>
      </x:c>
      <x:c r="M240" s="50" t="str">
        <x:v>https://github.com/ballacademy/NBA-head-to-head-/blob/5b1decfc31ffb645469c7ffbd01aaca4b18181bd/data/nba-stats/nba-player-stats-202526-regular-season-per-game.csv</x:v>
      </x:c>
    </x:row>
    <x:row r="241">
      <x:c r="A241" s="48" t="str">
        <x:v>Jose Alvarado</x:v>
      </x:c>
      <x:c r="B241" s="48" t="n">
        <x:v>236</x:v>
      </x:c>
      <x:c r="C241" s="48" t="str">
        <x:v>PG</x:v>
      </x:c>
      <x:c r="D241" s="48" t="n">
        <x:v>70</x:v>
      </x:c>
      <x:c r="E241" s="48" t="n">
        <x:v>0</x:v>
      </x:c>
      <x:c r="F241" s="48" t="n">
        <x:v>3.5</x:v>
      </x:c>
      <x:c r="G241" s="48" t="str">
        <x:v>DEEP</x:v>
      </x:c>
      <x:c r="H241" s="48"/>
      <x:c r="I241" s="48"/>
      <x:c r="J241" s="48" t="str">
        <x:v>Deep-board estimate</x:v>
      </x:c>
      <x:c r="K241" s="50" t="str">
        <x:v>Deep-board candidate for a 10-team league; custom-format estimate emphasizes role, efficiency and rebounding. Recheck camp role and app eligibility before draft day.</x:v>
      </x:c>
      <x:c r="L241" s="50" t="str">
        <x:v>https://ca.sports.yahoo.com/news/2026-27-fantasy-basketball-rankings-top-200-players-points-leagues-182942270.html</x:v>
      </x:c>
      <x:c r="M241" s="50" t="str">
        <x:v>https://ca.sports.yahoo.com/news/2026-27-fantasy-basketball-rankings-top-200-players-points-leagues-182942270.html</x:v>
      </x:c>
    </x:row>
    <x:row r="242">
      <x:c r="A242" s="48" t="str">
        <x:v>Justin Champagnie</x:v>
      </x:c>
      <x:c r="B242" s="48" t="n">
        <x:v>237</x:v>
      </x:c>
      <x:c r="C242" s="48" t="str">
        <x:v>SF</x:v>
      </x:c>
      <x:c r="D242" s="48" t="n">
        <x:v>60</x:v>
      </x:c>
      <x:c r="E242" s="48" t="n">
        <x:v>0</x:v>
      </x:c>
      <x:c r="F242" s="48" t="n">
        <x:v>3.5599999999999987</x:v>
      </x:c>
      <x:c r="G242" s="48" t="str">
        <x:v>DEEP</x:v>
      </x:c>
      <x:c r="H242" s="48"/>
      <x:c r="I242" s="48"/>
      <x:c r="J242" s="48" t="str">
        <x:v>2025-26 custom-score + role shrink</x:v>
      </x:c>
      <x:c r="K242" s="50" t="str">
        <x:v>Deep-pool model: 2025-26 custom-score production shrunk toward a conservative 2026-27 role estimate; not a published projection.</x:v>
      </x:c>
      <x:c r="L242" s="50" t="str">
        <x:v>https://github.com/plourr03/wolves-front-office/blob/5d152a169188fb9b210186a7a0d3403d4081ed38/kuminga/data/roster_snapshot_2026_27_v3.csv</x:v>
      </x:c>
      <x:c r="M242" s="50" t="str">
        <x:v>https://github.com/ballacademy/NBA-head-to-head-/blob/5b1decfc31ffb645469c7ffbd01aaca4b18181bd/data/nba-stats/nba-player-stats-202526-regular-season-per-game.csv</x:v>
      </x:c>
    </x:row>
    <x:row r="243">
      <x:c r="A243" s="48" t="str">
        <x:v>Jarace Walker</x:v>
      </x:c>
      <x:c r="B243" s="48" t="n">
        <x:v>238</x:v>
      </x:c>
      <x:c r="C243" s="48" t="str">
        <x:v>PF</x:v>
      </x:c>
      <x:c r="D243" s="48" t="n">
        <x:v>60</x:v>
      </x:c>
      <x:c r="E243" s="48" t="n">
        <x:v>0</x:v>
      </x:c>
      <x:c r="F243" s="48" t="n">
        <x:v>3.539999999999999</x:v>
      </x:c>
      <x:c r="G243" s="48" t="str">
        <x:v>DEEP</x:v>
      </x:c>
      <x:c r="H243" s="48"/>
      <x:c r="I243" s="48"/>
      <x:c r="J243" s="48" t="str">
        <x:v>2025-26 custom-score + role shrink</x:v>
      </x:c>
      <x:c r="K243" s="50" t="str">
        <x:v>Deep-pool model: 2025-26 custom-score production shrunk toward a conservative 2026-27 role estimate; not a published projection.</x:v>
      </x:c>
      <x:c r="L243" s="50" t="str">
        <x:v>https://github.com/plourr03/wolves-front-office/blob/5d152a169188fb9b210186a7a0d3403d4081ed38/kuminga/data/roster_snapshot_2026_27_v3.csv</x:v>
      </x:c>
      <x:c r="M243" s="50" t="str">
        <x:v>https://github.com/ballacademy/NBA-head-to-head-/blob/5b1decfc31ffb645469c7ffbd01aaca4b18181bd/data/nba-stats/nba-player-stats-202526-regular-season-per-game.csv</x:v>
      </x:c>
    </x:row>
    <x:row r="244">
      <x:c r="A244" s="48" t="str">
        <x:v>Dylan Cardwell</x:v>
      </x:c>
      <x:c r="B244" s="48" t="n">
        <x:v>239</x:v>
      </x:c>
      <x:c r="C244" s="48" t="str">
        <x:v>PF</x:v>
      </x:c>
      <x:c r="D244" s="48" t="n">
        <x:v>60</x:v>
      </x:c>
      <x:c r="E244" s="48" t="n">
        <x:v>0</x:v>
      </x:c>
      <x:c r="F244" s="48" t="n">
        <x:v>3.505</x:v>
      </x:c>
      <x:c r="G244" s="48" t="str">
        <x:v>DEEP</x:v>
      </x:c>
      <x:c r="H244" s="48"/>
      <x:c r="I244" s="48"/>
      <x:c r="J244" s="48" t="str">
        <x:v>2025-26 custom-score + role shrink</x:v>
      </x:c>
      <x:c r="K244" s="50" t="str">
        <x:v>Deep-pool model: 2025-26 custom-score production shrunk toward a conservative 2026-27 role estimate; not a published projection.</x:v>
      </x:c>
      <x:c r="L244" s="50" t="str">
        <x:v>https://github.com/plourr03/wolves-front-office/blob/5d152a169188fb9b210186a7a0d3403d4081ed38/kuminga/data/roster_snapshot_2026_27_v3.csv</x:v>
      </x:c>
      <x:c r="M244" s="50" t="str">
        <x:v>https://github.com/ballacademy/NBA-head-to-head-/blob/5b1decfc31ffb645469c7ffbd01aaca4b18181bd/data/nba-stats/nba-player-stats-202526-regular-season-per-game.csv</x:v>
      </x:c>
    </x:row>
    <x:row r="245">
      <x:c r="A245" s="48" t="str">
        <x:v>Royce O'Neale</x:v>
      </x:c>
      <x:c r="B245" s="48" t="n">
        <x:v>240</x:v>
      </x:c>
      <x:c r="C245" s="48" t="str">
        <x:v>SF</x:v>
      </x:c>
      <x:c r="D245" s="48" t="n">
        <x:v>60</x:v>
      </x:c>
      <x:c r="E245" s="48" t="n">
        <x:v>0</x:v>
      </x:c>
      <x:c r="F245" s="48" t="n">
        <x:v>3.504999999999999</x:v>
      </x:c>
      <x:c r="G245" s="48" t="str">
        <x:v>DEEP</x:v>
      </x:c>
      <x:c r="H245" s="48"/>
      <x:c r="I245" s="48"/>
      <x:c r="J245" s="48" t="str">
        <x:v>2025-26 custom-score + role shrink</x:v>
      </x:c>
      <x:c r="K245" s="50" t="str">
        <x:v>Deep-pool model: 2025-26 custom-score production shrunk toward a conservative 2026-27 role estimate; not a published projection.</x:v>
      </x:c>
      <x:c r="L245" s="50" t="str">
        <x:v>https://github.com/plourr03/wolves-front-office/blob/5d152a169188fb9b210186a7a0d3403d4081ed38/kuminga/data/roster_snapshot_2026_27_v3.csv</x:v>
      </x:c>
      <x:c r="M245" s="50" t="str">
        <x:v>https://github.com/ballacademy/NBA-head-to-head-/blob/5b1decfc31ffb645469c7ffbd01aaca4b18181bd/data/nba-stats/nba-player-stats-202526-regular-season-per-game.csv</x:v>
      </x:c>
    </x:row>
    <x:row r="246">
      <x:c r="A246" s="48" t="str">
        <x:v>Alondes Williams</x:v>
      </x:c>
      <x:c r="B246" s="48" t="n">
        <x:v>241</x:v>
      </x:c>
      <x:c r="C246" s="48" t="str">
        <x:v>PG</x:v>
      </x:c>
      <x:c r="D246" s="48" t="n">
        <x:v>64</x:v>
      </x:c>
      <x:c r="E246" s="48" t="n">
        <x:v>0</x:v>
      </x:c>
      <x:c r="F246" s="48" t="n">
        <x:v>5.3549999999999995</x:v>
      </x:c>
      <x:c r="G246" s="48" t="str">
        <x:v>VERY_DEEP</x:v>
      </x:c>
      <x:c r="H246" s="48"/>
      <x:c r="I246" s="48"/>
      <x:c r="J246" s="48" t="str">
        <x:v>2025-26 custom-score + role shrink</x:v>
      </x:c>
      <x:c r="K246" s="50" t="str">
        <x:v>Very-deep model estimate with limited sample/role certainty. Use as a search/watch-list value and refresh once final rotations are known.</x:v>
      </x:c>
      <x:c r="L246" s="50" t="str">
        <x:v>https://github.com/A-V29/NBA.Rosters/blob/main/2026.Summer.League.json</x:v>
      </x:c>
      <x:c r="M246" s="50" t="str">
        <x:v>https://github.com/ballacademy/NBA-head-to-head-/blob/5b1decfc31ffb645469c7ffbd01aaca4b18181bd/data/nba-stats/nba-player-stats-202526-regular-season-per-game.csv</x:v>
      </x:c>
    </x:row>
    <x:row r="247">
      <x:c r="A247" s="48" t="str">
        <x:v>Draymond Green</x:v>
      </x:c>
      <x:c r="B247" s="48" t="n">
        <x:v>242</x:v>
      </x:c>
      <x:c r="C247" s="48" t="str">
        <x:v>PF</x:v>
      </x:c>
      <x:c r="D247" s="48" t="n">
        <x:v>60</x:v>
      </x:c>
      <x:c r="E247" s="48" t="n">
        <x:v>0</x:v>
      </x:c>
      <x:c r="F247" s="48" t="n">
        <x:v>3.5</x:v>
      </x:c>
      <x:c r="G247" s="48" t="str">
        <x:v>DEEP</x:v>
      </x:c>
      <x:c r="H247" s="48"/>
      <x:c r="I247" s="48"/>
      <x:c r="J247" s="48" t="str">
        <x:v>2025-26 custom-score + role shrink</x:v>
      </x:c>
      <x:c r="K247" s="50" t="str">
        <x:v>Deep-pool model: 2025-26 custom-score production shrunk toward a conservative 2026-27 role estimate; not a published projection.</x:v>
      </x:c>
      <x:c r="L247" s="50" t="str">
        <x:v>https://github.com/plourr03/wolves-front-office/blob/5d152a169188fb9b210186a7a0d3403d4081ed38/kuminga/data/roster_snapshot_2026_27_v3.csv</x:v>
      </x:c>
      <x:c r="M247" s="50" t="str">
        <x:v>https://github.com/ballacademy/NBA-head-to-head-/blob/5b1decfc31ffb645469c7ffbd01aaca4b18181bd/data/nba-stats/nba-player-stats-202526-regular-season-per-game.csv</x:v>
      </x:c>
    </x:row>
    <x:row r="248">
      <x:c r="A248" s="48" t="str">
        <x:v>Derrick Jones Jr.</x:v>
      </x:c>
      <x:c r="B248" s="48" t="n">
        <x:v>243</x:v>
      </x:c>
      <x:c r="C248" s="48" t="str">
        <x:v>SF</x:v>
      </x:c>
      <x:c r="D248" s="48" t="n">
        <x:v>60</x:v>
      </x:c>
      <x:c r="E248" s="48" t="n">
        <x:v>0</x:v>
      </x:c>
      <x:c r="F248" s="48" t="n">
        <x:v>3.5</x:v>
      </x:c>
      <x:c r="G248" s="48" t="str">
        <x:v>DEEP</x:v>
      </x:c>
      <x:c r="H248" s="48"/>
      <x:c r="I248" s="48"/>
      <x:c r="J248" s="48" t="str">
        <x:v>2025-26 custom-score + role shrink</x:v>
      </x:c>
      <x:c r="K248" s="50" t="str">
        <x:v>Deep-pool model: 2025-26 custom-score production shrunk toward a conservative 2026-27 role estimate; not a published projection.</x:v>
      </x:c>
      <x:c r="L248" s="50" t="str">
        <x:v>https://github.com/plourr03/wolves-front-office/blob/5d152a169188fb9b210186a7a0d3403d4081ed38/kuminga/data/roster_snapshot_2026_27_v3.csv</x:v>
      </x:c>
      <x:c r="M248" s="50" t="str">
        <x:v>https://github.com/ballacademy/NBA-head-to-head-/blob/5b1decfc31ffb645469c7ffbd01aaca4b18181bd/data/nba-stats/nba-player-stats-202526-regular-season-per-game.csv</x:v>
      </x:c>
    </x:row>
    <x:row r="249">
      <x:c r="A249" s="48" t="str">
        <x:v>Cason Wallace</x:v>
      </x:c>
      <x:c r="B249" s="48" t="n">
        <x:v>244</x:v>
      </x:c>
      <x:c r="C249" s="48" t="str">
        <x:v>PG</x:v>
      </x:c>
      <x:c r="D249" s="48" t="n">
        <x:v>60</x:v>
      </x:c>
      <x:c r="E249" s="48" t="n">
        <x:v>0</x:v>
      </x:c>
      <x:c r="F249" s="48" t="n">
        <x:v>3.5</x:v>
      </x:c>
      <x:c r="G249" s="48" t="str">
        <x:v>DEEP</x:v>
      </x:c>
      <x:c r="H249" s="48"/>
      <x:c r="I249" s="48"/>
      <x:c r="J249" s="48" t="str">
        <x:v>2025-26 custom-score + role shrink</x:v>
      </x:c>
      <x:c r="K249" s="50" t="str">
        <x:v>Deep-pool model: 2025-26 custom-score production shrunk toward a conservative 2026-27 role estimate; not a published projection.</x:v>
      </x:c>
      <x:c r="L249" s="50" t="str">
        <x:v>https://github.com/plourr03/wolves-front-office/blob/5d152a169188fb9b210186a7a0d3403d4081ed38/kuminga/data/roster_snapshot_2026_27_v3.csv</x:v>
      </x:c>
      <x:c r="M249" s="50" t="str">
        <x:v>https://github.com/ballacademy/NBA-head-to-head-/blob/5b1decfc31ffb645469c7ffbd01aaca4b18181bd/data/nba-stats/nba-player-stats-202526-regular-season-per-game.csv</x:v>
      </x:c>
    </x:row>
    <x:row r="250">
      <x:c r="A250" s="48" t="str">
        <x:v>Yves Missi</x:v>
      </x:c>
      <x:c r="B250" s="48" t="n">
        <x:v>245</x:v>
      </x:c>
      <x:c r="C250" s="48" t="str">
        <x:v>C</x:v>
      </x:c>
      <x:c r="D250" s="48" t="n">
        <x:v>60</x:v>
      </x:c>
      <x:c r="E250" s="48" t="n">
        <x:v>0</x:v>
      </x:c>
      <x:c r="F250" s="48" t="n">
        <x:v>3.5</x:v>
      </x:c>
      <x:c r="G250" s="48" t="str">
        <x:v>DEEP</x:v>
      </x:c>
      <x:c r="H250" s="48"/>
      <x:c r="I250" s="48"/>
      <x:c r="J250" s="48" t="str">
        <x:v>2025-26 custom-score + role shrink</x:v>
      </x:c>
      <x:c r="K250" s="50" t="str">
        <x:v>Deep-pool model: 2025-26 custom-score production shrunk toward a conservative 2026-27 role estimate; not a published projection.</x:v>
      </x:c>
      <x:c r="L250" s="50" t="str">
        <x:v>https://github.com/plourr03/wolves-front-office/blob/5d152a169188fb9b210186a7a0d3403d4081ed38/kuminga/data/roster_snapshot_2026_27_v3.csv</x:v>
      </x:c>
      <x:c r="M250" s="50" t="str">
        <x:v>https://github.com/ballacademy/NBA-head-to-head-/blob/5b1decfc31ffb645469c7ffbd01aaca4b18181bd/data/nba-stats/nba-player-stats-202526-regular-season-per-game.csv</x:v>
      </x:c>
    </x:row>
    <x:row r="251">
      <x:c r="A251" s="48" t="str">
        <x:v>Dominick Barlow</x:v>
      </x:c>
      <x:c r="B251" s="48" t="n">
        <x:v>246</x:v>
      </x:c>
      <x:c r="C251" s="48" t="str">
        <x:v>PF</x:v>
      </x:c>
      <x:c r="D251" s="48" t="n">
        <x:v>60</x:v>
      </x:c>
      <x:c r="E251" s="48" t="n">
        <x:v>0</x:v>
      </x:c>
      <x:c r="F251" s="48" t="n">
        <x:v>3.5</x:v>
      </x:c>
      <x:c r="G251" s="48" t="str">
        <x:v>DEEP</x:v>
      </x:c>
      <x:c r="H251" s="48"/>
      <x:c r="I251" s="48"/>
      <x:c r="J251" s="48" t="str">
        <x:v>2025-26 custom-score + role shrink</x:v>
      </x:c>
      <x:c r="K251" s="50" t="str">
        <x:v>Deep-pool model: 2025-26 custom-score production shrunk toward a conservative 2026-27 role estimate; not a published projection.</x:v>
      </x:c>
      <x:c r="L251" s="50" t="str">
        <x:v>https://github.com/plourr03/wolves-front-office/blob/5d152a169188fb9b210186a7a0d3403d4081ed38/kuminga/data/roster_snapshot_2026_27_v3.csv</x:v>
      </x:c>
      <x:c r="M251" s="50" t="str">
        <x:v>https://github.com/ballacademy/NBA-head-to-head-/blob/5b1decfc31ffb645469c7ffbd01aaca4b18181bd/data/nba-stats/nba-player-stats-202526-regular-season-per-game.csv</x:v>
      </x:c>
    </x:row>
    <x:row r="252">
      <x:c r="A252" s="48" t="str">
        <x:v>Paul Reed</x:v>
      </x:c>
      <x:c r="B252" s="48" t="n">
        <x:v>247</x:v>
      </x:c>
      <x:c r="C252" s="48" t="str">
        <x:v>C</x:v>
      </x:c>
      <x:c r="D252" s="48" t="n">
        <x:v>60</x:v>
      </x:c>
      <x:c r="E252" s="48" t="n">
        <x:v>0</x:v>
      </x:c>
      <x:c r="F252" s="48" t="n">
        <x:v>3.5</x:v>
      </x:c>
      <x:c r="G252" s="48" t="str">
        <x:v>DEEP</x:v>
      </x:c>
      <x:c r="H252" s="48"/>
      <x:c r="I252" s="48"/>
      <x:c r="J252" s="48" t="str">
        <x:v>2025-26 custom-score + role shrink</x:v>
      </x:c>
      <x:c r="K252" s="50" t="str">
        <x:v>Deep-pool model: 2025-26 custom-score production shrunk toward a conservative 2026-27 role estimate; not a published projection.</x:v>
      </x:c>
      <x:c r="L252" s="50" t="str">
        <x:v>https://github.com/plourr03/wolves-front-office/blob/5d152a169188fb9b210186a7a0d3403d4081ed38/kuminga/data/roster_snapshot_2026_27_v3.csv</x:v>
      </x:c>
      <x:c r="M252" s="50" t="str">
        <x:v>https://github.com/ballacademy/NBA-head-to-head-/blob/5b1decfc31ffb645469c7ffbd01aaca4b18181bd/data/nba-stats/nba-player-stats-202526-regular-season-per-game.csv</x:v>
      </x:c>
    </x:row>
    <x:row r="253">
      <x:c r="A253" s="48" t="str">
        <x:v>Tim Hardaway Jr.</x:v>
      </x:c>
      <x:c r="B253" s="48" t="n">
        <x:v>248</x:v>
      </x:c>
      <x:c r="C253" s="48" t="str">
        <x:v>SG</x:v>
      </x:c>
      <x:c r="D253" s="48" t="n">
        <x:v>60</x:v>
      </x:c>
      <x:c r="E253" s="48" t="n">
        <x:v>0</x:v>
      </x:c>
      <x:c r="F253" s="48" t="n">
        <x:v>3.5</x:v>
      </x:c>
      <x:c r="G253" s="48" t="str">
        <x:v>DEEP</x:v>
      </x:c>
      <x:c r="H253" s="48"/>
      <x:c r="I253" s="48"/>
      <x:c r="J253" s="48" t="str">
        <x:v>2025-26 custom-score + role shrink</x:v>
      </x:c>
      <x:c r="K253" s="50" t="str">
        <x:v>Deep-pool model: 2025-26 custom-score production shrunk toward a conservative 2026-27 role estimate; not a published projection.</x:v>
      </x:c>
      <x:c r="L253" s="50" t="str">
        <x:v>https://github.com/plourr03/wolves-front-office/blob/5d152a169188fb9b210186a7a0d3403d4081ed38/kuminga/data/roster_snapshot_2026_27_v3.csv</x:v>
      </x:c>
      <x:c r="M253" s="50" t="str">
        <x:v>https://github.com/ballacademy/NBA-head-to-head-/blob/5b1decfc31ffb645469c7ffbd01aaca4b18181bd/data/nba-stats/nba-player-stats-202526-regular-season-per-game.csv</x:v>
      </x:c>
    </x:row>
    <x:row r="254">
      <x:c r="A254" s="48" t="str">
        <x:v>Bub Carrington</x:v>
      </x:c>
      <x:c r="B254" s="48" t="n">
        <x:v>249</x:v>
      </x:c>
      <x:c r="C254" s="48" t="str">
        <x:v>PG</x:v>
      </x:c>
      <x:c r="D254" s="48" t="n">
        <x:v>60</x:v>
      </x:c>
      <x:c r="E254" s="48" t="n">
        <x:v>0</x:v>
      </x:c>
      <x:c r="F254" s="48" t="n">
        <x:v>3.5</x:v>
      </x:c>
      <x:c r="G254" s="48" t="str">
        <x:v>DEEP</x:v>
      </x:c>
      <x:c r="H254" s="48"/>
      <x:c r="I254" s="48"/>
      <x:c r="J254" s="48" t="str">
        <x:v>2025-26 custom-score + role shrink</x:v>
      </x:c>
      <x:c r="K254" s="50" t="str">
        <x:v>Deep-pool model: 2025-26 custom-score production shrunk toward a conservative 2026-27 role estimate; not a published projection.</x:v>
      </x:c>
      <x:c r="L254" s="50" t="str">
        <x:v>https://github.com/plourr03/wolves-front-office/blob/5d152a169188fb9b210186a7a0d3403d4081ed38/kuminga/data/roster_snapshot_2026_27_v3.csv</x:v>
      </x:c>
      <x:c r="M254" s="50" t="str">
        <x:v>https://github.com/ballacademy/NBA-head-to-head-/blob/5b1decfc31ffb645469c7ffbd01aaca4b18181bd/data/nba-stats/nba-player-stats-202526-regular-season-per-game.csv</x:v>
      </x:c>
    </x:row>
    <x:row r="255">
      <x:c r="A255" s="48" t="str">
        <x:v>Micah Potter</x:v>
      </x:c>
      <x:c r="B255" s="48" t="n">
        <x:v>250</x:v>
      </x:c>
      <x:c r="C255" s="48" t="str">
        <x:v>C</x:v>
      </x:c>
      <x:c r="D255" s="48" t="n">
        <x:v>60</x:v>
      </x:c>
      <x:c r="E255" s="48" t="n">
        <x:v>0</x:v>
      </x:c>
      <x:c r="F255" s="48" t="n">
        <x:v>3.5</x:v>
      </x:c>
      <x:c r="G255" s="48" t="str">
        <x:v>DEEP</x:v>
      </x:c>
      <x:c r="H255" s="48"/>
      <x:c r="I255" s="48"/>
      <x:c r="J255" s="48" t="str">
        <x:v>2025-26 custom-score + role shrink</x:v>
      </x:c>
      <x:c r="K255" s="50" t="str">
        <x:v>Deep-pool model: 2025-26 custom-score production shrunk toward a conservative 2026-27 role estimate; not a published projection.</x:v>
      </x:c>
      <x:c r="L255" s="50" t="str">
        <x:v>https://github.com/plourr03/wolves-front-office/blob/5d152a169188fb9b210186a7a0d3403d4081ed38/kuminga/data/roster_snapshot_2026_27_v3.csv</x:v>
      </x:c>
      <x:c r="M255" s="50" t="str">
        <x:v>https://github.com/ballacademy/NBA-head-to-head-/blob/5b1decfc31ffb645469c7ffbd01aaca4b18181bd/data/nba-stats/nba-player-stats-202526-regular-season-per-game.csv</x:v>
      </x:c>
    </x:row>
    <x:row r="256">
      <x:c r="A256" s="48" t="str">
        <x:v>Isaiah Joe</x:v>
      </x:c>
      <x:c r="B256" s="48" t="n">
        <x:v>251</x:v>
      </x:c>
      <x:c r="C256" s="48" t="str">
        <x:v>SG</x:v>
      </x:c>
      <x:c r="D256" s="48" t="n">
        <x:v>60</x:v>
      </x:c>
      <x:c r="E256" s="48" t="n">
        <x:v>0</x:v>
      </x:c>
      <x:c r="F256" s="48" t="n">
        <x:v>3.5</x:v>
      </x:c>
      <x:c r="G256" s="48" t="str">
        <x:v>DEEP</x:v>
      </x:c>
      <x:c r="H256" s="48"/>
      <x:c r="I256" s="48"/>
      <x:c r="J256" s="48" t="str">
        <x:v>2025-26 custom-score + role shrink</x:v>
      </x:c>
      <x:c r="K256" s="50" t="str">
        <x:v>Deep-pool model: 2025-26 custom-score production shrunk toward a conservative 2026-27 role estimate; not a published projection.</x:v>
      </x:c>
      <x:c r="L256" s="50" t="str">
        <x:v>https://github.com/plourr03/wolves-front-office/blob/5d152a169188fb9b210186a7a0d3403d4081ed38/kuminga/data/roster_snapshot_2026_27_v3.csv</x:v>
      </x:c>
      <x:c r="M256" s="50" t="str">
        <x:v>https://github.com/ballacademy/NBA-head-to-head-/blob/5b1decfc31ffb645469c7ffbd01aaca4b18181bd/data/nba-stats/nba-player-stats-202526-regular-season-per-game.csv</x:v>
      </x:c>
    </x:row>
    <x:row r="257">
      <x:c r="A257" s="48" t="str">
        <x:v>Goga Bitadze</x:v>
      </x:c>
      <x:c r="B257" s="48" t="n">
        <x:v>252</x:v>
      </x:c>
      <x:c r="C257" s="48" t="str">
        <x:v>C</x:v>
      </x:c>
      <x:c r="D257" s="48" t="n">
        <x:v>60</x:v>
      </x:c>
      <x:c r="E257" s="48" t="n">
        <x:v>0</x:v>
      </x:c>
      <x:c r="F257" s="48" t="n">
        <x:v>3.5</x:v>
      </x:c>
      <x:c r="G257" s="48" t="str">
        <x:v>DEEP</x:v>
      </x:c>
      <x:c r="H257" s="48"/>
      <x:c r="I257" s="48"/>
      <x:c r="J257" s="48" t="str">
        <x:v>2025-26 custom-score + role shrink</x:v>
      </x:c>
      <x:c r="K257" s="50" t="str">
        <x:v>Deep-pool model: 2025-26 custom-score production shrunk toward a conservative 2026-27 role estimate; not a published projection.</x:v>
      </x:c>
      <x:c r="L257" s="50" t="str">
        <x:v>https://github.com/plourr03/wolves-front-office/blob/5d152a169188fb9b210186a7a0d3403d4081ed38/kuminga/data/roster_snapshot_2026_27_v3.csv</x:v>
      </x:c>
      <x:c r="M257" s="50" t="str">
        <x:v>https://github.com/ballacademy/NBA-head-to-head-/blob/5b1decfc31ffb645469c7ffbd01aaca4b18181bd/data/nba-stats/nba-player-stats-202526-regular-season-per-game.csv</x:v>
      </x:c>
    </x:row>
    <x:row r="258">
      <x:c r="A258" s="48" t="str">
        <x:v>Miles McBride</x:v>
      </x:c>
      <x:c r="B258" s="48" t="n">
        <x:v>253</x:v>
      </x:c>
      <x:c r="C258" s="48" t="str">
        <x:v>PG</x:v>
      </x:c>
      <x:c r="D258" s="48" t="n">
        <x:v>60</x:v>
      </x:c>
      <x:c r="E258" s="48" t="n">
        <x:v>0</x:v>
      </x:c>
      <x:c r="F258" s="48" t="n">
        <x:v>3.5</x:v>
      </x:c>
      <x:c r="G258" s="48" t="str">
        <x:v>DEEP</x:v>
      </x:c>
      <x:c r="H258" s="48"/>
      <x:c r="I258" s="48"/>
      <x:c r="J258" s="48" t="str">
        <x:v>2025-26 custom-score + role shrink</x:v>
      </x:c>
      <x:c r="K258" s="50" t="str">
        <x:v>Deep-pool model: 2025-26 custom-score production shrunk toward a conservative 2026-27 role estimate; not a published projection.</x:v>
      </x:c>
      <x:c r="L258" s="50" t="str">
        <x:v>https://github.com/plourr03/wolves-front-office/blob/5d152a169188fb9b210186a7a0d3403d4081ed38/kuminga/data/roster_snapshot_2026_27_v3.csv</x:v>
      </x:c>
      <x:c r="M258" s="50" t="str">
        <x:v>https://github.com/ballacademy/NBA-head-to-head-/blob/5b1decfc31ffb645469c7ffbd01aaca4b18181bd/data/nba-stats/nba-player-stats-202526-regular-season-per-game.csv</x:v>
      </x:c>
    </x:row>
    <x:row r="259">
      <x:c r="A259" s="48" t="str">
        <x:v>Jordan Poole</x:v>
      </x:c>
      <x:c r="B259" s="48" t="n">
        <x:v>254</x:v>
      </x:c>
      <x:c r="C259" s="48" t="str">
        <x:v>SG</x:v>
      </x:c>
      <x:c r="D259" s="48" t="n">
        <x:v>60</x:v>
      </x:c>
      <x:c r="E259" s="48" t="n">
        <x:v>0</x:v>
      </x:c>
      <x:c r="F259" s="48" t="n">
        <x:v>3.5</x:v>
      </x:c>
      <x:c r="G259" s="48" t="str">
        <x:v>DEEP</x:v>
      </x:c>
      <x:c r="H259" s="48"/>
      <x:c r="I259" s="48"/>
      <x:c r="J259" s="48" t="str">
        <x:v>2025-26 custom-score + role shrink</x:v>
      </x:c>
      <x:c r="K259" s="50" t="str">
        <x:v>Deep-pool model: 2025-26 custom-score production shrunk toward a conservative 2026-27 role estimate; not a published projection.</x:v>
      </x:c>
      <x:c r="L259" s="50" t="str">
        <x:v>https://github.com/plourr03/wolves-front-office/blob/5d152a169188fb9b210186a7a0d3403d4081ed38/kuminga/data/roster_snapshot_2026_27_v3.csv</x:v>
      </x:c>
      <x:c r="M259" s="50" t="str">
        <x:v>https://github.com/ballacademy/NBA-head-to-head-/blob/5b1decfc31ffb645469c7ffbd01aaca4b18181bd/data/nba-stats/nba-player-stats-202526-regular-season-per-game.csv</x:v>
      </x:c>
    </x:row>
    <x:row r="260">
      <x:c r="A260" s="48" t="str">
        <x:v>Josh Oduro</x:v>
      </x:c>
      <x:c r="B260" s="48" t="n">
        <x:v>255</x:v>
      </x:c>
      <x:c r="C260" s="48" t="str">
        <x:v>C</x:v>
      </x:c>
      <x:c r="D260" s="48" t="n">
        <x:v>64</x:v>
      </x:c>
      <x:c r="E260" s="48" t="n">
        <x:v>0</x:v>
      </x:c>
      <x:c r="F260" s="48" t="n">
        <x:v>4.91</x:v>
      </x:c>
      <x:c r="G260" s="48" t="str">
        <x:v>VERY_DEEP</x:v>
      </x:c>
      <x:c r="H260" s="48"/>
      <x:c r="I260" s="48"/>
      <x:c r="J260" s="48" t="str">
        <x:v>2025-26 custom-score + role shrink</x:v>
      </x:c>
      <x:c r="K260" s="50" t="str">
        <x:v>Very-deep model estimate with limited sample/role certainty. Use as a search/watch-list value and refresh once final rotations are known.</x:v>
      </x:c>
      <x:c r="L260" s="50" t="str">
        <x:v>https://github.com/A-V29/NBA.Rosters/blob/main/2026.Summer.League.json</x:v>
      </x:c>
      <x:c r="M260" s="50" t="str">
        <x:v>https://github.com/ballacademy/NBA-head-to-head-/blob/5b1decfc31ffb645469c7ffbd01aaca4b18181bd/data/nba-stats/nba-player-stats-202526-regular-season-per-game.csv</x:v>
      </x:c>
    </x:row>
    <x:row r="261">
      <x:c r="A261" s="48" t="str">
        <x:v>Luka Garza</x:v>
      </x:c>
      <x:c r="B261" s="48" t="n">
        <x:v>256</x:v>
      </x:c>
      <x:c r="C261" s="48" t="str">
        <x:v>C</x:v>
      </x:c>
      <x:c r="D261" s="48" t="n">
        <x:v>60</x:v>
      </x:c>
      <x:c r="E261" s="48" t="n">
        <x:v>0</x:v>
      </x:c>
      <x:c r="F261" s="48" t="n">
        <x:v>3.5</x:v>
      </x:c>
      <x:c r="G261" s="48" t="str">
        <x:v>DEEP</x:v>
      </x:c>
      <x:c r="H261" s="48"/>
      <x:c r="I261" s="48"/>
      <x:c r="J261" s="48" t="str">
        <x:v>2025-26 custom-score + role shrink</x:v>
      </x:c>
      <x:c r="K261" s="50" t="str">
        <x:v>Deep-pool model: 2025-26 custom-score production shrunk toward a conservative 2026-27 role estimate; not a published projection.</x:v>
      </x:c>
      <x:c r="L261" s="50" t="str">
        <x:v>https://github.com/plourr03/wolves-front-office/blob/5d152a169188fb9b210186a7a0d3403d4081ed38/kuminga/data/roster_snapshot_2026_27_v3.csv</x:v>
      </x:c>
      <x:c r="M261" s="50" t="str">
        <x:v>https://github.com/ballacademy/NBA-head-to-head-/blob/5b1decfc31ffb645469c7ffbd01aaca4b18181bd/data/nba-stats/nba-player-stats-202526-regular-season-per-game.csv</x:v>
      </x:c>
    </x:row>
    <x:row r="262">
      <x:c r="A262" s="48" t="str">
        <x:v>Javon Small</x:v>
      </x:c>
      <x:c r="B262" s="48" t="n">
        <x:v>257</x:v>
      </x:c>
      <x:c r="C262" s="48" t="str">
        <x:v>PG</x:v>
      </x:c>
      <x:c r="D262" s="48" t="n">
        <x:v>64</x:v>
      </x:c>
      <x:c r="E262" s="48" t="n">
        <x:v>0</x:v>
      </x:c>
      <x:c r="F262" s="48" t="n">
        <x:v>3.5</x:v>
      </x:c>
      <x:c r="G262" s="48" t="str">
        <x:v>DEEP</x:v>
      </x:c>
      <x:c r="H262" s="48"/>
      <x:c r="I262" s="48"/>
      <x:c r="J262" s="48" t="str">
        <x:v>2025-26 custom-score + role shrink</x:v>
      </x:c>
      <x:c r="K262" s="50" t="str">
        <x:v>Deep-pool model: 2025-26 custom-score production shrunk toward a conservative 2026-27 role estimate; not a published projection.</x:v>
      </x:c>
      <x:c r="L262" s="50" t="str">
        <x:v>https://github.com/A-V29/NBA.Rosters/blob/main/2026.Summer.League.json</x:v>
      </x:c>
      <x:c r="M262" s="50" t="str">
        <x:v>https://github.com/ballacademy/NBA-head-to-head-/blob/5b1decfc31ffb645469c7ffbd01aaca4b18181bd/data/nba-stats/nba-player-stats-202526-regular-season-per-game.csv</x:v>
      </x:c>
    </x:row>
    <x:row r="263">
      <x:c r="A263" s="48" t="str">
        <x:v>Jordan Miller</x:v>
      </x:c>
      <x:c r="B263" s="48" t="n">
        <x:v>258</x:v>
      </x:c>
      <x:c r="C263" s="48" t="str">
        <x:v>SF</x:v>
      </x:c>
      <x:c r="D263" s="48" t="n">
        <x:v>60</x:v>
      </x:c>
      <x:c r="E263" s="48" t="n">
        <x:v>0</x:v>
      </x:c>
      <x:c r="F263" s="48" t="n">
        <x:v>3.5</x:v>
      </x:c>
      <x:c r="G263" s="48" t="str">
        <x:v>DEEP</x:v>
      </x:c>
      <x:c r="H263" s="48"/>
      <x:c r="I263" s="48"/>
      <x:c r="J263" s="48" t="str">
        <x:v>2025-26 custom-score + role shrink</x:v>
      </x:c>
      <x:c r="K263" s="50" t="str">
        <x:v>Deep-pool model: 2025-26 custom-score production shrunk toward a conservative 2026-27 role estimate; not a published projection.</x:v>
      </x:c>
      <x:c r="L263" s="50" t="str">
        <x:v>https://github.com/plourr03/wolves-front-office/blob/5d152a169188fb9b210186a7a0d3403d4081ed38/kuminga/data/roster_snapshot_2026_27_v3.csv</x:v>
      </x:c>
      <x:c r="M263" s="50" t="str">
        <x:v>https://github.com/ballacademy/NBA-head-to-head-/blob/5b1decfc31ffb645469c7ffbd01aaca4b18181bd/data/nba-stats/nba-player-stats-202526-regular-season-per-game.csv</x:v>
      </x:c>
    </x:row>
    <x:row r="264">
      <x:c r="A264" s="48" t="str">
        <x:v>Jake LaRavia</x:v>
      </x:c>
      <x:c r="B264" s="48" t="n">
        <x:v>259</x:v>
      </x:c>
      <x:c r="C264" s="48" t="str">
        <x:v>PF</x:v>
      </x:c>
      <x:c r="D264" s="48" t="n">
        <x:v>60</x:v>
      </x:c>
      <x:c r="E264" s="48" t="n">
        <x:v>0</x:v>
      </x:c>
      <x:c r="F264" s="48" t="n">
        <x:v>3.5</x:v>
      </x:c>
      <x:c r="G264" s="48" t="str">
        <x:v>DEEP</x:v>
      </x:c>
      <x:c r="H264" s="48"/>
      <x:c r="I264" s="48"/>
      <x:c r="J264" s="48" t="str">
        <x:v>2025-26 custom-score + role shrink</x:v>
      </x:c>
      <x:c r="K264" s="50" t="str">
        <x:v>Deep-pool model: 2025-26 custom-score production shrunk toward a conservative 2026-27 role estimate; not a published projection.</x:v>
      </x:c>
      <x:c r="L264" s="50" t="str">
        <x:v>https://github.com/plourr03/wolves-front-office/blob/5d152a169188fb9b210186a7a0d3403d4081ed38/kuminga/data/roster_snapshot_2026_27_v3.csv</x:v>
      </x:c>
      <x:c r="M264" s="50" t="str">
        <x:v>https://github.com/ballacademy/NBA-head-to-head-/blob/5b1decfc31ffb645469c7ffbd01aaca4b18181bd/data/nba-stats/nba-player-stats-202526-regular-season-per-game.csv</x:v>
      </x:c>
    </x:row>
    <x:row r="265">
      <x:c r="A265" s="48" t="str">
        <x:v>Danny Wolf</x:v>
      </x:c>
      <x:c r="B265" s="48" t="n">
        <x:v>260</x:v>
      </x:c>
      <x:c r="C265" s="48" t="str">
        <x:v>C</x:v>
      </x:c>
      <x:c r="D265" s="48" t="n">
        <x:v>64</x:v>
      </x:c>
      <x:c r="E265" s="48" t="n">
        <x:v>0</x:v>
      </x:c>
      <x:c r="F265" s="48" t="n">
        <x:v>3.5</x:v>
      </x:c>
      <x:c r="G265" s="48" t="str">
        <x:v>DEEP</x:v>
      </x:c>
      <x:c r="H265" s="48"/>
      <x:c r="I265" s="48"/>
      <x:c r="J265" s="48" t="str">
        <x:v>2025-26 custom-score + role shrink</x:v>
      </x:c>
      <x:c r="K265" s="50" t="str">
        <x:v>Deep-pool model: 2025-26 custom-score production shrunk toward a conservative 2026-27 role estimate; not a published projection.</x:v>
      </x:c>
      <x:c r="L265" s="50" t="str">
        <x:v>https://github.com/A-V29/NBA.Rosters/blob/main/2026.Summer.League.json</x:v>
      </x:c>
      <x:c r="M265" s="50" t="str">
        <x:v>https://github.com/ballacademy/NBA-head-to-head-/blob/5b1decfc31ffb645469c7ffbd01aaca4b18181bd/data/nba-stats/nba-player-stats-202526-regular-season-per-game.csv</x:v>
      </x:c>
    </x:row>
    <x:row r="266">
      <x:c r="A266" s="48" t="str">
        <x:v>Isaiah Jackson</x:v>
      </x:c>
      <x:c r="B266" s="48" t="n">
        <x:v>261</x:v>
      </x:c>
      <x:c r="C266" s="48" t="str">
        <x:v>PF</x:v>
      </x:c>
      <x:c r="D266" s="48" t="n">
        <x:v>60</x:v>
      </x:c>
      <x:c r="E266" s="48" t="n">
        <x:v>0</x:v>
      </x:c>
      <x:c r="F266" s="48" t="n">
        <x:v>3.5</x:v>
      </x:c>
      <x:c r="G266" s="48" t="str">
        <x:v>DEEP</x:v>
      </x:c>
      <x:c r="H266" s="48"/>
      <x:c r="I266" s="48"/>
      <x:c r="J266" s="48" t="str">
        <x:v>2025-26 custom-score + role shrink</x:v>
      </x:c>
      <x:c r="K266" s="50" t="str">
        <x:v>Deep-pool model: 2025-26 custom-score production shrunk toward a conservative 2026-27 role estimate; not a published projection.</x:v>
      </x:c>
      <x:c r="L266" s="50" t="str">
        <x:v>https://github.com/plourr03/wolves-front-office/blob/5d152a169188fb9b210186a7a0d3403d4081ed38/kuminga/data/roster_snapshot_2026_27_v3.csv</x:v>
      </x:c>
      <x:c r="M266" s="50" t="str">
        <x:v>https://github.com/ballacademy/NBA-head-to-head-/blob/5b1decfc31ffb645469c7ffbd01aaca4b18181bd/data/nba-stats/nba-player-stats-202526-regular-season-per-game.csv</x:v>
      </x:c>
    </x:row>
    <x:row r="267">
      <x:c r="A267" s="48" t="str">
        <x:v>Lawson Lovering</x:v>
      </x:c>
      <x:c r="B267" s="48" t="n">
        <x:v>262</x:v>
      </x:c>
      <x:c r="C267" s="48" t="str">
        <x:v>C</x:v>
      </x:c>
      <x:c r="D267" s="48" t="n">
        <x:v>64</x:v>
      </x:c>
      <x:c r="E267" s="48" t="n">
        <x:v>0</x:v>
      </x:c>
      <x:c r="F267" s="48" t="n">
        <x:v>4.8</x:v>
      </x:c>
      <x:c r="G267" s="48" t="str">
        <x:v>VERY_DEEP</x:v>
      </x:c>
      <x:c r="H267" s="48"/>
      <x:c r="I267" s="48"/>
      <x:c r="J267" s="48" t="str">
        <x:v>2025-26 custom-score + role shrink</x:v>
      </x:c>
      <x:c r="K267" s="50" t="str">
        <x:v>Very-deep model estimate with limited sample/role certainty. Use as a search/watch-list value and refresh once final rotations are known.</x:v>
      </x:c>
      <x:c r="L267" s="50" t="str">
        <x:v>https://github.com/A-V29/NBA.Rosters/blob/main/2026.Summer.League.json</x:v>
      </x:c>
      <x:c r="M267" s="50" t="str">
        <x:v>https://github.com/ballacademy/NBA-head-to-head-/blob/5b1decfc31ffb645469c7ffbd01aaca4b18181bd/data/nba-stats/nba-player-stats-202526-regular-season-per-game.csv</x:v>
      </x:c>
    </x:row>
    <x:row r="268">
      <x:c r="A268" s="48" t="str">
        <x:v>Gui Santos</x:v>
      </x:c>
      <x:c r="B268" s="48" t="n">
        <x:v>263</x:v>
      </x:c>
      <x:c r="C268" s="48" t="str">
        <x:v>SF</x:v>
      </x:c>
      <x:c r="D268" s="48" t="n">
        <x:v>60</x:v>
      </x:c>
      <x:c r="E268" s="48" t="n">
        <x:v>0</x:v>
      </x:c>
      <x:c r="F268" s="48" t="n">
        <x:v>3.5</x:v>
      </x:c>
      <x:c r="G268" s="48" t="str">
        <x:v>DEEP</x:v>
      </x:c>
      <x:c r="H268" s="48"/>
      <x:c r="I268" s="48"/>
      <x:c r="J268" s="48" t="str">
        <x:v>2025-26 custom-score + role shrink</x:v>
      </x:c>
      <x:c r="K268" s="50" t="str">
        <x:v>Deep-pool model: 2025-26 custom-score production shrunk toward a conservative 2026-27 role estimate; not a published projection.</x:v>
      </x:c>
      <x:c r="L268" s="50" t="str">
        <x:v>https://github.com/plourr03/wolves-front-office/blob/5d152a169188fb9b210186a7a0d3403d4081ed38/kuminga/data/roster_snapshot_2026_27_v3.csv</x:v>
      </x:c>
      <x:c r="M268" s="50" t="str">
        <x:v>https://github.com/ballacademy/NBA-head-to-head-/blob/5b1decfc31ffb645469c7ffbd01aaca4b18181bd/data/nba-stats/nba-player-stats-202526-regular-season-per-game.csv</x:v>
      </x:c>
    </x:row>
    <x:row r="269">
      <x:c r="A269" s="48" t="str">
        <x:v>Jaxson Hayes</x:v>
      </x:c>
      <x:c r="B269" s="48" t="n">
        <x:v>264</x:v>
      </x:c>
      <x:c r="C269" s="48" t="str">
        <x:v>C</x:v>
      </x:c>
      <x:c r="D269" s="48" t="n">
        <x:v>60</x:v>
      </x:c>
      <x:c r="E269" s="48" t="n">
        <x:v>0</x:v>
      </x:c>
      <x:c r="F269" s="48" t="n">
        <x:v>3.5</x:v>
      </x:c>
      <x:c r="G269" s="48" t="str">
        <x:v>DEEP</x:v>
      </x:c>
      <x:c r="H269" s="48"/>
      <x:c r="I269" s="48"/>
      <x:c r="J269" s="48" t="str">
        <x:v>2025-26 custom-score + role shrink</x:v>
      </x:c>
      <x:c r="K269" s="50" t="str">
        <x:v>Deep-pool model: 2025-26 custom-score production shrunk toward a conservative 2026-27 role estimate; not a published projection.</x:v>
      </x:c>
      <x:c r="L269" s="50" t="str">
        <x:v>https://github.com/plourr03/wolves-front-office/blob/5d152a169188fb9b210186a7a0d3403d4081ed38/kuminga/data/roster_snapshot_2026_27_v3.csv</x:v>
      </x:c>
      <x:c r="M269" s="50" t="str">
        <x:v>https://github.com/ballacademy/NBA-head-to-head-/blob/5b1decfc31ffb645469c7ffbd01aaca4b18181bd/data/nba-stats/nba-player-stats-202526-regular-season-per-game.csv</x:v>
      </x:c>
    </x:row>
    <x:row r="270">
      <x:c r="A270" s="48" t="str">
        <x:v>Cormac Ryan</x:v>
      </x:c>
      <x:c r="B270" s="48" t="n">
        <x:v>265</x:v>
      </x:c>
      <x:c r="C270" s="48" t="str">
        <x:v>SG</x:v>
      </x:c>
      <x:c r="D270" s="48" t="n">
        <x:v>64</x:v>
      </x:c>
      <x:c r="E270" s="48" t="n">
        <x:v>0</x:v>
      </x:c>
      <x:c r="F270" s="48" t="n">
        <x:v>4.76</x:v>
      </x:c>
      <x:c r="G270" s="48" t="str">
        <x:v>VERY_DEEP</x:v>
      </x:c>
      <x:c r="H270" s="48"/>
      <x:c r="I270" s="48"/>
      <x:c r="J270" s="48" t="str">
        <x:v>2025-26 custom-score + role shrink</x:v>
      </x:c>
      <x:c r="K270" s="50" t="str">
        <x:v>Very-deep model estimate with limited sample/role certainty. Use as a search/watch-list value and refresh once final rotations are known.</x:v>
      </x:c>
      <x:c r="L270" s="50" t="str">
        <x:v>https://github.com/A-V29/NBA.Rosters/blob/main/2026.Summer.League.json</x:v>
      </x:c>
      <x:c r="M270" s="50" t="str">
        <x:v>https://github.com/ballacademy/NBA-head-to-head-/blob/5b1decfc31ffb645469c7ffbd01aaca4b18181bd/data/nba-stats/nba-player-stats-202526-regular-season-per-game.csv</x:v>
      </x:c>
    </x:row>
    <x:row r="271">
      <x:c r="A271" s="48" t="str">
        <x:v>Tristan Da Silva</x:v>
      </x:c>
      <x:c r="B271" s="48" t="n">
        <x:v>266</x:v>
      </x:c>
      <x:c r="C271" s="48" t="str">
        <x:v>SF</x:v>
      </x:c>
      <x:c r="D271" s="48" t="n">
        <x:v>60</x:v>
      </x:c>
      <x:c r="E271" s="48" t="n">
        <x:v>0</x:v>
      </x:c>
      <x:c r="F271" s="48" t="n">
        <x:v>3.5</x:v>
      </x:c>
      <x:c r="G271" s="48" t="str">
        <x:v>DEEP</x:v>
      </x:c>
      <x:c r="H271" s="48"/>
      <x:c r="I271" s="48"/>
      <x:c r="J271" s="48" t="str">
        <x:v>2025-26 custom-score + role shrink</x:v>
      </x:c>
      <x:c r="K271" s="50" t="str">
        <x:v>Deep-pool model: 2025-26 custom-score production shrunk toward a conservative 2026-27 role estimate; not a published projection.</x:v>
      </x:c>
      <x:c r="L271" s="50" t="str">
        <x:v>https://github.com/plourr03/wolves-front-office/blob/5d152a169188fb9b210186a7a0d3403d4081ed38/kuminga/data/roster_snapshot_2026_27_v3.csv</x:v>
      </x:c>
      <x:c r="M271" s="50" t="str">
        <x:v>https://github.com/ballacademy/NBA-head-to-head-/blob/5b1decfc31ffb645469c7ffbd01aaca4b18181bd/data/nba-stats/nba-player-stats-202526-regular-season-per-game.csv</x:v>
      </x:c>
    </x:row>
    <x:row r="272">
      <x:c r="A272" s="48" t="str">
        <x:v>Kris Dunn</x:v>
      </x:c>
      <x:c r="B272" s="48" t="n">
        <x:v>267</x:v>
      </x:c>
      <x:c r="C272" s="48" t="str">
        <x:v>PG</x:v>
      </x:c>
      <x:c r="D272" s="48" t="n">
        <x:v>60</x:v>
      </x:c>
      <x:c r="E272" s="48" t="n">
        <x:v>0</x:v>
      </x:c>
      <x:c r="F272" s="48" t="n">
        <x:v>3.5</x:v>
      </x:c>
      <x:c r="G272" s="48" t="str">
        <x:v>DEEP</x:v>
      </x:c>
      <x:c r="H272" s="48"/>
      <x:c r="I272" s="48"/>
      <x:c r="J272" s="48" t="str">
        <x:v>2025-26 custom-score + role shrink</x:v>
      </x:c>
      <x:c r="K272" s="50" t="str">
        <x:v>Deep-pool model: 2025-26 custom-score production shrunk toward a conservative 2026-27 role estimate; not a published projection.</x:v>
      </x:c>
      <x:c r="L272" s="50" t="str">
        <x:v>https://github.com/plourr03/wolves-front-office/blob/5d152a169188fb9b210186a7a0d3403d4081ed38/kuminga/data/roster_snapshot_2026_27_v3.csv</x:v>
      </x:c>
      <x:c r="M272" s="50" t="str">
        <x:v>https://github.com/ballacademy/NBA-head-to-head-/blob/5b1decfc31ffb645469c7ffbd01aaca4b18181bd/data/nba-stats/nba-player-stats-202526-regular-season-per-game.csv</x:v>
      </x:c>
    </x:row>
    <x:row r="273">
      <x:c r="A273" s="48" t="str">
        <x:v>Olivier-Maxence Prosper</x:v>
      </x:c>
      <x:c r="B273" s="48" t="n">
        <x:v>268</x:v>
      </x:c>
      <x:c r="C273" s="48" t="str">
        <x:v>PF</x:v>
      </x:c>
      <x:c r="D273" s="48" t="n">
        <x:v>64</x:v>
      </x:c>
      <x:c r="E273" s="48" t="n">
        <x:v>0</x:v>
      </x:c>
      <x:c r="F273" s="48" t="n">
        <x:v>3.5</x:v>
      </x:c>
      <x:c r="G273" s="48" t="str">
        <x:v>DEEP</x:v>
      </x:c>
      <x:c r="H273" s="48"/>
      <x:c r="I273" s="48"/>
      <x:c r="J273" s="48" t="str">
        <x:v>2025-26 custom-score + role shrink</x:v>
      </x:c>
      <x:c r="K273" s="50" t="str">
        <x:v>Deep-pool model: 2025-26 custom-score production shrunk toward a conservative 2026-27 role estimate; not a published projection.</x:v>
      </x:c>
      <x:c r="L273" s="50" t="str">
        <x:v>https://github.com/A-V29/NBA.Rosters/blob/main/2026.Summer.League.json</x:v>
      </x:c>
      <x:c r="M273" s="50" t="str">
        <x:v>https://github.com/ballacademy/NBA-head-to-head-/blob/5b1decfc31ffb645469c7ffbd01aaca4b18181bd/data/nba-stats/nba-player-stats-202526-regular-season-per-game.csv</x:v>
      </x:c>
    </x:row>
    <x:row r="274">
      <x:c r="A274" s="48" t="str">
        <x:v>Marcus Smart</x:v>
      </x:c>
      <x:c r="B274" s="48" t="n">
        <x:v>269</x:v>
      </x:c>
      <x:c r="C274" s="48" t="str">
        <x:v>PG</x:v>
      </x:c>
      <x:c r="D274" s="48" t="n">
        <x:v>60</x:v>
      </x:c>
      <x:c r="E274" s="48" t="n">
        <x:v>0</x:v>
      </x:c>
      <x:c r="F274" s="48" t="n">
        <x:v>3.5</x:v>
      </x:c>
      <x:c r="G274" s="48" t="str">
        <x:v>DEEP</x:v>
      </x:c>
      <x:c r="H274" s="48"/>
      <x:c r="I274" s="48"/>
      <x:c r="J274" s="48" t="str">
        <x:v>2025-26 custom-score + role shrink</x:v>
      </x:c>
      <x:c r="K274" s="50" t="str">
        <x:v>Deep-pool model: 2025-26 custom-score production shrunk toward a conservative 2026-27 role estimate; not a published projection.</x:v>
      </x:c>
      <x:c r="L274" s="50" t="str">
        <x:v>https://github.com/plourr03/wolves-front-office/blob/5d152a169188fb9b210186a7a0d3403d4081ed38/kuminga/data/roster_snapshot_2026_27_v3.csv</x:v>
      </x:c>
      <x:c r="M274" s="50" t="str">
        <x:v>https://github.com/ballacademy/NBA-head-to-head-/blob/5b1decfc31ffb645469c7ffbd01aaca4b18181bd/data/nba-stats/nba-player-stats-202526-regular-season-per-game.csv</x:v>
      </x:c>
    </x:row>
    <x:row r="275">
      <x:c r="A275" s="48" t="str">
        <x:v>Bez Mbeng</x:v>
      </x:c>
      <x:c r="B275" s="48" t="n">
        <x:v>270</x:v>
      </x:c>
      <x:c r="C275" s="48" t="str">
        <x:v>SG</x:v>
      </x:c>
      <x:c r="D275" s="48" t="n">
        <x:v>64</x:v>
      </x:c>
      <x:c r="E275" s="48" t="n">
        <x:v>0</x:v>
      </x:c>
      <x:c r="F275" s="48" t="n">
        <x:v>4.71</x:v>
      </x:c>
      <x:c r="G275" s="48" t="str">
        <x:v>VERY_DEEP</x:v>
      </x:c>
      <x:c r="H275" s="48"/>
      <x:c r="I275" s="48"/>
      <x:c r="J275" s="48" t="str">
        <x:v>2025-26 custom-score + role shrink</x:v>
      </x:c>
      <x:c r="K275" s="50" t="str">
        <x:v>Very-deep model estimate with limited sample/role certainty. Use as a search/watch-list value and refresh once final rotations are known.</x:v>
      </x:c>
      <x:c r="L275" s="50" t="str">
        <x:v>https://github.com/A-V29/NBA.Rosters/blob/main/2026.Summer.League.json</x:v>
      </x:c>
      <x:c r="M275" s="50" t="str">
        <x:v>https://github.com/ballacademy/NBA-head-to-head-/blob/5b1decfc31ffb645469c7ffbd01aaca4b18181bd/data/nba-stats/nba-player-stats-202526-regular-season-per-game.csv</x:v>
      </x:c>
    </x:row>
    <x:row r="276">
      <x:c r="A276" s="48" t="str">
        <x:v>Oso Ighodaro</x:v>
      </x:c>
      <x:c r="B276" s="48" t="n">
        <x:v>271</x:v>
      </x:c>
      <x:c r="C276" s="48" t="str">
        <x:v>C</x:v>
      </x:c>
      <x:c r="D276" s="48" t="n">
        <x:v>60</x:v>
      </x:c>
      <x:c r="E276" s="48" t="n">
        <x:v>0</x:v>
      </x:c>
      <x:c r="F276" s="48" t="n">
        <x:v>3.5</x:v>
      </x:c>
      <x:c r="G276" s="48" t="str">
        <x:v>DEEP</x:v>
      </x:c>
      <x:c r="H276" s="48"/>
      <x:c r="I276" s="48"/>
      <x:c r="J276" s="48" t="str">
        <x:v>2025-26 custom-score + role shrink</x:v>
      </x:c>
      <x:c r="K276" s="50" t="str">
        <x:v>Deep-pool model: 2025-26 custom-score production shrunk toward a conservative 2026-27 role estimate; not a published projection.</x:v>
      </x:c>
      <x:c r="L276" s="50" t="str">
        <x:v>https://github.com/plourr03/wolves-front-office/blob/5d152a169188fb9b210186a7a0d3403d4081ed38/kuminga/data/roster_snapshot_2026_27_v3.csv</x:v>
      </x:c>
      <x:c r="M276" s="50" t="str">
        <x:v>https://github.com/ballacademy/NBA-head-to-head-/blob/5b1decfc31ffb645469c7ffbd01aaca4b18181bd/data/nba-stats/nba-player-stats-202526-regular-season-per-game.csv</x:v>
      </x:c>
    </x:row>
    <x:row r="277">
      <x:c r="A277" s="48" t="str">
        <x:v>Isaac Okoro</x:v>
      </x:c>
      <x:c r="B277" s="48" t="n">
        <x:v>272</x:v>
      </x:c>
      <x:c r="C277" s="48" t="str">
        <x:v>SG</x:v>
      </x:c>
      <x:c r="D277" s="48" t="n">
        <x:v>60</x:v>
      </x:c>
      <x:c r="E277" s="48" t="n">
        <x:v>0</x:v>
      </x:c>
      <x:c r="F277" s="48" t="n">
        <x:v>3.5</x:v>
      </x:c>
      <x:c r="G277" s="48" t="str">
        <x:v>DEEP</x:v>
      </x:c>
      <x:c r="H277" s="48"/>
      <x:c r="I277" s="48"/>
      <x:c r="J277" s="48" t="str">
        <x:v>2025-26 custom-score + role shrink</x:v>
      </x:c>
      <x:c r="K277" s="50" t="str">
        <x:v>Deep-pool model: 2025-26 custom-score production shrunk toward a conservative 2026-27 role estimate; not a published projection.</x:v>
      </x:c>
      <x:c r="L277" s="50" t="str">
        <x:v>https://github.com/plourr03/wolves-front-office/blob/5d152a169188fb9b210186a7a0d3403d4081ed38/kuminga/data/roster_snapshot_2026_27_v3.csv</x:v>
      </x:c>
      <x:c r="M277" s="50" t="str">
        <x:v>https://github.com/ballacademy/NBA-head-to-head-/blob/5b1decfc31ffb645469c7ffbd01aaca4b18181bd/data/nba-stats/nba-player-stats-202526-regular-season-per-game.csv</x:v>
      </x:c>
    </x:row>
    <x:row r="278">
      <x:c r="A278" s="48" t="str">
        <x:v>Will Riley</x:v>
      </x:c>
      <x:c r="B278" s="48" t="n">
        <x:v>273</x:v>
      </x:c>
      <x:c r="C278" s="48" t="str">
        <x:v>SF</x:v>
      </x:c>
      <x:c r="D278" s="48" t="n">
        <x:v>64</x:v>
      </x:c>
      <x:c r="E278" s="48" t="n">
        <x:v>0</x:v>
      </x:c>
      <x:c r="F278" s="48" t="n">
        <x:v>3.5</x:v>
      </x:c>
      <x:c r="G278" s="48" t="str">
        <x:v>DEEP</x:v>
      </x:c>
      <x:c r="H278" s="48"/>
      <x:c r="I278" s="48"/>
      <x:c r="J278" s="48" t="str">
        <x:v>2025-26 custom-score + role shrink</x:v>
      </x:c>
      <x:c r="K278" s="50" t="str">
        <x:v>Deep-pool model: 2025-26 custom-score production shrunk toward a conservative 2026-27 role estimate; not a published projection.</x:v>
      </x:c>
      <x:c r="L278" s="50" t="str">
        <x:v>https://github.com/A-V29/NBA.Rosters/blob/main/2026.Summer.League.json</x:v>
      </x:c>
      <x:c r="M278" s="50" t="str">
        <x:v>https://github.com/ballacademy/NBA-head-to-head-/blob/5b1decfc31ffb645469c7ffbd01aaca4b18181bd/data/nba-stats/nba-player-stats-202526-regular-season-per-game.csv</x:v>
      </x:c>
    </x:row>
    <x:row r="279">
      <x:c r="A279" s="48" t="str">
        <x:v>Zach Collins</x:v>
      </x:c>
      <x:c r="B279" s="48" t="n">
        <x:v>274</x:v>
      </x:c>
      <x:c r="C279" s="48" t="str">
        <x:v>C</x:v>
      </x:c>
      <x:c r="D279" s="48" t="n">
        <x:v>60</x:v>
      </x:c>
      <x:c r="E279" s="48" t="n">
        <x:v>0</x:v>
      </x:c>
      <x:c r="F279" s="48" t="n">
        <x:v>4.670000000000001</x:v>
      </x:c>
      <x:c r="G279" s="48" t="str">
        <x:v>VERY_DEEP</x:v>
      </x:c>
      <x:c r="H279" s="48"/>
      <x:c r="I279" s="48"/>
      <x:c r="J279" s="48" t="str">
        <x:v>2025-26 custom-score + role shrink</x:v>
      </x:c>
      <x:c r="K279" s="50" t="str">
        <x:v>Very-deep model estimate with limited sample/role certainty. Use as a search/watch-list value and refresh once final rotations are known.</x:v>
      </x:c>
      <x:c r="L279" s="50" t="str">
        <x:v>https://github.com/plourr03/wolves-front-office/blob/5d152a169188fb9b210186a7a0d3403d4081ed38/kuminga/data/roster_snapshot_2026_27_v3.csv</x:v>
      </x:c>
      <x:c r="M279" s="50" t="str">
        <x:v>https://github.com/ballacademy/NBA-head-to-head-/blob/5b1decfc31ffb645469c7ffbd01aaca4b18181bd/data/nba-stats/nba-player-stats-202526-regular-season-per-game.csv</x:v>
      </x:c>
    </x:row>
    <x:row r="280">
      <x:c r="A280" s="48" t="str">
        <x:v>Brayden Burries</x:v>
      </x:c>
      <x:c r="B280" s="48" t="n">
        <x:v>275</x:v>
      </x:c>
      <x:c r="C280" s="48" t="str">
        <x:v>PG</x:v>
      </x:c>
      <x:c r="D280" s="48" t="n">
        <x:v>55</x:v>
      </x:c>
      <x:c r="E280" s="48" t="n">
        <x:v>0</x:v>
      </x:c>
      <x:c r="F280" s="48" t="n">
        <x:v>4.68</x:v>
      </x:c>
      <x:c r="G280" s="48" t="str">
        <x:v>VERY_DEEP</x:v>
      </x:c>
      <x:c r="H280" s="48"/>
      <x:c r="I280" s="48"/>
      <x:c r="J280" s="48" t="str">
        <x:v>Rookie/depth role estimate</x:v>
      </x:c>
      <x:c r="K280" s="50" t="str">
        <x:v>Rookie/depth role estimate with a wide band and limited NBA evidence. Treat as a watch-list projection, not a published forecast.</x:v>
      </x:c>
      <x:c r="L280" s="50" t="str">
        <x:v>https://github.com/A-V29/NBA.Rosters/blob/main/2026.Summer.League.json</x:v>
      </x:c>
      <x:c r="M280" s="50" t="str">
        <x:v>https://github.com/ballacademy/NBA-head-to-head-/blob/5b1decfc31ffb645469c7ffbd01aaca4b18181bd/data/nba-stats/nba-player-stats-202526-regular-season-per-game.csv</x:v>
      </x:c>
    </x:row>
    <x:row r="281">
      <x:c r="A281" s="48" t="str">
        <x:v>Jaylin Williams</x:v>
      </x:c>
      <x:c r="B281" s="48" t="n">
        <x:v>276</x:v>
      </x:c>
      <x:c r="C281" s="48" t="str">
        <x:v>C</x:v>
      </x:c>
      <x:c r="D281" s="48" t="n">
        <x:v>60</x:v>
      </x:c>
      <x:c r="E281" s="48" t="n">
        <x:v>0</x:v>
      </x:c>
      <x:c r="F281" s="48" t="n">
        <x:v>3.5</x:v>
      </x:c>
      <x:c r="G281" s="48" t="str">
        <x:v>DEEP</x:v>
      </x:c>
      <x:c r="H281" s="48"/>
      <x:c r="I281" s="48"/>
      <x:c r="J281" s="48" t="str">
        <x:v>2025-26 custom-score + role shrink</x:v>
      </x:c>
      <x:c r="K281" s="50" t="str">
        <x:v>Deep-pool model: 2025-26 custom-score production shrunk toward a conservative 2026-27 role estimate; not a published projection.</x:v>
      </x:c>
      <x:c r="L281" s="50" t="str">
        <x:v>https://github.com/plourr03/wolves-front-office/blob/5d152a169188fb9b210186a7a0d3403d4081ed38/kuminga/data/roster_snapshot_2026_27_v3.csv</x:v>
      </x:c>
      <x:c r="M281" s="50" t="str">
        <x:v>https://github.com/ballacademy/NBA-head-to-head-/blob/5b1decfc31ffb645469c7ffbd01aaca4b18181bd/data/nba-stats/nba-player-stats-202526-regular-season-per-game.csv</x:v>
      </x:c>
    </x:row>
    <x:row r="282">
      <x:c r="A282" s="48" t="str">
        <x:v>Aday Mara</x:v>
      </x:c>
      <x:c r="B282" s="48" t="n">
        <x:v>277</x:v>
      </x:c>
      <x:c r="C282" s="48" t="str">
        <x:v>C</x:v>
      </x:c>
      <x:c r="D282" s="48" t="n">
        <x:v>55</x:v>
      </x:c>
      <x:c r="E282" s="48" t="n">
        <x:v>0</x:v>
      </x:c>
      <x:c r="F282" s="48" t="n">
        <x:v>4.6450000000000005</x:v>
      </x:c>
      <x:c r="G282" s="48" t="str">
        <x:v>VERY_DEEP</x:v>
      </x:c>
      <x:c r="H282" s="48"/>
      <x:c r="I282" s="48"/>
      <x:c r="J282" s="48" t="str">
        <x:v>Rookie/depth role estimate</x:v>
      </x:c>
      <x:c r="K282" s="50" t="str">
        <x:v>Rookie/depth role estimate with a wide band and limited NBA evidence. Treat as a watch-list projection, not a published forecast.</x:v>
      </x:c>
      <x:c r="L282" s="50" t="str">
        <x:v>https://github.com/A-V29/NBA.Rosters/blob/main/2026.Summer.League.json</x:v>
      </x:c>
      <x:c r="M282" s="50" t="str">
        <x:v>https://github.com/ballacademy/NBA-head-to-head-/blob/5b1decfc31ffb645469c7ffbd01aaca4b18181bd/data/nba-stats/nba-player-stats-202526-regular-season-per-game.csv</x:v>
      </x:c>
    </x:row>
    <x:row r="283">
      <x:c r="A283" s="48" t="str">
        <x:v>AJ Green</x:v>
      </x:c>
      <x:c r="B283" s="48" t="n">
        <x:v>278</x:v>
      </x:c>
      <x:c r="C283" s="48" t="str">
        <x:v>SG</x:v>
      </x:c>
      <x:c r="D283" s="48" t="n">
        <x:v>60</x:v>
      </x:c>
      <x:c r="E283" s="48" t="n">
        <x:v>0</x:v>
      </x:c>
      <x:c r="F283" s="48" t="n">
        <x:v>3.5</x:v>
      </x:c>
      <x:c r="G283" s="48" t="str">
        <x:v>DEEP</x:v>
      </x:c>
      <x:c r="H283" s="48"/>
      <x:c r="I283" s="48"/>
      <x:c r="J283" s="48" t="str">
        <x:v>2025-26 custom-score + role shrink</x:v>
      </x:c>
      <x:c r="K283" s="50" t="str">
        <x:v>Deep-pool model: 2025-26 custom-score production shrunk toward a conservative 2026-27 role estimate; not a published projection.</x:v>
      </x:c>
      <x:c r="L283" s="50" t="str">
        <x:v>https://github.com/plourr03/wolves-front-office/blob/5d152a169188fb9b210186a7a0d3403d4081ed38/kuminga/data/roster_snapshot_2026_27_v3.csv</x:v>
      </x:c>
      <x:c r="M283" s="50" t="str">
        <x:v>https://github.com/ballacademy/NBA-head-to-head-/blob/5b1decfc31ffb645469c7ffbd01aaca4b18181bd/data/nba-stats/nba-player-stats-202526-regular-season-per-game.csv</x:v>
      </x:c>
    </x:row>
    <x:row r="284">
      <x:c r="A284" s="48" t="str">
        <x:v>Ron Holland II</x:v>
      </x:c>
      <x:c r="B284" s="48" t="n">
        <x:v>279</x:v>
      </x:c>
      <x:c r="C284" s="48" t="str">
        <x:v>SF</x:v>
      </x:c>
      <x:c r="D284" s="48" t="n">
        <x:v>60</x:v>
      </x:c>
      <x:c r="E284" s="48" t="n">
        <x:v>0</x:v>
      </x:c>
      <x:c r="F284" s="48" t="n">
        <x:v>3.5</x:v>
      </x:c>
      <x:c r="G284" s="48" t="str">
        <x:v>DEEP</x:v>
      </x:c>
      <x:c r="H284" s="48"/>
      <x:c r="I284" s="48"/>
      <x:c r="J284" s="48" t="str">
        <x:v>2025-26 custom-score + role shrink</x:v>
      </x:c>
      <x:c r="K284" s="50" t="str">
        <x:v>Deep-pool model: 2025-26 custom-score production shrunk toward a conservative 2026-27 role estimate; not a published projection.</x:v>
      </x:c>
      <x:c r="L284" s="50" t="str">
        <x:v>https://github.com/plourr03/wolves-front-office/blob/5d152a169188fb9b210186a7a0d3403d4081ed38/kuminga/data/roster_snapshot_2026_27_v3.csv</x:v>
      </x:c>
      <x:c r="M284" s="50" t="str">
        <x:v>https://github.com/ballacademy/NBA-head-to-head-/blob/5b1decfc31ffb645469c7ffbd01aaca4b18181bd/data/nba-stats/nba-player-stats-202526-regular-season-per-game.csv</x:v>
      </x:c>
    </x:row>
    <x:row r="285">
      <x:c r="A285" s="48" t="str">
        <x:v>Nate Ament</x:v>
      </x:c>
      <x:c r="B285" s="48" t="n">
        <x:v>280</x:v>
      </x:c>
      <x:c r="C285" s="48" t="str">
        <x:v>PF</x:v>
      </x:c>
      <x:c r="D285" s="48" t="n">
        <x:v>55</x:v>
      </x:c>
      <x:c r="E285" s="48" t="n">
        <x:v>0</x:v>
      </x:c>
      <x:c r="F285" s="48" t="n">
        <x:v>4.624999999999999</x:v>
      </x:c>
      <x:c r="G285" s="48" t="str">
        <x:v>VERY_DEEP</x:v>
      </x:c>
      <x:c r="H285" s="48"/>
      <x:c r="I285" s="48"/>
      <x:c r="J285" s="48" t="str">
        <x:v>Rookie/depth role estimate</x:v>
      </x:c>
      <x:c r="K285" s="50" t="str">
        <x:v>Rookie/depth role estimate with a wide band and limited NBA evidence. Treat as a watch-list projection, not a published forecast.</x:v>
      </x:c>
      <x:c r="L285" s="50" t="str">
        <x:v>https://github.com/A-V29/NBA.Rosters/blob/main/2026.Summer.League.json</x:v>
      </x:c>
      <x:c r="M285" s="50" t="str">
        <x:v>https://github.com/ballacademy/NBA-head-to-head-/blob/5b1decfc31ffb645469c7ffbd01aaca4b18181bd/data/nba-stats/nba-player-stats-202526-regular-season-per-game.csv</x:v>
      </x:c>
    </x:row>
    <x:row r="286">
      <x:c r="A286" s="48" t="str">
        <x:v>Cody Williams</x:v>
      </x:c>
      <x:c r="B286" s="48" t="n">
        <x:v>281</x:v>
      </x:c>
      <x:c r="C286" s="48" t="str">
        <x:v>SF</x:v>
      </x:c>
      <x:c r="D286" s="48" t="n">
        <x:v>64</x:v>
      </x:c>
      <x:c r="E286" s="48" t="n">
        <x:v>0</x:v>
      </x:c>
      <x:c r="F286" s="48" t="n">
        <x:v>3.5</x:v>
      </x:c>
      <x:c r="G286" s="48" t="str">
        <x:v>DEEP</x:v>
      </x:c>
      <x:c r="H286" s="48"/>
      <x:c r="I286" s="48"/>
      <x:c r="J286" s="48" t="str">
        <x:v>2025-26 custom-score + role shrink</x:v>
      </x:c>
      <x:c r="K286" s="50" t="str">
        <x:v>Deep-pool model: 2025-26 custom-score production shrunk toward a conservative 2026-27 role estimate; not a published projection.</x:v>
      </x:c>
      <x:c r="L286" s="50" t="str">
        <x:v>https://github.com/A-V29/NBA.Rosters/blob/main/2026.Summer.League.json</x:v>
      </x:c>
      <x:c r="M286" s="50" t="str">
        <x:v>https://github.com/ballacademy/NBA-head-to-head-/blob/5b1decfc31ffb645469c7ffbd01aaca4b18181bd/data/nba-stats/nba-player-stats-202526-regular-season-per-game.csv</x:v>
      </x:c>
    </x:row>
    <x:row r="287">
      <x:c r="A287" s="48" t="str">
        <x:v>Hannes Steinbach</x:v>
      </x:c>
      <x:c r="B287" s="48" t="n">
        <x:v>282</x:v>
      </x:c>
      <x:c r="C287" s="48" t="str">
        <x:v>C</x:v>
      </x:c>
      <x:c r="D287" s="48" t="n">
        <x:v>55</x:v>
      </x:c>
      <x:c r="E287" s="48" t="n">
        <x:v>0</x:v>
      </x:c>
      <x:c r="F287" s="48" t="n">
        <x:v>4.6049999999999995</x:v>
      </x:c>
      <x:c r="G287" s="48" t="str">
        <x:v>VERY_DEEP</x:v>
      </x:c>
      <x:c r="H287" s="48"/>
      <x:c r="I287" s="48"/>
      <x:c r="J287" s="48" t="str">
        <x:v>Rookie/depth role estimate</x:v>
      </x:c>
      <x:c r="K287" s="50" t="str">
        <x:v>Rookie/depth role estimate with a wide band and limited NBA evidence. Treat as a watch-list projection, not a published forecast.</x:v>
      </x:c>
      <x:c r="L287" s="50" t="str">
        <x:v>https://github.com/A-V29/NBA.Rosters/blob/main/2026.Summer.League.json</x:v>
      </x:c>
      <x:c r="M287" s="50" t="str">
        <x:v>https://github.com/ballacademy/NBA-head-to-head-/blob/5b1decfc31ffb645469c7ffbd01aaca4b18181bd/data/nba-stats/nba-player-stats-202526-regular-season-per-game.csv</x:v>
      </x:c>
    </x:row>
    <x:row r="288">
      <x:c r="A288" s="48" t="str">
        <x:v>Daniss Jenkins</x:v>
      </x:c>
      <x:c r="B288" s="48" t="n">
        <x:v>283</x:v>
      </x:c>
      <x:c r="C288" s="48" t="str">
        <x:v>PG</x:v>
      </x:c>
      <x:c r="D288" s="48" t="n">
        <x:v>60</x:v>
      </x:c>
      <x:c r="E288" s="48" t="n">
        <x:v>0</x:v>
      </x:c>
      <x:c r="F288" s="48" t="n">
        <x:v>3.5</x:v>
      </x:c>
      <x:c r="G288" s="48" t="str">
        <x:v>DEEP</x:v>
      </x:c>
      <x:c r="H288" s="48"/>
      <x:c r="I288" s="48"/>
      <x:c r="J288" s="48" t="str">
        <x:v>2025-26 custom-score + role shrink</x:v>
      </x:c>
      <x:c r="K288" s="50" t="str">
        <x:v>Deep-pool model: 2025-26 custom-score production shrunk toward a conservative 2026-27 role estimate; not a published projection.</x:v>
      </x:c>
      <x:c r="L288" s="50" t="str">
        <x:v>https://github.com/plourr03/wolves-front-office/blob/5d152a169188fb9b210186a7a0d3403d4081ed38/kuminga/data/roster_snapshot_2026_27_v3.csv</x:v>
      </x:c>
      <x:c r="M288" s="50" t="str">
        <x:v>https://github.com/ballacademy/NBA-head-to-head-/blob/5b1decfc31ffb645469c7ffbd01aaca4b18181bd/data/nba-stats/nba-player-stats-202526-regular-season-per-game.csv</x:v>
      </x:c>
    </x:row>
    <x:row r="289">
      <x:c r="A289" s="48" t="str">
        <x:v>Dailyn Swain</x:v>
      </x:c>
      <x:c r="B289" s="48" t="n">
        <x:v>284</x:v>
      </x:c>
      <x:c r="C289" s="48" t="str">
        <x:v>SF</x:v>
      </x:c>
      <x:c r="D289" s="48" t="n">
        <x:v>55</x:v>
      </x:c>
      <x:c r="E289" s="48" t="n">
        <x:v>0</x:v>
      </x:c>
      <x:c r="F289" s="48" t="n">
        <x:v>4.59</x:v>
      </x:c>
      <x:c r="G289" s="48" t="str">
        <x:v>VERY_DEEP</x:v>
      </x:c>
      <x:c r="H289" s="48"/>
      <x:c r="I289" s="48"/>
      <x:c r="J289" s="48" t="str">
        <x:v>Rookie/depth role estimate</x:v>
      </x:c>
      <x:c r="K289" s="50" t="str">
        <x:v>Rookie/depth role estimate with a wide band and limited NBA evidence. Treat as a watch-list projection, not a published forecast.</x:v>
      </x:c>
      <x:c r="L289" s="50" t="str">
        <x:v>https://github.com/A-V29/NBA.Rosters/blob/main/2026.Summer.League.json</x:v>
      </x:c>
      <x:c r="M289" s="50" t="str">
        <x:v>https://github.com/ballacademy/NBA-head-to-head-/blob/5b1decfc31ffb645469c7ffbd01aaca4b18181bd/data/nba-stats/nba-player-stats-202526-regular-season-per-game.csv</x:v>
      </x:c>
    </x:row>
    <x:row r="290">
      <x:c r="A290" s="48" t="str">
        <x:v>Terance Mann</x:v>
      </x:c>
      <x:c r="B290" s="48" t="n">
        <x:v>285</x:v>
      </x:c>
      <x:c r="C290" s="48" t="str">
        <x:v>SG</x:v>
      </x:c>
      <x:c r="D290" s="48" t="n">
        <x:v>60</x:v>
      </x:c>
      <x:c r="E290" s="48" t="n">
        <x:v>0</x:v>
      </x:c>
      <x:c r="F290" s="48" t="n">
        <x:v>3.5</x:v>
      </x:c>
      <x:c r="G290" s="48" t="str">
        <x:v>DEEP</x:v>
      </x:c>
      <x:c r="H290" s="48"/>
      <x:c r="I290" s="48"/>
      <x:c r="J290" s="48" t="str">
        <x:v>2025-26 custom-score + role shrink</x:v>
      </x:c>
      <x:c r="K290" s="50" t="str">
        <x:v>Deep-pool model: 2025-26 custom-score production shrunk toward a conservative 2026-27 role estimate; not a published projection.</x:v>
      </x:c>
      <x:c r="L290" s="50" t="str">
        <x:v>https://github.com/plourr03/wolves-front-office/blob/5d152a169188fb9b210186a7a0d3403d4081ed38/kuminga/data/roster_snapshot_2026_27_v3.csv</x:v>
      </x:c>
      <x:c r="M290" s="50" t="str">
        <x:v>https://github.com/ballacademy/NBA-head-to-head-/blob/5b1decfc31ffb645469c7ffbd01aaca4b18181bd/data/nba-stats/nba-player-stats-202526-regular-season-per-game.csv</x:v>
      </x:c>
    </x:row>
    <x:row r="291">
      <x:c r="A291" s="48" t="str">
        <x:v>Bennett Stirtz</x:v>
      </x:c>
      <x:c r="B291" s="48" t="n">
        <x:v>286</x:v>
      </x:c>
      <x:c r="C291" s="48" t="str">
        <x:v>PG</x:v>
      </x:c>
      <x:c r="D291" s="48" t="n">
        <x:v>55</x:v>
      </x:c>
      <x:c r="E291" s="48" t="n">
        <x:v>0</x:v>
      </x:c>
      <x:c r="F291" s="48" t="n">
        <x:v>4.57</x:v>
      </x:c>
      <x:c r="G291" s="48" t="str">
        <x:v>VERY_DEEP</x:v>
      </x:c>
      <x:c r="H291" s="48"/>
      <x:c r="I291" s="48"/>
      <x:c r="J291" s="48" t="str">
        <x:v>Rookie/depth role estimate</x:v>
      </x:c>
      <x:c r="K291" s="50" t="str">
        <x:v>Rookie/depth role estimate with a wide band and limited NBA evidence. Treat as a watch-list projection, not a published forecast.</x:v>
      </x:c>
      <x:c r="L291" s="50" t="str">
        <x:v>https://github.com/A-V29/NBA.Rosters/blob/main/2026.Summer.League.json</x:v>
      </x:c>
      <x:c r="M291" s="50" t="str">
        <x:v>https://github.com/ballacademy/NBA-head-to-head-/blob/5b1decfc31ffb645469c7ffbd01aaca4b18181bd/data/nba-stats/nba-player-stats-202526-regular-season-per-game.csv</x:v>
      </x:c>
    </x:row>
    <x:row r="292">
      <x:c r="A292" s="48" t="str">
        <x:v>Ebuka Okorie</x:v>
      </x:c>
      <x:c r="B292" s="48" t="n">
        <x:v>287</x:v>
      </x:c>
      <x:c r="C292" s="48" t="str">
        <x:v>PG</x:v>
      </x:c>
      <x:c r="D292" s="48" t="n">
        <x:v>55</x:v>
      </x:c>
      <x:c r="E292" s="48" t="n">
        <x:v>0</x:v>
      </x:c>
      <x:c r="F292" s="48" t="n">
        <x:v>4.555</x:v>
      </x:c>
      <x:c r="G292" s="48" t="str">
        <x:v>VERY_DEEP</x:v>
      </x:c>
      <x:c r="H292" s="48"/>
      <x:c r="I292" s="48"/>
      <x:c r="J292" s="48" t="str">
        <x:v>Rookie/depth role estimate</x:v>
      </x:c>
      <x:c r="K292" s="50" t="str">
        <x:v>Rookie/depth role estimate with a wide band and limited NBA evidence. Treat as a watch-list projection, not a published forecast.</x:v>
      </x:c>
      <x:c r="L292" s="50" t="str">
        <x:v>https://github.com/A-V29/NBA.Rosters/blob/main/2026.Summer.League.json</x:v>
      </x:c>
      <x:c r="M292" s="50" t="str">
        <x:v>https://github.com/ballacademy/NBA-head-to-head-/blob/5b1decfc31ffb645469c7ffbd01aaca4b18181bd/data/nba-stats/nba-player-stats-202526-regular-season-per-game.csv</x:v>
      </x:c>
    </x:row>
    <x:row r="293">
      <x:c r="A293" s="48" t="str">
        <x:v>Scotty Pippen Jr.</x:v>
      </x:c>
      <x:c r="B293" s="48" t="n">
        <x:v>288</x:v>
      </x:c>
      <x:c r="C293" s="48" t="str">
        <x:v>PG</x:v>
      </x:c>
      <x:c r="D293" s="48" t="n">
        <x:v>60</x:v>
      </x:c>
      <x:c r="E293" s="48" t="n">
        <x:v>0</x:v>
      </x:c>
      <x:c r="F293" s="48" t="n">
        <x:v>4.494999999999999</x:v>
      </x:c>
      <x:c r="G293" s="48" t="str">
        <x:v>VERY_DEEP</x:v>
      </x:c>
      <x:c r="H293" s="48"/>
      <x:c r="I293" s="48"/>
      <x:c r="J293" s="48" t="str">
        <x:v>2025-26 custom-score + role shrink</x:v>
      </x:c>
      <x:c r="K293" s="50" t="str">
        <x:v>Very-deep model estimate with limited sample/role certainty. Use as a search/watch-list value and refresh once final rotations are known.</x:v>
      </x:c>
      <x:c r="L293" s="50" t="str">
        <x:v>https://github.com/plourr03/wolves-front-office/blob/5d152a169188fb9b210186a7a0d3403d4081ed38/kuminga/data/roster_snapshot_2026_27_v3.csv</x:v>
      </x:c>
      <x:c r="M293" s="50" t="str">
        <x:v>https://github.com/ballacademy/NBA-head-to-head-/blob/5b1decfc31ffb645469c7ffbd01aaca4b18181bd/data/nba-stats/nba-player-stats-202526-regular-season-per-game.csv</x:v>
      </x:c>
    </x:row>
    <x:row r="294">
      <x:c r="A294" s="48" t="str">
        <x:v>Allen Graves</x:v>
      </x:c>
      <x:c r="B294" s="48" t="n">
        <x:v>289</x:v>
      </x:c>
      <x:c r="C294" s="48" t="str">
        <x:v>PF</x:v>
      </x:c>
      <x:c r="D294" s="48" t="n">
        <x:v>55</x:v>
      </x:c>
      <x:c r="E294" s="48" t="n">
        <x:v>0</x:v>
      </x:c>
      <x:c r="F294" s="48" t="n">
        <x:v>4.515000000000001</x:v>
      </x:c>
      <x:c r="G294" s="48" t="str">
        <x:v>VERY_DEEP</x:v>
      </x:c>
      <x:c r="H294" s="48"/>
      <x:c r="I294" s="48"/>
      <x:c r="J294" s="48" t="str">
        <x:v>Rookie/depth role estimate</x:v>
      </x:c>
      <x:c r="K294" s="50" t="str">
        <x:v>Rookie/depth role estimate with a wide band and limited NBA evidence. Treat as a watch-list projection, not a published forecast.</x:v>
      </x:c>
      <x:c r="L294" s="50" t="str">
        <x:v>https://github.com/A-V29/NBA.Rosters/blob/main/2026.Summer.League.json</x:v>
      </x:c>
      <x:c r="M294" s="50" t="str">
        <x:v>https://github.com/ballacademy/NBA-head-to-head-/blob/5b1decfc31ffb645469c7ffbd01aaca4b18181bd/data/nba-stats/nba-player-stats-202526-regular-season-per-game.csv</x:v>
      </x:c>
    </x:row>
    <x:row r="295">
      <x:c r="A295" s="48" t="str">
        <x:v>Jayden Quaintance</x:v>
      </x:c>
      <x:c r="B295" s="48" t="n">
        <x:v>290</x:v>
      </x:c>
      <x:c r="C295" s="48" t="str">
        <x:v>C</x:v>
      </x:c>
      <x:c r="D295" s="48" t="n">
        <x:v>55</x:v>
      </x:c>
      <x:c r="E295" s="48" t="n">
        <x:v>0</x:v>
      </x:c>
      <x:c r="F295" s="48" t="n">
        <x:v>4.5</x:v>
      </x:c>
      <x:c r="G295" s="48" t="str">
        <x:v>VERY_DEEP</x:v>
      </x:c>
      <x:c r="H295" s="48"/>
      <x:c r="I295" s="48"/>
      <x:c r="J295" s="48" t="str">
        <x:v>Rookie/depth role estimate</x:v>
      </x:c>
      <x:c r="K295" s="50" t="str">
        <x:v>Rookie/depth role estimate with a wide band and limited NBA evidence. Treat as a watch-list projection, not a published forecast.</x:v>
      </x:c>
      <x:c r="L295" s="50" t="str">
        <x:v>https://github.com/A-V29/NBA.Rosters/blob/main/2026.Summer.League.json</x:v>
      </x:c>
      <x:c r="M295" s="50" t="str">
        <x:v>https://github.com/ballacademy/NBA-head-to-head-/blob/5b1decfc31ffb645469c7ffbd01aaca4b18181bd/data/nba-stats/nba-player-stats-202526-regular-season-per-game.csv</x:v>
      </x:c>
    </x:row>
    <x:row r="296">
      <x:c r="A296" s="48" t="str">
        <x:v>Karim Lopez</x:v>
      </x:c>
      <x:c r="B296" s="48" t="n">
        <x:v>291</x:v>
      </x:c>
      <x:c r="C296" s="48" t="str">
        <x:v>PF</x:v>
      </x:c>
      <x:c r="D296" s="48" t="n">
        <x:v>55</x:v>
      </x:c>
      <x:c r="E296" s="48" t="n">
        <x:v>0</x:v>
      </x:c>
      <x:c r="F296" s="48" t="n">
        <x:v>4.485000000000001</x:v>
      </x:c>
      <x:c r="G296" s="48" t="str">
        <x:v>VERY_DEEP</x:v>
      </x:c>
      <x:c r="H296" s="48"/>
      <x:c r="I296" s="48"/>
      <x:c r="J296" s="48" t="str">
        <x:v>Rookie/depth role estimate</x:v>
      </x:c>
      <x:c r="K296" s="50" t="str">
        <x:v>Rookie/depth role estimate with a wide band and limited NBA evidence. Treat as a watch-list projection, not a published forecast.</x:v>
      </x:c>
      <x:c r="L296" s="50" t="str">
        <x:v>https://github.com/A-V29/NBA.Rosters/blob/main/2026.Summer.League.json</x:v>
      </x:c>
      <x:c r="M296" s="50" t="str">
        <x:v>https://github.com/ballacademy/NBA-head-to-head-/blob/5b1decfc31ffb645469c7ffbd01aaca4b18181bd/data/nba-stats/nba-player-stats-202526-regular-season-per-game.csv</x:v>
      </x:c>
    </x:row>
    <x:row r="297">
      <x:c r="A297" s="48" t="str">
        <x:v>Labaron Philon Jr.</x:v>
      </x:c>
      <x:c r="B297" s="48" t="n">
        <x:v>292</x:v>
      </x:c>
      <x:c r="C297" s="48" t="str">
        <x:v>PG</x:v>
      </x:c>
      <x:c r="D297" s="48" t="n">
        <x:v>55</x:v>
      </x:c>
      <x:c r="E297" s="48" t="n">
        <x:v>0</x:v>
      </x:c>
      <x:c r="F297" s="48" t="n">
        <x:v>4.470000000000001</x:v>
      </x:c>
      <x:c r="G297" s="48" t="str">
        <x:v>VERY_DEEP</x:v>
      </x:c>
      <x:c r="H297" s="48"/>
      <x:c r="I297" s="48"/>
      <x:c r="J297" s="48" t="str">
        <x:v>Rookie/depth role estimate</x:v>
      </x:c>
      <x:c r="K297" s="50" t="str">
        <x:v>Rookie/depth role estimate with a wide band and limited NBA evidence. Treat as a watch-list projection, not a published forecast.</x:v>
      </x:c>
      <x:c r="L297" s="50" t="str">
        <x:v>https://github.com/A-V29/NBA.Rosters/blob/main/2026.Summer.League.json</x:v>
      </x:c>
      <x:c r="M297" s="50" t="str">
        <x:v>https://github.com/ballacademy/NBA-head-to-head-/blob/5b1decfc31ffb645469c7ffbd01aaca4b18181bd/data/nba-stats/nba-player-stats-202526-regular-season-per-game.csv</x:v>
      </x:c>
    </x:row>
    <x:row r="298">
      <x:c r="A298" s="48" t="str">
        <x:v>Ziaire Williams</x:v>
      </x:c>
      <x:c r="B298" s="48" t="n">
        <x:v>293</x:v>
      </x:c>
      <x:c r="C298" s="48" t="str">
        <x:v>SF</x:v>
      </x:c>
      <x:c r="D298" s="48" t="n">
        <x:v>60</x:v>
      </x:c>
      <x:c r="E298" s="48" t="n">
        <x:v>0</x:v>
      </x:c>
      <x:c r="F298" s="48" t="n">
        <x:v>3.5</x:v>
      </x:c>
      <x:c r="G298" s="48" t="str">
        <x:v>DEEP</x:v>
      </x:c>
      <x:c r="H298" s="48"/>
      <x:c r="I298" s="48"/>
      <x:c r="J298" s="48" t="str">
        <x:v>2025-26 custom-score + role shrink</x:v>
      </x:c>
      <x:c r="K298" s="50" t="str">
        <x:v>Deep-pool model: 2025-26 custom-score production shrunk toward a conservative 2026-27 role estimate; not a published projection.</x:v>
      </x:c>
      <x:c r="L298" s="50" t="str">
        <x:v>https://github.com/plourr03/wolves-front-office/blob/5d152a169188fb9b210186a7a0d3403d4081ed38/kuminga/data/roster_snapshot_2026_27_v3.csv</x:v>
      </x:c>
      <x:c r="M298" s="50" t="str">
        <x:v>https://github.com/ballacademy/NBA-head-to-head-/blob/5b1decfc31ffb645469c7ffbd01aaca4b18181bd/data/nba-stats/nba-player-stats-202526-regular-season-per-game.csv</x:v>
      </x:c>
    </x:row>
    <x:row r="299">
      <x:c r="A299" s="48" t="str">
        <x:v>Zuby Ejiofor</x:v>
      </x:c>
      <x:c r="B299" s="48" t="n">
        <x:v>294</x:v>
      </x:c>
      <x:c r="C299" s="48" t="str">
        <x:v>C</x:v>
      </x:c>
      <x:c r="D299" s="48" t="n">
        <x:v>55</x:v>
      </x:c>
      <x:c r="E299" s="48" t="n">
        <x:v>0</x:v>
      </x:c>
      <x:c r="F299" s="48" t="n">
        <x:v>4.455</x:v>
      </x:c>
      <x:c r="G299" s="48" t="str">
        <x:v>VERY_DEEP</x:v>
      </x:c>
      <x:c r="H299" s="48"/>
      <x:c r="I299" s="48"/>
      <x:c r="J299" s="48" t="str">
        <x:v>Rookie/depth role estimate</x:v>
      </x:c>
      <x:c r="K299" s="50" t="str">
        <x:v>Rookie/depth role estimate with a wide band and limited NBA evidence. Treat as a watch-list projection, not a published forecast.</x:v>
      </x:c>
      <x:c r="L299" s="50" t="str">
        <x:v>https://github.com/A-V29/NBA.Rosters/blob/main/2026.Summer.League.json</x:v>
      </x:c>
      <x:c r="M299" s="50" t="str">
        <x:v>https://github.com/ballacademy/NBA-head-to-head-/blob/5b1decfc31ffb645469c7ffbd01aaca4b18181bd/data/nba-stats/nba-player-stats-202526-regular-season-per-game.csv</x:v>
      </x:c>
    </x:row>
    <x:row r="300">
      <x:c r="A300" s="48" t="str">
        <x:v>Taylor Hendricks</x:v>
      </x:c>
      <x:c r="B300" s="48" t="n">
        <x:v>295</x:v>
      </x:c>
      <x:c r="C300" s="48" t="str">
        <x:v>PF</x:v>
      </x:c>
      <x:c r="D300" s="48" t="n">
        <x:v>64</x:v>
      </x:c>
      <x:c r="E300" s="48" t="n">
        <x:v>0</x:v>
      </x:c>
      <x:c r="F300" s="48" t="n">
        <x:v>3.5</x:v>
      </x:c>
      <x:c r="G300" s="48" t="str">
        <x:v>DEEP</x:v>
      </x:c>
      <x:c r="H300" s="48"/>
      <x:c r="I300" s="48"/>
      <x:c r="J300" s="48" t="str">
        <x:v>2025-26 custom-score + role shrink</x:v>
      </x:c>
      <x:c r="K300" s="50" t="str">
        <x:v>Deep-pool model: 2025-26 custom-score production shrunk toward a conservative 2026-27 role estimate; not a published projection.</x:v>
      </x:c>
      <x:c r="L300" s="50" t="str">
        <x:v>https://github.com/A-V29/NBA.Rosters/blob/main/2026.Summer.League.json</x:v>
      </x:c>
      <x:c r="M300" s="50" t="str">
        <x:v>https://github.com/ballacademy/NBA-head-to-head-/blob/5b1decfc31ffb645469c7ffbd01aaca4b18181bd/data/nba-stats/nba-player-stats-202526-regular-season-per-game.csv</x:v>
      </x:c>
    </x:row>
    <x:row r="301">
      <x:c r="A301" s="48" t="str">
        <x:v>Cameron Carr</x:v>
      </x:c>
      <x:c r="B301" s="48" t="n">
        <x:v>296</x:v>
      </x:c>
      <x:c r="C301" s="48" t="str">
        <x:v>SG</x:v>
      </x:c>
      <x:c r="D301" s="48" t="n">
        <x:v>55</x:v>
      </x:c>
      <x:c r="E301" s="48" t="n">
        <x:v>0</x:v>
      </x:c>
      <x:c r="F301" s="48" t="n">
        <x:v>4.44</x:v>
      </x:c>
      <x:c r="G301" s="48" t="str">
        <x:v>VERY_DEEP</x:v>
      </x:c>
      <x:c r="H301" s="48"/>
      <x:c r="I301" s="48"/>
      <x:c r="J301" s="48" t="str">
        <x:v>Rookie/depth role estimate</x:v>
      </x:c>
      <x:c r="K301" s="50" t="str">
        <x:v>Rookie/depth role estimate with a wide band and limited NBA evidence. Treat as a watch-list projection, not a published forecast.</x:v>
      </x:c>
      <x:c r="L301" s="50" t="str">
        <x:v>https://github.com/A-V29/NBA.Rosters/blob/main/2026.Summer.League.json</x:v>
      </x:c>
      <x:c r="M301" s="50" t="str">
        <x:v>https://github.com/ballacademy/NBA-head-to-head-/blob/5b1decfc31ffb645469c7ffbd01aaca4b18181bd/data/nba-stats/nba-player-stats-202526-regular-season-per-game.csv</x:v>
      </x:c>
    </x:row>
    <x:row r="302">
      <x:c r="A302" s="48" t="str">
        <x:v>Kadary Richmond</x:v>
      </x:c>
      <x:c r="B302" s="48" t="n">
        <x:v>297</x:v>
      </x:c>
      <x:c r="C302" s="48" t="str">
        <x:v>SG</x:v>
      </x:c>
      <x:c r="D302" s="48" t="n">
        <x:v>64</x:v>
      </x:c>
      <x:c r="E302" s="48" t="n">
        <x:v>0</x:v>
      </x:c>
      <x:c r="F302" s="48" t="n">
        <x:v>4.359999999999999</x:v>
      </x:c>
      <x:c r="G302" s="48" t="str">
        <x:v>VERY_DEEP</x:v>
      </x:c>
      <x:c r="H302" s="48"/>
      <x:c r="I302" s="48"/>
      <x:c r="J302" s="48" t="str">
        <x:v>2025-26 custom-score + role shrink</x:v>
      </x:c>
      <x:c r="K302" s="50" t="str">
        <x:v>Very-deep model estimate with limited sample/role certainty. Use as a search/watch-list value and refresh once final rotations are known.</x:v>
      </x:c>
      <x:c r="L302" s="50" t="str">
        <x:v>https://github.com/A-V29/NBA.Rosters/blob/main/2026.Summer.League.json</x:v>
      </x:c>
      <x:c r="M302" s="50" t="str">
        <x:v>https://github.com/ballacademy/NBA-head-to-head-/blob/5b1decfc31ffb645469c7ffbd01aaca4b18181bd/data/nba-stats/nba-player-stats-202526-regular-season-per-game.csv</x:v>
      </x:c>
    </x:row>
    <x:row r="303">
      <x:c r="A303" s="48" t="str">
        <x:v>Yaxel Lendeborg</x:v>
      </x:c>
      <x:c r="B303" s="48" t="n">
        <x:v>298</x:v>
      </x:c>
      <x:c r="C303" s="48" t="str">
        <x:v>C</x:v>
      </x:c>
      <x:c r="D303" s="48" t="n">
        <x:v>55</x:v>
      </x:c>
      <x:c r="E303" s="48" t="n">
        <x:v>0</x:v>
      </x:c>
      <x:c r="F303" s="48" t="n">
        <x:v>4.435</x:v>
      </x:c>
      <x:c r="G303" s="48" t="str">
        <x:v>VERY_DEEP</x:v>
      </x:c>
      <x:c r="H303" s="48"/>
      <x:c r="I303" s="48"/>
      <x:c r="J303" s="48" t="str">
        <x:v>Rookie/depth role estimate</x:v>
      </x:c>
      <x:c r="K303" s="50" t="str">
        <x:v>Rookie/depth role estimate with a wide band and limited NBA evidence. Treat as a watch-list projection, not a published forecast.</x:v>
      </x:c>
      <x:c r="L303" s="50" t="str">
        <x:v>https://github.com/A-V29/NBA.Rosters/blob/main/2026.Summer.League.json</x:v>
      </x:c>
      <x:c r="M303" s="50" t="str">
        <x:v>https://github.com/ballacademy/NBA-head-to-head-/blob/5b1decfc31ffb645469c7ffbd01aaca4b18181bd/data/nba-stats/nba-player-stats-202526-regular-season-per-game.csv</x:v>
      </x:c>
    </x:row>
    <x:row r="304">
      <x:c r="A304" s="48" t="str">
        <x:v>Koa Peat</x:v>
      </x:c>
      <x:c r="B304" s="48" t="n">
        <x:v>299</x:v>
      </x:c>
      <x:c r="C304" s="48" t="str">
        <x:v>PF</x:v>
      </x:c>
      <x:c r="D304" s="48" t="n">
        <x:v>55</x:v>
      </x:c>
      <x:c r="E304" s="48" t="n">
        <x:v>0</x:v>
      </x:c>
      <x:c r="F304" s="48" t="n">
        <x:v>4.395</x:v>
      </x:c>
      <x:c r="G304" s="48" t="str">
        <x:v>VERY_DEEP</x:v>
      </x:c>
      <x:c r="H304" s="48"/>
      <x:c r="I304" s="48"/>
      <x:c r="J304" s="48" t="str">
        <x:v>Rookie/depth role estimate</x:v>
      </x:c>
      <x:c r="K304" s="50" t="str">
        <x:v>Rookie/depth role estimate with a wide band and limited NBA evidence. Treat as a watch-list projection, not a published forecast.</x:v>
      </x:c>
      <x:c r="L304" s="50" t="str">
        <x:v>https://github.com/A-V29/NBA.Rosters/blob/main/2026.Summer.League.json</x:v>
      </x:c>
      <x:c r="M304" s="50" t="str">
        <x:v>https://github.com/ballacademy/NBA-head-to-head-/blob/5b1decfc31ffb645469c7ffbd01aaca4b18181bd/data/nba-stats/nba-player-stats-202526-regular-season-per-game.csv</x:v>
      </x:c>
    </x:row>
    <x:row r="305">
      <x:c r="A305" s="48" t="str">
        <x:v>Jericho Sims</x:v>
      </x:c>
      <x:c r="B305" s="48" t="n">
        <x:v>300</x:v>
      </x:c>
      <x:c r="C305" s="48" t="str">
        <x:v>C</x:v>
      </x:c>
      <x:c r="D305" s="48" t="n">
        <x:v>60</x:v>
      </x:c>
      <x:c r="E305" s="48" t="n">
        <x:v>0</x:v>
      </x:c>
      <x:c r="F305" s="48" t="n">
        <x:v>3.5</x:v>
      </x:c>
      <x:c r="G305" s="48" t="str">
        <x:v>DEEP</x:v>
      </x:c>
      <x:c r="H305" s="48"/>
      <x:c r="I305" s="48"/>
      <x:c r="J305" s="48" t="str">
        <x:v>2025-26 custom-score + role shrink</x:v>
      </x:c>
      <x:c r="K305" s="50" t="str">
        <x:v>Deep-pool model: 2025-26 custom-score production shrunk toward a conservative 2026-27 role estimate; not a published projection.</x:v>
      </x:c>
      <x:c r="L305" s="50" t="str">
        <x:v>https://github.com/plourr03/wolves-front-office/blob/5d152a169188fb9b210186a7a0d3403d4081ed38/kuminga/data/roster_snapshot_2026_27_v3.csv</x:v>
      </x:c>
      <x:c r="M305" s="50" t="str">
        <x:v>https://github.com/ballacademy/NBA-head-to-head-/blob/5b1decfc31ffb645469c7ffbd01aaca4b18181bd/data/nba-stats/nba-player-stats-202526-regular-season-per-game.csv</x:v>
      </x:c>
    </x:row>
    <x:row r="306">
      <x:c r="A306" s="48" t="str">
        <x:v>Daeqwon Plowden</x:v>
      </x:c>
      <x:c r="B306" s="48" t="n">
        <x:v>301</x:v>
      </x:c>
      <x:c r="C306" s="48" t="str">
        <x:v>PG</x:v>
      </x:c>
      <x:c r="D306" s="48" t="n">
        <x:v>60</x:v>
      </x:c>
      <x:c r="E306" s="48" t="n">
        <x:v>0</x:v>
      </x:c>
      <x:c r="F306" s="48" t="n">
        <x:v>3.5</x:v>
      </x:c>
      <x:c r="G306" s="48" t="str">
        <x:v>DEEP</x:v>
      </x:c>
      <x:c r="H306" s="48"/>
      <x:c r="I306" s="48"/>
      <x:c r="J306" s="48" t="str">
        <x:v>2025-26 custom-score + role shrink</x:v>
      </x:c>
      <x:c r="K306" s="50" t="str">
        <x:v>Deep-pool model: 2025-26 custom-score production shrunk toward a conservative 2026-27 role estimate; not a published projection.</x:v>
      </x:c>
      <x:c r="L306" s="50" t="str">
        <x:v>https://github.com/plourr03/wolves-front-office/blob/5d152a169188fb9b210186a7a0d3403d4081ed38/kuminga/data/roster_snapshot_2026_27_v3.csv</x:v>
      </x:c>
      <x:c r="M306" s="50" t="str">
        <x:v>https://github.com/ballacademy/NBA-head-to-head-/blob/5b1decfc31ffb645469c7ffbd01aaca4b18181bd/data/nba-stats/nba-player-stats-202526-regular-season-per-game.csv</x:v>
      </x:c>
    </x:row>
    <x:row r="307">
      <x:c r="A307" s="48" t="str">
        <x:v>Luguentz Dort</x:v>
      </x:c>
      <x:c r="B307" s="48" t="n">
        <x:v>302</x:v>
      </x:c>
      <x:c r="C307" s="48" t="str">
        <x:v>SG</x:v>
      </x:c>
      <x:c r="D307" s="48" t="n">
        <x:v>60</x:v>
      </x:c>
      <x:c r="E307" s="48" t="n">
        <x:v>0</x:v>
      </x:c>
      <x:c r="F307" s="48" t="n">
        <x:v>3.5</x:v>
      </x:c>
      <x:c r="G307" s="48" t="str">
        <x:v>DEEP</x:v>
      </x:c>
      <x:c r="H307" s="48"/>
      <x:c r="I307" s="48"/>
      <x:c r="J307" s="48" t="str">
        <x:v>2025-26 custom-score + role shrink</x:v>
      </x:c>
      <x:c r="K307" s="50" t="str">
        <x:v>Deep-pool model: 2025-26 custom-score production shrunk toward a conservative 2026-27 role estimate; not a published projection.</x:v>
      </x:c>
      <x:c r="L307" s="50" t="str">
        <x:v>https://github.com/plourr03/wolves-front-office/blob/5d152a169188fb9b210186a7a0d3403d4081ed38/kuminga/data/roster_snapshot_2026_27_v3.csv</x:v>
      </x:c>
      <x:c r="M307" s="50" t="str">
        <x:v>https://github.com/ballacademy/NBA-head-to-head-/blob/5b1decfc31ffb645469c7ffbd01aaca4b18181bd/data/nba-stats/nba-player-stats-202526-regular-season-per-game.csv</x:v>
      </x:c>
    </x:row>
    <x:row r="308">
      <x:c r="A308" s="48" t="str">
        <x:v>Jay Huff</x:v>
      </x:c>
      <x:c r="B308" s="48" t="n">
        <x:v>303</x:v>
      </x:c>
      <x:c r="C308" s="48" t="str">
        <x:v>C</x:v>
      </x:c>
      <x:c r="D308" s="48" t="n">
        <x:v>42</x:v>
      </x:c>
      <x:c r="E308" s="48" t="n">
        <x:v>0</x:v>
      </x:c>
      <x:c r="F308" s="48" t="n">
        <x:v>4.435</x:v>
      </x:c>
      <x:c r="G308" s="48" t="str">
        <x:v>VERY_DEEP</x:v>
      </x:c>
      <x:c r="H308" s="48"/>
      <x:c r="I308" s="48"/>
      <x:c r="J308" s="48" t="str">
        <x:v>2025-26 custom-score + role shrink</x:v>
      </x:c>
      <x:c r="K308" s="50" t="str">
        <x:v>Very-deep roster candidate. Non-guaranteed status and role uncertainty are discounted; verify final roster before draft use.</x:v>
      </x:c>
      <x:c r="L308" s="50" t="str">
        <x:v>https://github.com/plourr03/wolves-front-office/blob/5d152a169188fb9b210186a7a0d3403d4081ed38/kuminga/data/roster_snapshot_2026_27_v3.csv</x:v>
      </x:c>
      <x:c r="M308" s="50" t="str">
        <x:v>https://github.com/ballacademy/NBA-head-to-head-/blob/5b1decfc31ffb645469c7ffbd01aaca4b18181bd/data/nba-stats/nba-player-stats-202526-regular-season-per-game.csv</x:v>
      </x:c>
    </x:row>
    <x:row r="309">
      <x:c r="A309" s="48" t="str">
        <x:v>Gary Payton II</x:v>
      </x:c>
      <x:c r="B309" s="48" t="n">
        <x:v>304</x:v>
      </x:c>
      <x:c r="C309" s="48" t="str">
        <x:v>PG</x:v>
      </x:c>
      <x:c r="D309" s="48" t="n">
        <x:v>60</x:v>
      </x:c>
      <x:c r="E309" s="48" t="n">
        <x:v>0</x:v>
      </x:c>
      <x:c r="F309" s="48" t="n">
        <x:v>3.5</x:v>
      </x:c>
      <x:c r="G309" s="48" t="str">
        <x:v>DEEP</x:v>
      </x:c>
      <x:c r="H309" s="48"/>
      <x:c r="I309" s="48"/>
      <x:c r="J309" s="48" t="str">
        <x:v>2025-26 custom-score + role shrink</x:v>
      </x:c>
      <x:c r="K309" s="50" t="str">
        <x:v>Deep-pool model: 2025-26 custom-score production shrunk toward a conservative 2026-27 role estimate; not a published projection.</x:v>
      </x:c>
      <x:c r="L309" s="50" t="str">
        <x:v>https://github.com/plourr03/wolves-front-office/blob/5d152a169188fb9b210186a7a0d3403d4081ed38/kuminga/data/roster_snapshot_2026_27_v3.csv</x:v>
      </x:c>
      <x:c r="M309" s="50" t="str">
        <x:v>https://github.com/ballacademy/NBA-head-to-head-/blob/5b1decfc31ffb645469c7ffbd01aaca4b18181bd/data/nba-stats/nba-player-stats-202526-regular-season-per-game.csv</x:v>
      </x:c>
    </x:row>
    <x:row r="310">
      <x:c r="A310" s="48" t="str">
        <x:v>Luke Kennard</x:v>
      </x:c>
      <x:c r="B310" s="48" t="n">
        <x:v>305</x:v>
      </x:c>
      <x:c r="C310" s="48" t="str">
        <x:v>SG</x:v>
      </x:c>
      <x:c r="D310" s="48" t="n">
        <x:v>60</x:v>
      </x:c>
      <x:c r="E310" s="48" t="n">
        <x:v>0</x:v>
      </x:c>
      <x:c r="F310" s="48" t="n">
        <x:v>3.5</x:v>
      </x:c>
      <x:c r="G310" s="48" t="str">
        <x:v>DEEP</x:v>
      </x:c>
      <x:c r="H310" s="48"/>
      <x:c r="I310" s="48"/>
      <x:c r="J310" s="48" t="str">
        <x:v>2025-26 custom-score + role shrink</x:v>
      </x:c>
      <x:c r="K310" s="50" t="str">
        <x:v>Deep-pool model: 2025-26 custom-score production shrunk toward a conservative 2026-27 role estimate; not a published projection.</x:v>
      </x:c>
      <x:c r="L310" s="50" t="str">
        <x:v>https://github.com/plourr03/wolves-front-office/blob/5d152a169188fb9b210186a7a0d3403d4081ed38/kuminga/data/roster_snapshot_2026_27_v3.csv</x:v>
      </x:c>
      <x:c r="M310" s="50" t="str">
        <x:v>https://github.com/ballacademy/NBA-head-to-head-/blob/5b1decfc31ffb645469c7ffbd01aaca4b18181bd/data/nba-stats/nba-player-stats-202526-regular-season-per-game.csv</x:v>
      </x:c>
    </x:row>
    <x:row r="311">
      <x:c r="A311" s="48" t="str">
        <x:v>Shaedon Sharpe</x:v>
      </x:c>
      <x:c r="B311" s="48" t="n">
        <x:v>306</x:v>
      </x:c>
      <x:c r="C311" s="48" t="str">
        <x:v>SG</x:v>
      </x:c>
      <x:c r="D311" s="48" t="n">
        <x:v>18</x:v>
      </x:c>
      <x:c r="E311" s="48" t="n">
        <x:v>0</x:v>
      </x:c>
      <x:c r="F311" s="48" t="n">
        <x:v>8</x:v>
      </x:c>
      <x:c r="G311" s="48" t="str">
        <x:v>HIGH</x:v>
      </x:c>
      <x:c r="H311" s="48" t="n">
        <x:v>0.14903846153846154</x:v>
      </x:c>
      <x:c r="I311" s="48" t="n">
        <x:v>0.034013605442176874</x:v>
      </x:c>
      <x:c r="J311" s="48" t="str">
        <x:v>2025-26 rates</x:v>
      </x:c>
      <x:c r="K311" s="50" t="str">
        <x:v>Long-term knee recovery remains a major availability issue. Late IR stash only.</x:v>
      </x:c>
      <x:c r="L311" s="50" t="str">
        <x:v>https://www.reuters.com/sports/blazers-shaedon-sharpe-out-6-months-after-knee-surgery--flm-2026-08-27/</x:v>
      </x:c>
      <x:c r="M311" s="50" t="str">
        <x:v>https://basketball.realgm.com/nba/stats/2026/Averages/All/points/All/desc/1/Regular_Season</x:v>
      </x:c>
    </x:row>
    <x:row r="312">
      <x:c r="A312" s="48" t="str">
        <x:v>Tristen Newton</x:v>
      </x:c>
      <x:c r="B312" s="48" t="n">
        <x:v>307</x:v>
      </x:c>
      <x:c r="C312" s="48" t="str">
        <x:v>PG</x:v>
      </x:c>
      <x:c r="D312" s="48" t="n">
        <x:v>64</x:v>
      </x:c>
      <x:c r="E312" s="48" t="n">
        <x:v>0</x:v>
      </x:c>
      <x:c r="F312" s="48" t="n">
        <x:v>4.19</x:v>
      </x:c>
      <x:c r="G312" s="48" t="str">
        <x:v>VERY_DEEP</x:v>
      </x:c>
      <x:c r="H312" s="48"/>
      <x:c r="I312" s="48"/>
      <x:c r="J312" s="48" t="str">
        <x:v>2025-26 custom-score + role shrink</x:v>
      </x:c>
      <x:c r="K312" s="50" t="str">
        <x:v>Very-deep model estimate with limited sample/role certainty. Use as a search/watch-list value and refresh once final rotations are known.</x:v>
      </x:c>
      <x:c r="L312" s="50" t="str">
        <x:v>https://github.com/A-V29/NBA.Rosters/blob/main/2026.Summer.League.json</x:v>
      </x:c>
      <x:c r="M312" s="50" t="str">
        <x:v>https://github.com/ballacademy/NBA-head-to-head-/blob/5b1decfc31ffb645469c7ffbd01aaca4b18181bd/data/nba-stats/nba-player-stats-202526-regular-season-per-game.csv</x:v>
      </x:c>
    </x:row>
    <x:row r="313">
      <x:c r="A313" s="48" t="str">
        <x:v>Ja'Kobe Walter</x:v>
      </x:c>
      <x:c r="B313" s="48" t="n">
        <x:v>308</x:v>
      </x:c>
      <x:c r="C313" s="48" t="str">
        <x:v>SG</x:v>
      </x:c>
      <x:c r="D313" s="48" t="n">
        <x:v>60</x:v>
      </x:c>
      <x:c r="E313" s="48" t="n">
        <x:v>0</x:v>
      </x:c>
      <x:c r="F313" s="48" t="n">
        <x:v>3.5</x:v>
      </x:c>
      <x:c r="G313" s="48" t="str">
        <x:v>DEEP</x:v>
      </x:c>
      <x:c r="H313" s="48"/>
      <x:c r="I313" s="48"/>
      <x:c r="J313" s="48" t="str">
        <x:v>2025-26 custom-score + role shrink</x:v>
      </x:c>
      <x:c r="K313" s="50" t="str">
        <x:v>Deep-pool model: 2025-26 custom-score production shrunk toward a conservative 2026-27 role estimate; not a published projection.</x:v>
      </x:c>
      <x:c r="L313" s="50" t="str">
        <x:v>https://github.com/plourr03/wolves-front-office/blob/5d152a169188fb9b210186a7a0d3403d4081ed38/kuminga/data/roster_snapshot_2026_27_v3.csv</x:v>
      </x:c>
      <x:c r="M313" s="50" t="str">
        <x:v>https://github.com/ballacademy/NBA-head-to-head-/blob/5b1decfc31ffb645469c7ffbd01aaca4b18181bd/data/nba-stats/nba-player-stats-202526-regular-season-per-game.csv</x:v>
      </x:c>
    </x:row>
    <x:row r="314">
      <x:c r="A314" s="48" t="str">
        <x:v>Quinten Post</x:v>
      </x:c>
      <x:c r="B314" s="48" t="n">
        <x:v>309</x:v>
      </x:c>
      <x:c r="C314" s="48" t="str">
        <x:v>C</x:v>
      </x:c>
      <x:c r="D314" s="48" t="n">
        <x:v>60</x:v>
      </x:c>
      <x:c r="E314" s="48" t="n">
        <x:v>0</x:v>
      </x:c>
      <x:c r="F314" s="48" t="n">
        <x:v>3.5</x:v>
      </x:c>
      <x:c r="G314" s="48" t="str">
        <x:v>DEEP</x:v>
      </x:c>
      <x:c r="H314" s="48"/>
      <x:c r="I314" s="48"/>
      <x:c r="J314" s="48" t="str">
        <x:v>2025-26 custom-score + role shrink</x:v>
      </x:c>
      <x:c r="K314" s="50" t="str">
        <x:v>Deep-pool model: 2025-26 custom-score production shrunk toward a conservative 2026-27 role estimate; not a published projection.</x:v>
      </x:c>
      <x:c r="L314" s="50" t="str">
        <x:v>https://github.com/plourr03/wolves-front-office/blob/5d152a169188fb9b210186a7a0d3403d4081ed38/kuminga/data/roster_snapshot_2026_27_v3.csv</x:v>
      </x:c>
      <x:c r="M314" s="50" t="str">
        <x:v>https://github.com/ballacademy/NBA-head-to-head-/blob/5b1decfc31ffb645469c7ffbd01aaca4b18181bd/data/nba-stats/nba-player-stats-202526-regular-season-per-game.csv</x:v>
      </x:c>
    </x:row>
    <x:row r="315">
      <x:c r="A315" s="48" t="str">
        <x:v>Grant Williams</x:v>
      </x:c>
      <x:c r="B315" s="48" t="n">
        <x:v>310</x:v>
      </x:c>
      <x:c r="C315" s="48" t="str">
        <x:v>PF</x:v>
      </x:c>
      <x:c r="D315" s="48" t="n">
        <x:v>60</x:v>
      </x:c>
      <x:c r="E315" s="48" t="n">
        <x:v>0</x:v>
      </x:c>
      <x:c r="F315" s="48" t="n">
        <x:v>3.5</x:v>
      </x:c>
      <x:c r="G315" s="48" t="str">
        <x:v>DEEP</x:v>
      </x:c>
      <x:c r="H315" s="48"/>
      <x:c r="I315" s="48"/>
      <x:c r="J315" s="48" t="str">
        <x:v>2025-26 custom-score + role shrink</x:v>
      </x:c>
      <x:c r="K315" s="50" t="str">
        <x:v>Deep-pool model: 2025-26 custom-score production shrunk toward a conservative 2026-27 role estimate; not a published projection.</x:v>
      </x:c>
      <x:c r="L315" s="50" t="str">
        <x:v>https://github.com/plourr03/wolves-front-office/blob/5d152a169188fb9b210186a7a0d3403d4081ed38/kuminga/data/roster_snapshot_2026_27_v3.csv</x:v>
      </x:c>
      <x:c r="M315" s="50" t="str">
        <x:v>https://github.com/ballacademy/NBA-head-to-head-/blob/5b1decfc31ffb645469c7ffbd01aaca4b18181bd/data/nba-stats/nba-player-stats-202526-regular-season-per-game.csv</x:v>
      </x:c>
    </x:row>
    <x:row r="316">
      <x:c r="A316" s="48" t="str">
        <x:v>Dean Wade</x:v>
      </x:c>
      <x:c r="B316" s="48" t="n">
        <x:v>311</x:v>
      </x:c>
      <x:c r="C316" s="48" t="str">
        <x:v>PF</x:v>
      </x:c>
      <x:c r="D316" s="48" t="n">
        <x:v>60</x:v>
      </x:c>
      <x:c r="E316" s="48" t="n">
        <x:v>0</x:v>
      </x:c>
      <x:c r="F316" s="48" t="n">
        <x:v>3.5</x:v>
      </x:c>
      <x:c r="G316" s="48" t="str">
        <x:v>DEEP</x:v>
      </x:c>
      <x:c r="H316" s="48"/>
      <x:c r="I316" s="48"/>
      <x:c r="J316" s="48" t="str">
        <x:v>2025-26 custom-score + role shrink</x:v>
      </x:c>
      <x:c r="K316" s="50" t="str">
        <x:v>Deep-pool model: 2025-26 custom-score production shrunk toward a conservative 2026-27 role estimate; not a published projection.</x:v>
      </x:c>
      <x:c r="L316" s="50" t="str">
        <x:v>https://github.com/plourr03/wolves-front-office/blob/5d152a169188fb9b210186a7a0d3403d4081ed38/kuminga/data/roster_snapshot_2026_27_v3.csv</x:v>
      </x:c>
      <x:c r="M316" s="50" t="str">
        <x:v>https://github.com/ballacademy/NBA-head-to-head-/blob/5b1decfc31ffb645469c7ffbd01aaca4b18181bd/data/nba-stats/nba-player-stats-202526-regular-season-per-game.csv</x:v>
      </x:c>
    </x:row>
    <x:row r="317">
      <x:c r="A317" s="48" t="str">
        <x:v>Max Strus</x:v>
      </x:c>
      <x:c r="B317" s="48" t="n">
        <x:v>312</x:v>
      </x:c>
      <x:c r="C317" s="48" t="str">
        <x:v>SF</x:v>
      </x:c>
      <x:c r="D317" s="48" t="n">
        <x:v>50</x:v>
      </x:c>
      <x:c r="E317" s="48" t="n">
        <x:v>0</x:v>
      </x:c>
      <x:c r="F317" s="48" t="n">
        <x:v>8</x:v>
      </x:c>
      <x:c r="G317" s="48" t="str">
        <x:v>HIGH</x:v>
      </x:c>
      <x:c r="H317" s="48"/>
      <x:c r="I317" s="48"/>
      <x:c r="J317" s="48" t="str">
        <x:v>Deep-board estimate</x:v>
      </x:c>
      <x:c r="K317" s="50" t="str">
        <x:v>Partial plantar fascia tear; out at least four weeks and expected to miss the start of the season.</x:v>
      </x:c>
      <x:c r="L317" s="50" t="str">
        <x:v>https://www.nba.com/news/clippers-max-strus-to-miss-start-of-season-with-foot-injury</x:v>
      </x:c>
      <x:c r="M317" s="50" t="str">
        <x:v>https://ca.sports.yahoo.com/news/2026-27-fantasy-basketball-rankings-top-200-players-points-leagues-182942270.html</x:v>
      </x:c>
    </x:row>
    <x:row r="318">
      <x:c r="A318" s="48" t="str">
        <x:v>Devin Carter</x:v>
      </x:c>
      <x:c r="B318" s="48" t="n">
        <x:v>313</x:v>
      </x:c>
      <x:c r="C318" s="48" t="str">
        <x:v>PG</x:v>
      </x:c>
      <x:c r="D318" s="48" t="n">
        <x:v>60</x:v>
      </x:c>
      <x:c r="E318" s="48" t="n">
        <x:v>0</x:v>
      </x:c>
      <x:c r="F318" s="48" t="n">
        <x:v>3.5</x:v>
      </x:c>
      <x:c r="G318" s="48" t="str">
        <x:v>DEEP</x:v>
      </x:c>
      <x:c r="H318" s="48"/>
      <x:c r="I318" s="48"/>
      <x:c r="J318" s="48" t="str">
        <x:v>2025-26 custom-score + role shrink</x:v>
      </x:c>
      <x:c r="K318" s="50" t="str">
        <x:v>Deep-pool model: 2025-26 custom-score production shrunk toward a conservative 2026-27 role estimate; not a published projection.</x:v>
      </x:c>
      <x:c r="L318" s="50" t="str">
        <x:v>https://github.com/plourr03/wolves-front-office/blob/5d152a169188fb9b210186a7a0d3403d4081ed38/kuminga/data/roster_snapshot_2026_27_v3.csv</x:v>
      </x:c>
      <x:c r="M318" s="50" t="str">
        <x:v>https://github.com/ballacademy/NBA-head-to-head-/blob/5b1decfc31ffb645469c7ffbd01aaca4b18181bd/data/nba-stats/nba-player-stats-202526-regular-season-per-game.csv</x:v>
      </x:c>
    </x:row>
    <x:row r="319">
      <x:c r="A319" s="48" t="str">
        <x:v>Kyle Anderson</x:v>
      </x:c>
      <x:c r="B319" s="48" t="n">
        <x:v>314</x:v>
      </x:c>
      <x:c r="C319" s="48" t="str">
        <x:v>PF</x:v>
      </x:c>
      <x:c r="D319" s="48" t="n">
        <x:v>60</x:v>
      </x:c>
      <x:c r="E319" s="48" t="n">
        <x:v>0</x:v>
      </x:c>
      <x:c r="F319" s="48" t="n">
        <x:v>3.5</x:v>
      </x:c>
      <x:c r="G319" s="48" t="str">
        <x:v>DEEP</x:v>
      </x:c>
      <x:c r="H319" s="48"/>
      <x:c r="I319" s="48"/>
      <x:c r="J319" s="48" t="str">
        <x:v>2025-26 custom-score + role shrink</x:v>
      </x:c>
      <x:c r="K319" s="50" t="str">
        <x:v>Deep-pool model: 2025-26 custom-score production shrunk toward a conservative 2026-27 role estimate; not a published projection.</x:v>
      </x:c>
      <x:c r="L319" s="50" t="str">
        <x:v>https://github.com/plourr03/wolves-front-office/blob/5d152a169188fb9b210186a7a0d3403d4081ed38/kuminga/data/roster_snapshot_2026_27_v3.csv</x:v>
      </x:c>
      <x:c r="M319" s="50" t="str">
        <x:v>https://github.com/ballacademy/NBA-head-to-head-/blob/5b1decfc31ffb645469c7ffbd01aaca4b18181bd/data/nba-stats/nba-player-stats-202526-regular-season-per-game.csv</x:v>
      </x:c>
    </x:row>
    <x:row r="320">
      <x:c r="A320" s="48" t="str">
        <x:v>Quenton Jackson</x:v>
      </x:c>
      <x:c r="B320" s="48" t="n">
        <x:v>315</x:v>
      </x:c>
      <x:c r="C320" s="48" t="str">
        <x:v>PG</x:v>
      </x:c>
      <x:c r="D320" s="48" t="n">
        <x:v>60</x:v>
      </x:c>
      <x:c r="E320" s="48" t="n">
        <x:v>0</x:v>
      </x:c>
      <x:c r="F320" s="48" t="n">
        <x:v>3.5</x:v>
      </x:c>
      <x:c r="G320" s="48" t="str">
        <x:v>DEEP</x:v>
      </x:c>
      <x:c r="H320" s="48"/>
      <x:c r="I320" s="48"/>
      <x:c r="J320" s="48" t="str">
        <x:v>2025-26 custom-score + role shrink</x:v>
      </x:c>
      <x:c r="K320" s="50" t="str">
        <x:v>Deep-pool model: 2025-26 custom-score production shrunk toward a conservative 2026-27 role estimate; not a published projection.</x:v>
      </x:c>
      <x:c r="L320" s="50" t="str">
        <x:v>https://github.com/plourr03/wolves-front-office/blob/5d152a169188fb9b210186a7a0d3403d4081ed38/kuminga/data/roster_snapshot_2026_27_v3.csv</x:v>
      </x:c>
      <x:c r="M320" s="50" t="str">
        <x:v>https://github.com/ballacademy/NBA-head-to-head-/blob/5b1decfc31ffb645469c7ffbd01aaca4b18181bd/data/nba-stats/nba-player-stats-202526-regular-season-per-game.csv</x:v>
      </x:c>
    </x:row>
    <x:row r="321">
      <x:c r="A321" s="48" t="str">
        <x:v>Leonard Miller</x:v>
      </x:c>
      <x:c r="B321" s="48" t="n">
        <x:v>316</x:v>
      </x:c>
      <x:c r="C321" s="48" t="str">
        <x:v>SF</x:v>
      </x:c>
      <x:c r="D321" s="48" t="n">
        <x:v>60</x:v>
      </x:c>
      <x:c r="E321" s="48" t="n">
        <x:v>0</x:v>
      </x:c>
      <x:c r="F321" s="48" t="n">
        <x:v>3.5</x:v>
      </x:c>
      <x:c r="G321" s="48" t="str">
        <x:v>DEEP</x:v>
      </x:c>
      <x:c r="H321" s="48"/>
      <x:c r="I321" s="48"/>
      <x:c r="J321" s="48" t="str">
        <x:v>2025-26 custom-score + role shrink</x:v>
      </x:c>
      <x:c r="K321" s="50" t="str">
        <x:v>Deep-pool model: 2025-26 custom-score production shrunk toward a conservative 2026-27 role estimate; not a published projection.</x:v>
      </x:c>
      <x:c r="L321" s="50" t="str">
        <x:v>https://github.com/plourr03/wolves-front-office/blob/5d152a169188fb9b210186a7a0d3403d4081ed38/kuminga/data/roster_snapshot_2026_27_v3.csv</x:v>
      </x:c>
      <x:c r="M321" s="50" t="str">
        <x:v>https://github.com/ballacademy/NBA-head-to-head-/blob/5b1decfc31ffb645469c7ffbd01aaca4b18181bd/data/nba-stats/nba-player-stats-202526-regular-season-per-game.csv</x:v>
      </x:c>
    </x:row>
    <x:row r="322">
      <x:c r="A322" s="48" t="str">
        <x:v>Alex Karaban</x:v>
      </x:c>
      <x:c r="B322" s="48" t="n">
        <x:v>317</x:v>
      </x:c>
      <x:c r="C322" s="48" t="str">
        <x:v>PF</x:v>
      </x:c>
      <x:c r="D322" s="48" t="n">
        <x:v>55</x:v>
      </x:c>
      <x:c r="E322" s="48" t="n">
        <x:v>0</x:v>
      </x:c>
      <x:c r="F322" s="48" t="n">
        <x:v>4.174999999999999</x:v>
      </x:c>
      <x:c r="G322" s="48" t="str">
        <x:v>VERY_DEEP</x:v>
      </x:c>
      <x:c r="H322" s="48"/>
      <x:c r="I322" s="48"/>
      <x:c r="J322" s="48" t="str">
        <x:v>Rookie/depth role estimate</x:v>
      </x:c>
      <x:c r="K322" s="50" t="str">
        <x:v>Rookie/depth role estimate with a wide band and limited NBA evidence. Treat as a watch-list projection, not a published forecast.</x:v>
      </x:c>
      <x:c r="L322" s="50" t="str">
        <x:v>https://github.com/A-V29/NBA.Rosters/blob/main/2026.Summer.League.json</x:v>
      </x:c>
      <x:c r="M322" s="50" t="str">
        <x:v>https://github.com/ballacademy/NBA-head-to-head-/blob/5b1decfc31ffb645469c7ffbd01aaca4b18181bd/data/nba-stats/nba-player-stats-202526-regular-season-per-game.csv</x:v>
      </x:c>
    </x:row>
    <x:row r="323">
      <x:c r="A323" s="48" t="str">
        <x:v>Tristan Vukcevic</x:v>
      </x:c>
      <x:c r="B323" s="48" t="n">
        <x:v>318</x:v>
      </x:c>
      <x:c r="C323" s="48" t="str">
        <x:v>C</x:v>
      </x:c>
      <x:c r="D323" s="48" t="n">
        <x:v>60</x:v>
      </x:c>
      <x:c r="E323" s="48" t="n">
        <x:v>0</x:v>
      </x:c>
      <x:c r="F323" s="48" t="n">
        <x:v>3.5</x:v>
      </x:c>
      <x:c r="G323" s="48" t="str">
        <x:v>DEEP</x:v>
      </x:c>
      <x:c r="H323" s="48"/>
      <x:c r="I323" s="48"/>
      <x:c r="J323" s="48" t="str">
        <x:v>2025-26 custom-score + role shrink</x:v>
      </x:c>
      <x:c r="K323" s="50" t="str">
        <x:v>Deep-pool model: 2025-26 custom-score production shrunk toward a conservative 2026-27 role estimate; not a published projection.</x:v>
      </x:c>
      <x:c r="L323" s="50" t="str">
        <x:v>https://github.com/plourr03/wolves-front-office/blob/5d152a169188fb9b210186a7a0d3403d4081ed38/kuminga/data/roster_snapshot_2026_27_v3.csv</x:v>
      </x:c>
      <x:c r="M323" s="50" t="str">
        <x:v>https://github.com/ballacademy/NBA-head-to-head-/blob/5b1decfc31ffb645469c7ffbd01aaca4b18181bd/data/nba-stats/nba-player-stats-202526-regular-season-per-game.csv</x:v>
      </x:c>
    </x:row>
    <x:row r="324">
      <x:c r="A324" s="48" t="str">
        <x:v>Blake Hinson</x:v>
      </x:c>
      <x:c r="B324" s="48" t="n">
        <x:v>319</x:v>
      </x:c>
      <x:c r="C324" s="48" t="str">
        <x:v>SF</x:v>
      </x:c>
      <x:c r="D324" s="48" t="n">
        <x:v>64</x:v>
      </x:c>
      <x:c r="E324" s="48" t="n">
        <x:v>0</x:v>
      </x:c>
      <x:c r="F324" s="48" t="n">
        <x:v>4.09</x:v>
      </x:c>
      <x:c r="G324" s="48" t="str">
        <x:v>VERY_DEEP</x:v>
      </x:c>
      <x:c r="H324" s="48"/>
      <x:c r="I324" s="48"/>
      <x:c r="J324" s="48" t="str">
        <x:v>2025-26 custom-score + role shrink</x:v>
      </x:c>
      <x:c r="K324" s="50" t="str">
        <x:v>Very-deep model estimate with limited sample/role certainty. Use as a search/watch-list value and refresh once final rotations are known.</x:v>
      </x:c>
      <x:c r="L324" s="50" t="str">
        <x:v>https://github.com/A-V29/NBA.Rosters/blob/main/2026.Summer.League.json</x:v>
      </x:c>
      <x:c r="M324" s="50" t="str">
        <x:v>https://github.com/ballacademy/NBA-head-to-head-/blob/5b1decfc31ffb645469c7ffbd01aaca4b18181bd/data/nba-stats/nba-player-stats-202526-regular-season-per-game.csv</x:v>
      </x:c>
    </x:row>
    <x:row r="325">
      <x:c r="A325" s="48" t="str">
        <x:v>Dereck Lively II</x:v>
      </x:c>
      <x:c r="B325" s="48" t="n">
        <x:v>320</x:v>
      </x:c>
      <x:c r="C325" s="48" t="str">
        <x:v>C</x:v>
      </x:c>
      <x:c r="D325" s="48" t="n">
        <x:v>60</x:v>
      </x:c>
      <x:c r="E325" s="48" t="n">
        <x:v>0</x:v>
      </x:c>
      <x:c r="F325" s="48" t="n">
        <x:v>4.1</x:v>
      </x:c>
      <x:c r="G325" s="48" t="str">
        <x:v>VERY_DEEP</x:v>
      </x:c>
      <x:c r="H325" s="48"/>
      <x:c r="I325" s="48"/>
      <x:c r="J325" s="48" t="str">
        <x:v>2025-26 custom-score + role shrink</x:v>
      </x:c>
      <x:c r="K325" s="50" t="str">
        <x:v>Very-deep model estimate with limited sample/role certainty. Use as a search/watch-list value and refresh once final rotations are known.</x:v>
      </x:c>
      <x:c r="L325" s="50" t="str">
        <x:v>https://github.com/plourr03/wolves-front-office/blob/5d152a169188fb9b210186a7a0d3403d4081ed38/kuminga/data/roster_snapshot_2026_27_v3.csv</x:v>
      </x:c>
      <x:c r="M325" s="50" t="str">
        <x:v>https://github.com/ballacademy/NBA-head-to-head-/blob/5b1decfc31ffb645469c7ffbd01aaca4b18181bd/data/nba-stats/nba-player-stats-202526-regular-season-per-game.csv</x:v>
      </x:c>
    </x:row>
    <x:row r="326">
      <x:c r="A326" s="48" t="str">
        <x:v>Josh Minott</x:v>
      </x:c>
      <x:c r="B326" s="48" t="n">
        <x:v>321</x:v>
      </x:c>
      <x:c r="C326" s="48" t="str">
        <x:v>SF</x:v>
      </x:c>
      <x:c r="D326" s="48" t="n">
        <x:v>60</x:v>
      </x:c>
      <x:c r="E326" s="48" t="n">
        <x:v>0</x:v>
      </x:c>
      <x:c r="F326" s="48" t="n">
        <x:v>3.5</x:v>
      </x:c>
      <x:c r="G326" s="48" t="str">
        <x:v>DEEP</x:v>
      </x:c>
      <x:c r="H326" s="48"/>
      <x:c r="I326" s="48"/>
      <x:c r="J326" s="48" t="str">
        <x:v>2025-26 custom-score + role shrink</x:v>
      </x:c>
      <x:c r="K326" s="50" t="str">
        <x:v>Deep-pool model: 2025-26 custom-score production shrunk toward a conservative 2026-27 role estimate; not a published projection.</x:v>
      </x:c>
      <x:c r="L326" s="50" t="str">
        <x:v>https://github.com/plourr03/wolves-front-office/blob/5d152a169188fb9b210186a7a0d3403d4081ed38/kuminga/data/roster_snapshot_2026_27_v3.csv</x:v>
      </x:c>
      <x:c r="M326" s="50" t="str">
        <x:v>https://github.com/ballacademy/NBA-head-to-head-/blob/5b1decfc31ffb645469c7ffbd01aaca4b18181bd/data/nba-stats/nba-player-stats-202526-regular-season-per-game.csv</x:v>
      </x:c>
    </x:row>
    <x:row r="327">
      <x:c r="A327" s="48" t="str">
        <x:v>Kris Murray</x:v>
      </x:c>
      <x:c r="B327" s="48" t="n">
        <x:v>322</x:v>
      </x:c>
      <x:c r="C327" s="48" t="str">
        <x:v>PF</x:v>
      </x:c>
      <x:c r="D327" s="48" t="n">
        <x:v>60</x:v>
      </x:c>
      <x:c r="E327" s="48" t="n">
        <x:v>0</x:v>
      </x:c>
      <x:c r="F327" s="48" t="n">
        <x:v>3.5</x:v>
      </x:c>
      <x:c r="G327" s="48" t="str">
        <x:v>DEEP</x:v>
      </x:c>
      <x:c r="H327" s="48"/>
      <x:c r="I327" s="48"/>
      <x:c r="J327" s="48" t="str">
        <x:v>2025-26 custom-score + role shrink</x:v>
      </x:c>
      <x:c r="K327" s="50" t="str">
        <x:v>Deep-pool model: 2025-26 custom-score production shrunk toward a conservative 2026-27 role estimate; not a published projection.</x:v>
      </x:c>
      <x:c r="L327" s="50" t="str">
        <x:v>https://github.com/plourr03/wolves-front-office/blob/5d152a169188fb9b210186a7a0d3403d4081ed38/kuminga/data/roster_snapshot_2026_27_v3.csv</x:v>
      </x:c>
      <x:c r="M327" s="50" t="str">
        <x:v>https://github.com/ballacademy/NBA-head-to-head-/blob/5b1decfc31ffb645469c7ffbd01aaca4b18181bd/data/nba-stats/nba-player-stats-202526-regular-season-per-game.csv</x:v>
      </x:c>
    </x:row>
    <x:row r="328">
      <x:c r="A328" s="48" t="str">
        <x:v>Morez Johnson Jr.</x:v>
      </x:c>
      <x:c r="B328" s="48" t="n">
        <x:v>323</x:v>
      </x:c>
      <x:c r="C328" s="48" t="str">
        <x:v>C</x:v>
      </x:c>
      <x:c r="D328" s="48" t="n">
        <x:v>60</x:v>
      </x:c>
      <x:c r="E328" s="48" t="n">
        <x:v>0</x:v>
      </x:c>
      <x:c r="F328" s="48" t="n">
        <x:v>5.715</x:v>
      </x:c>
      <x:c r="G328" s="48" t="str">
        <x:v>WATCH</x:v>
      </x:c>
      <x:c r="H328" s="48"/>
      <x:c r="I328" s="48"/>
      <x:c r="J328" s="48" t="str">
        <x:v>Rookie/depth role estimate</x:v>
      </x:c>
      <x:c r="K328" s="50" t="str">
        <x:v>Rookie/depth role estimate with a wide band and limited NBA evidence. Treat as a watch-list projection, not a published forecast.</x:v>
      </x:c>
      <x:c r="L328" s="50" t="str">
        <x:v>https://github.com/plourr03/wolves-front-office/blob/5d152a169188fb9b210186a7a0d3403d4081ed38/kuminga/data/roster_snapshot_2026_27_v3.csv</x:v>
      </x:c>
      <x:c r="M328" s="50" t="str">
        <x:v>https://github.com/ballacademy/NBA-head-to-head-/blob/5b1decfc31ffb645469c7ffbd01aaca4b18181bd/data/nba-stats/nba-player-stats-202526-regular-season-per-game.csv</x:v>
      </x:c>
    </x:row>
    <x:row r="329">
      <x:c r="A329" s="48" t="str">
        <x:v>Kasparas Jakucionis</x:v>
      </x:c>
      <x:c r="B329" s="48" t="n">
        <x:v>324</x:v>
      </x:c>
      <x:c r="C329" s="48" t="str">
        <x:v>PG</x:v>
      </x:c>
      <x:c r="D329" s="48" t="n">
        <x:v>64</x:v>
      </x:c>
      <x:c r="E329" s="48" t="n">
        <x:v>0</x:v>
      </x:c>
      <x:c r="F329" s="48" t="n">
        <x:v>3.5</x:v>
      </x:c>
      <x:c r="G329" s="48" t="str">
        <x:v>DEEP</x:v>
      </x:c>
      <x:c r="H329" s="48"/>
      <x:c r="I329" s="48"/>
      <x:c r="J329" s="48" t="str">
        <x:v>2025-26 custom-score + role shrink</x:v>
      </x:c>
      <x:c r="K329" s="50" t="str">
        <x:v>Deep-pool model: 2025-26 custom-score production shrunk toward a conservative 2026-27 role estimate; not a published projection.</x:v>
      </x:c>
      <x:c r="L329" s="50" t="str">
        <x:v>https://github.com/A-V29/NBA.Rosters/blob/main/2026.Summer.League.json</x:v>
      </x:c>
      <x:c r="M329" s="50" t="str">
        <x:v>https://github.com/ballacademy/NBA-head-to-head-/blob/5b1decfc31ffb645469c7ffbd01aaca4b18181bd/data/nba-stats/nba-player-stats-202526-regular-season-per-game.csv</x:v>
      </x:c>
    </x:row>
    <x:row r="330">
      <x:c r="A330" s="48" t="str">
        <x:v>Landry Shamet</x:v>
      </x:c>
      <x:c r="B330" s="48" t="n">
        <x:v>325</x:v>
      </x:c>
      <x:c r="C330" s="48" t="str">
        <x:v>SG</x:v>
      </x:c>
      <x:c r="D330" s="48" t="n">
        <x:v>60</x:v>
      </x:c>
      <x:c r="E330" s="48" t="n">
        <x:v>0</x:v>
      </x:c>
      <x:c r="F330" s="48" t="n">
        <x:v>3.5</x:v>
      </x:c>
      <x:c r="G330" s="48" t="str">
        <x:v>DEEP</x:v>
      </x:c>
      <x:c r="H330" s="48"/>
      <x:c r="I330" s="48"/>
      <x:c r="J330" s="48" t="str">
        <x:v>2025-26 custom-score + role shrink</x:v>
      </x:c>
      <x:c r="K330" s="50" t="str">
        <x:v>Deep-pool model: 2025-26 custom-score production shrunk toward a conservative 2026-27 role estimate; not a published projection.</x:v>
      </x:c>
      <x:c r="L330" s="50" t="str">
        <x:v>https://github.com/plourr03/wolves-front-office/blob/5d152a169188fb9b210186a7a0d3403d4081ed38/kuminga/data/roster_snapshot_2026_27_v3.csv</x:v>
      </x:c>
      <x:c r="M330" s="50" t="str">
        <x:v>https://github.com/ballacademy/NBA-head-to-head-/blob/5b1decfc31ffb645469c7ffbd01aaca4b18181bd/data/nba-stats/nba-player-stats-202526-regular-season-per-game.csv</x:v>
      </x:c>
    </x:row>
    <x:row r="331">
      <x:c r="A331" s="48" t="str">
        <x:v>Jamal Shead</x:v>
      </x:c>
      <x:c r="B331" s="48" t="n">
        <x:v>326</x:v>
      </x:c>
      <x:c r="C331" s="48" t="str">
        <x:v>PG</x:v>
      </x:c>
      <x:c r="D331" s="48" t="n">
        <x:v>60</x:v>
      </x:c>
      <x:c r="E331" s="48" t="n">
        <x:v>0</x:v>
      </x:c>
      <x:c r="F331" s="48" t="n">
        <x:v>3.5</x:v>
      </x:c>
      <x:c r="G331" s="48" t="str">
        <x:v>DEEP</x:v>
      </x:c>
      <x:c r="H331" s="48"/>
      <x:c r="I331" s="48"/>
      <x:c r="J331" s="48" t="str">
        <x:v>2025-26 custom-score + role shrink</x:v>
      </x:c>
      <x:c r="K331" s="50" t="str">
        <x:v>Deep-pool model: 2025-26 custom-score production shrunk toward a conservative 2026-27 role estimate; not a published projection.</x:v>
      </x:c>
      <x:c r="L331" s="50" t="str">
        <x:v>https://github.com/plourr03/wolves-front-office/blob/5d152a169188fb9b210186a7a0d3403d4081ed38/kuminga/data/roster_snapshot_2026_27_v3.csv</x:v>
      </x:c>
      <x:c r="M331" s="50" t="str">
        <x:v>https://github.com/ballacademy/NBA-head-to-head-/blob/5b1decfc31ffb645469c7ffbd01aaca4b18181bd/data/nba-stats/nba-player-stats-202526-regular-season-per-game.csv</x:v>
      </x:c>
    </x:row>
    <x:row r="332">
      <x:c r="A332" s="48" t="str">
        <x:v>Simone Fontecchio</x:v>
      </x:c>
      <x:c r="B332" s="48" t="n">
        <x:v>327</x:v>
      </x:c>
      <x:c r="C332" s="48" t="str">
        <x:v>SF</x:v>
      </x:c>
      <x:c r="D332" s="48" t="n">
        <x:v>60</x:v>
      </x:c>
      <x:c r="E332" s="48" t="n">
        <x:v>0</x:v>
      </x:c>
      <x:c r="F332" s="48" t="n">
        <x:v>3.5</x:v>
      </x:c>
      <x:c r="G332" s="48" t="str">
        <x:v>DEEP</x:v>
      </x:c>
      <x:c r="H332" s="48"/>
      <x:c r="I332" s="48"/>
      <x:c r="J332" s="48" t="str">
        <x:v>2025-26 custom-score + role shrink</x:v>
      </x:c>
      <x:c r="K332" s="50" t="str">
        <x:v>Deep-pool model: 2025-26 custom-score production shrunk toward a conservative 2026-27 role estimate; not a published projection.</x:v>
      </x:c>
      <x:c r="L332" s="50" t="str">
        <x:v>https://github.com/plourr03/wolves-front-office/blob/5d152a169188fb9b210186a7a0d3403d4081ed38/kuminga/data/roster_snapshot_2026_27_v3.csv</x:v>
      </x:c>
      <x:c r="M332" s="50" t="str">
        <x:v>https://github.com/ballacademy/NBA-head-to-head-/blob/5b1decfc31ffb645469c7ffbd01aaca4b18181bd/data/nba-stats/nba-player-stats-202526-regular-season-per-game.csv</x:v>
      </x:c>
    </x:row>
    <x:row r="333">
      <x:c r="A333" s="48" t="str">
        <x:v>Jordan Walsh</x:v>
      </x:c>
      <x:c r="B333" s="48" t="n">
        <x:v>328</x:v>
      </x:c>
      <x:c r="C333" s="48" t="str">
        <x:v>SF</x:v>
      </x:c>
      <x:c r="D333" s="48" t="n">
        <x:v>60</x:v>
      </x:c>
      <x:c r="E333" s="48" t="n">
        <x:v>0</x:v>
      </x:c>
      <x:c r="F333" s="48" t="n">
        <x:v>3.5</x:v>
      </x:c>
      <x:c r="G333" s="48" t="str">
        <x:v>DEEP</x:v>
      </x:c>
      <x:c r="H333" s="48"/>
      <x:c r="I333" s="48"/>
      <x:c r="J333" s="48" t="str">
        <x:v>2025-26 custom-score + role shrink</x:v>
      </x:c>
      <x:c r="K333" s="50" t="str">
        <x:v>Deep-pool model: 2025-26 custom-score production shrunk toward a conservative 2026-27 role estimate; not a published projection.</x:v>
      </x:c>
      <x:c r="L333" s="50" t="str">
        <x:v>https://github.com/plourr03/wolves-front-office/blob/5d152a169188fb9b210186a7a0d3403d4081ed38/kuminga/data/roster_snapshot_2026_27_v3.csv</x:v>
      </x:c>
      <x:c r="M333" s="50" t="str">
        <x:v>https://github.com/ballacademy/NBA-head-to-head-/blob/5b1decfc31ffb645469c7ffbd01aaca4b18181bd/data/nba-stats/nba-player-stats-202526-regular-season-per-game.csv</x:v>
      </x:c>
    </x:row>
    <x:row r="334">
      <x:c r="A334" s="48" t="str">
        <x:v>Adem Bona</x:v>
      </x:c>
      <x:c r="B334" s="48" t="n">
        <x:v>329</x:v>
      </x:c>
      <x:c r="C334" s="48" t="str">
        <x:v>C</x:v>
      </x:c>
      <x:c r="D334" s="48" t="n">
        <x:v>60</x:v>
      </x:c>
      <x:c r="E334" s="48" t="n">
        <x:v>0</x:v>
      </x:c>
      <x:c r="F334" s="48" t="n">
        <x:v>3.5</x:v>
      </x:c>
      <x:c r="G334" s="48" t="str">
        <x:v>DEEP</x:v>
      </x:c>
      <x:c r="H334" s="48"/>
      <x:c r="I334" s="48"/>
      <x:c r="J334" s="48" t="str">
        <x:v>2025-26 custom-score + role shrink</x:v>
      </x:c>
      <x:c r="K334" s="50" t="str">
        <x:v>Deep-pool model: 2025-26 custom-score production shrunk toward a conservative 2026-27 role estimate; not a published projection.</x:v>
      </x:c>
      <x:c r="L334" s="50" t="str">
        <x:v>https://github.com/plourr03/wolves-front-office/blob/5d152a169188fb9b210186a7a0d3403d4081ed38/kuminga/data/roster_snapshot_2026_27_v3.csv</x:v>
      </x:c>
      <x:c r="M334" s="50" t="str">
        <x:v>https://github.com/ballacademy/NBA-head-to-head-/blob/5b1decfc31ffb645469c7ffbd01aaca4b18181bd/data/nba-stats/nba-player-stats-202526-regular-season-per-game.csv</x:v>
      </x:c>
    </x:row>
    <x:row r="335">
      <x:c r="A335" s="48" t="str">
        <x:v>Craig Porter Jr.</x:v>
      </x:c>
      <x:c r="B335" s="48" t="n">
        <x:v>330</x:v>
      </x:c>
      <x:c r="C335" s="48" t="str">
        <x:v>PG</x:v>
      </x:c>
      <x:c r="D335" s="48" t="n">
        <x:v>60</x:v>
      </x:c>
      <x:c r="E335" s="48" t="n">
        <x:v>0</x:v>
      </x:c>
      <x:c r="F335" s="48" t="n">
        <x:v>3.5</x:v>
      </x:c>
      <x:c r="G335" s="48" t="str">
        <x:v>DEEP</x:v>
      </x:c>
      <x:c r="H335" s="48"/>
      <x:c r="I335" s="48"/>
      <x:c r="J335" s="48" t="str">
        <x:v>2025-26 custom-score + role shrink</x:v>
      </x:c>
      <x:c r="K335" s="50" t="str">
        <x:v>Deep-pool model: 2025-26 custom-score production shrunk toward a conservative 2026-27 role estimate; not a published projection.</x:v>
      </x:c>
      <x:c r="L335" s="50" t="str">
        <x:v>https://github.com/plourr03/wolves-front-office/blob/5d152a169188fb9b210186a7a0d3403d4081ed38/kuminga/data/roster_snapshot_2026_27_v3.csv</x:v>
      </x:c>
      <x:c r="M335" s="50" t="str">
        <x:v>https://github.com/ballacademy/NBA-head-to-head-/blob/5b1decfc31ffb645469c7ffbd01aaca4b18181bd/data/nba-stats/nba-player-stats-202526-regular-season-per-game.csv</x:v>
      </x:c>
    </x:row>
    <x:row r="336">
      <x:c r="A336" s="48" t="str">
        <x:v>Javonte Green</x:v>
      </x:c>
      <x:c r="B336" s="48" t="n">
        <x:v>331</x:v>
      </x:c>
      <x:c r="C336" s="48" t="str">
        <x:v>SG</x:v>
      </x:c>
      <x:c r="D336" s="48" t="n">
        <x:v>60</x:v>
      </x:c>
      <x:c r="E336" s="48" t="n">
        <x:v>0</x:v>
      </x:c>
      <x:c r="F336" s="48" t="n">
        <x:v>3.5</x:v>
      </x:c>
      <x:c r="G336" s="48" t="str">
        <x:v>DEEP</x:v>
      </x:c>
      <x:c r="H336" s="48"/>
      <x:c r="I336" s="48"/>
      <x:c r="J336" s="48" t="str">
        <x:v>2025-26 custom-score + role shrink</x:v>
      </x:c>
      <x:c r="K336" s="50" t="str">
        <x:v>Deep-pool model: 2025-26 custom-score production shrunk toward a conservative 2026-27 role estimate; not a published projection.</x:v>
      </x:c>
      <x:c r="L336" s="50" t="str">
        <x:v>https://github.com/plourr03/wolves-front-office/blob/5d152a169188fb9b210186a7a0d3403d4081ed38/kuminga/data/roster_snapshot_2026_27_v3.csv</x:v>
      </x:c>
      <x:c r="M336" s="50" t="str">
        <x:v>https://github.com/ballacademy/NBA-head-to-head-/blob/5b1decfc31ffb645469c7ffbd01aaca4b18181bd/data/nba-stats/nba-player-stats-202526-regular-season-per-game.csv</x:v>
      </x:c>
    </x:row>
    <x:row r="337">
      <x:c r="A337" s="48" t="str">
        <x:v>Jamir Watkins</x:v>
      </x:c>
      <x:c r="B337" s="48" t="n">
        <x:v>332</x:v>
      </x:c>
      <x:c r="C337" s="48" t="str">
        <x:v>SF</x:v>
      </x:c>
      <x:c r="D337" s="48" t="n">
        <x:v>64</x:v>
      </x:c>
      <x:c r="E337" s="48" t="n">
        <x:v>0</x:v>
      </x:c>
      <x:c r="F337" s="48" t="n">
        <x:v>3.5</x:v>
      </x:c>
      <x:c r="G337" s="48" t="str">
        <x:v>DEEP</x:v>
      </x:c>
      <x:c r="H337" s="48"/>
      <x:c r="I337" s="48"/>
      <x:c r="J337" s="48" t="str">
        <x:v>2025-26 custom-score + role shrink</x:v>
      </x:c>
      <x:c r="K337" s="50" t="str">
        <x:v>Deep-pool model: 2025-26 custom-score production shrunk toward a conservative 2026-27 role estimate; not a published projection.</x:v>
      </x:c>
      <x:c r="L337" s="50" t="str">
        <x:v>https://github.com/A-V29/NBA.Rosters/blob/main/2026.Summer.League.json</x:v>
      </x:c>
      <x:c r="M337" s="50" t="str">
        <x:v>https://github.com/ballacademy/NBA-head-to-head-/blob/5b1decfc31ffb645469c7ffbd01aaca4b18181bd/data/nba-stats/nba-player-stats-202526-regular-season-per-game.csv</x:v>
      </x:c>
    </x:row>
    <x:row r="338">
      <x:c r="A338" s="48" t="str">
        <x:v>Alex Caruso</x:v>
      </x:c>
      <x:c r="B338" s="48" t="n">
        <x:v>333</x:v>
      </x:c>
      <x:c r="C338" s="48" t="str">
        <x:v>SG</x:v>
      </x:c>
      <x:c r="D338" s="48" t="n">
        <x:v>60</x:v>
      </x:c>
      <x:c r="E338" s="48" t="n">
        <x:v>0</x:v>
      </x:c>
      <x:c r="F338" s="48" t="n">
        <x:v>3.5</x:v>
      </x:c>
      <x:c r="G338" s="48" t="str">
        <x:v>DEEP</x:v>
      </x:c>
      <x:c r="H338" s="48"/>
      <x:c r="I338" s="48"/>
      <x:c r="J338" s="48" t="str">
        <x:v>2025-26 custom-score + role shrink</x:v>
      </x:c>
      <x:c r="K338" s="50" t="str">
        <x:v>Deep-pool model: 2025-26 custom-score production shrunk toward a conservative 2026-27 role estimate; not a published projection.</x:v>
      </x:c>
      <x:c r="L338" s="50" t="str">
        <x:v>https://github.com/plourr03/wolves-front-office/blob/5d152a169188fb9b210186a7a0d3403d4081ed38/kuminga/data/roster_snapshot_2026_27_v3.csv</x:v>
      </x:c>
      <x:c r="M338" s="50" t="str">
        <x:v>https://github.com/ballacademy/NBA-head-to-head-/blob/5b1decfc31ffb645469c7ffbd01aaca4b18181bd/data/nba-stats/nba-player-stats-202526-regular-season-per-game.csv</x:v>
      </x:c>
    </x:row>
    <x:row r="339">
      <x:c r="A339" s="48" t="str">
        <x:v>Thomas Sorber</x:v>
      </x:c>
      <x:c r="B339" s="48" t="n">
        <x:v>334</x:v>
      </x:c>
      <x:c r="C339" s="48" t="str">
        <x:v>C</x:v>
      </x:c>
      <x:c r="D339" s="48" t="n">
        <x:v>60</x:v>
      </x:c>
      <x:c r="E339" s="48" t="n">
        <x:v>0</x:v>
      </x:c>
      <x:c r="F339" s="48" t="n">
        <x:v>5.545</x:v>
      </x:c>
      <x:c r="G339" s="48" t="str">
        <x:v>WATCH</x:v>
      </x:c>
      <x:c r="H339" s="48"/>
      <x:c r="I339" s="48"/>
      <x:c r="J339" s="48" t="str">
        <x:v>Rookie/depth role estimate</x:v>
      </x:c>
      <x:c r="K339" s="50" t="str">
        <x:v>Rookie/depth role estimate with a wide band and limited NBA evidence. Treat as a watch-list projection, not a published forecast.</x:v>
      </x:c>
      <x:c r="L339" s="50" t="str">
        <x:v>https://github.com/plourr03/wolves-front-office/blob/5d152a169188fb9b210186a7a0d3403d4081ed38/kuminga/data/roster_snapshot_2026_27_v3.csv</x:v>
      </x:c>
      <x:c r="M339" s="50" t="str">
        <x:v>https://github.com/ballacademy/NBA-head-to-head-/blob/5b1decfc31ffb645469c7ffbd01aaca4b18181bd/data/nba-stats/nba-player-stats-202526-regular-season-per-game.csv</x:v>
      </x:c>
    </x:row>
    <x:row r="340">
      <x:c r="A340" s="48" t="str">
        <x:v>Ryan Nembhard</x:v>
      </x:c>
      <x:c r="B340" s="48" t="n">
        <x:v>335</x:v>
      </x:c>
      <x:c r="C340" s="48" t="str">
        <x:v>PG</x:v>
      </x:c>
      <x:c r="D340" s="48" t="n">
        <x:v>64</x:v>
      </x:c>
      <x:c r="E340" s="48" t="n">
        <x:v>0</x:v>
      </x:c>
      <x:c r="F340" s="48" t="n">
        <x:v>3.5</x:v>
      </x:c>
      <x:c r="G340" s="48" t="str">
        <x:v>DEEP</x:v>
      </x:c>
      <x:c r="H340" s="48"/>
      <x:c r="I340" s="48"/>
      <x:c r="J340" s="48" t="str">
        <x:v>2025-26 custom-score + role shrink</x:v>
      </x:c>
      <x:c r="K340" s="50" t="str">
        <x:v>Deep-pool model: 2025-26 custom-score production shrunk toward a conservative 2026-27 role estimate; not a published projection.</x:v>
      </x:c>
      <x:c r="L340" s="50" t="str">
        <x:v>https://github.com/A-V29/NBA.Rosters/blob/main/2026.Summer.League.json</x:v>
      </x:c>
      <x:c r="M340" s="50" t="str">
        <x:v>https://github.com/ballacademy/NBA-head-to-head-/blob/5b1decfc31ffb645469c7ffbd01aaca4b18181bd/data/nba-stats/nba-player-stats-202526-regular-season-per-game.csv</x:v>
      </x:c>
    </x:row>
    <x:row r="341">
      <x:c r="A341" s="48" t="str">
        <x:v>Dru Smith</x:v>
      </x:c>
      <x:c r="B341" s="48" t="n">
        <x:v>336</x:v>
      </x:c>
      <x:c r="C341" s="48" t="str">
        <x:v>SG</x:v>
      </x:c>
      <x:c r="D341" s="48" t="n">
        <x:v>60</x:v>
      </x:c>
      <x:c r="E341" s="48" t="n">
        <x:v>0</x:v>
      </x:c>
      <x:c r="F341" s="48" t="n">
        <x:v>3.5</x:v>
      </x:c>
      <x:c r="G341" s="48" t="str">
        <x:v>DEEP</x:v>
      </x:c>
      <x:c r="H341" s="48"/>
      <x:c r="I341" s="48"/>
      <x:c r="J341" s="48" t="str">
        <x:v>2025-26 custom-score + role shrink</x:v>
      </x:c>
      <x:c r="K341" s="50" t="str">
        <x:v>Deep-pool model: 2025-26 custom-score production shrunk toward a conservative 2026-27 role estimate; not a published projection.</x:v>
      </x:c>
      <x:c r="L341" s="50" t="str">
        <x:v>https://github.com/plourr03/wolves-front-office/blob/5d152a169188fb9b210186a7a0d3403d4081ed38/kuminga/data/roster_snapshot_2026_27_v3.csv</x:v>
      </x:c>
      <x:c r="M341" s="50" t="str">
        <x:v>https://github.com/ballacademy/NBA-head-to-head-/blob/5b1decfc31ffb645469c7ffbd01aaca4b18181bd/data/nba-stats/nba-player-stats-202526-regular-season-per-game.csv</x:v>
      </x:c>
    </x:row>
    <x:row r="342">
      <x:c r="A342" s="48" t="str">
        <x:v>Jalen Slawson</x:v>
      </x:c>
      <x:c r="B342" s="48" t="n">
        <x:v>337</x:v>
      </x:c>
      <x:c r="C342" s="48" t="str">
        <x:v>PF</x:v>
      </x:c>
      <x:c r="D342" s="48" t="n">
        <x:v>64</x:v>
      </x:c>
      <x:c r="E342" s="48" t="n">
        <x:v>0</x:v>
      </x:c>
      <x:c r="F342" s="48" t="n">
        <x:v>3.835000000000001</x:v>
      </x:c>
      <x:c r="G342" s="48" t="str">
        <x:v>VERY_DEEP</x:v>
      </x:c>
      <x:c r="H342" s="48"/>
      <x:c r="I342" s="48"/>
      <x:c r="J342" s="48" t="str">
        <x:v>2025-26 custom-score + role shrink</x:v>
      </x:c>
      <x:c r="K342" s="50" t="str">
        <x:v>Very-deep model estimate with limited sample/role certainty. Use as a search/watch-list value and refresh once final rotations are known.</x:v>
      </x:c>
      <x:c r="L342" s="50" t="str">
        <x:v>https://github.com/A-V29/NBA.Rosters/blob/main/2026.Summer.League.json</x:v>
      </x:c>
      <x:c r="M342" s="50" t="str">
        <x:v>https://github.com/ballacademy/NBA-head-to-head-/blob/5b1decfc31ffb645469c7ffbd01aaca4b18181bd/data/nba-stats/nba-player-stats-202526-regular-season-per-game.csv</x:v>
      </x:c>
    </x:row>
    <x:row r="343">
      <x:c r="A343" s="48" t="str">
        <x:v>Ryan Dunn</x:v>
      </x:c>
      <x:c r="B343" s="48" t="n">
        <x:v>338</x:v>
      </x:c>
      <x:c r="C343" s="48" t="str">
        <x:v>SF</x:v>
      </x:c>
      <x:c r="D343" s="48" t="n">
        <x:v>60</x:v>
      </x:c>
      <x:c r="E343" s="48" t="n">
        <x:v>0</x:v>
      </x:c>
      <x:c r="F343" s="48" t="n">
        <x:v>3.5</x:v>
      </x:c>
      <x:c r="G343" s="48" t="str">
        <x:v>DEEP</x:v>
      </x:c>
      <x:c r="H343" s="48"/>
      <x:c r="I343" s="48"/>
      <x:c r="J343" s="48" t="str">
        <x:v>2025-26 custom-score + role shrink</x:v>
      </x:c>
      <x:c r="K343" s="50" t="str">
        <x:v>Deep-pool model: 2025-26 custom-score production shrunk toward a conservative 2026-27 role estimate; not a published projection.</x:v>
      </x:c>
      <x:c r="L343" s="50" t="str">
        <x:v>https://github.com/plourr03/wolves-front-office/blob/5d152a169188fb9b210186a7a0d3403d4081ed38/kuminga/data/roster_snapshot_2026_27_v3.csv</x:v>
      </x:c>
      <x:c r="M343" s="50" t="str">
        <x:v>https://github.com/ballacademy/NBA-head-to-head-/blob/5b1decfc31ffb645469c7ffbd01aaca4b18181bd/data/nba-stats/nba-player-stats-202526-regular-season-per-game.csv</x:v>
      </x:c>
    </x:row>
    <x:row r="344">
      <x:c r="A344" s="48" t="str">
        <x:v>Christian Anderson</x:v>
      </x:c>
      <x:c r="B344" s="48" t="n">
        <x:v>339</x:v>
      </x:c>
      <x:c r="C344" s="48" t="str">
        <x:v>PG</x:v>
      </x:c>
      <x:c r="D344" s="48" t="n">
        <x:v>60</x:v>
      </x:c>
      <x:c r="E344" s="48" t="n">
        <x:v>0</x:v>
      </x:c>
      <x:c r="F344" s="48" t="n">
        <x:v>5.475</x:v>
      </x:c>
      <x:c r="G344" s="48" t="str">
        <x:v>WATCH</x:v>
      </x:c>
      <x:c r="H344" s="48"/>
      <x:c r="I344" s="48"/>
      <x:c r="J344" s="48" t="str">
        <x:v>Rookie/depth role estimate</x:v>
      </x:c>
      <x:c r="K344" s="50" t="str">
        <x:v>Rookie/depth role estimate with a wide band and limited NBA evidence. Treat as a watch-list projection, not a published forecast.</x:v>
      </x:c>
      <x:c r="L344" s="50" t="str">
        <x:v>https://github.com/plourr03/wolves-front-office/blob/5d152a169188fb9b210186a7a0d3403d4081ed38/kuminga/data/roster_snapshot_2026_27_v3.csv</x:v>
      </x:c>
      <x:c r="M344" s="50" t="str">
        <x:v>https://github.com/ballacademy/NBA-head-to-head-/blob/5b1decfc31ffb645469c7ffbd01aaca4b18181bd/data/nba-stats/nba-player-stats-202526-regular-season-per-game.csv</x:v>
      </x:c>
    </x:row>
    <x:row r="345">
      <x:c r="A345" s="48" t="str">
        <x:v>Ousmane Dieng</x:v>
      </x:c>
      <x:c r="B345" s="48" t="n">
        <x:v>340</x:v>
      </x:c>
      <x:c r="C345" s="48" t="str">
        <x:v>SF</x:v>
      </x:c>
      <x:c r="D345" s="48" t="n">
        <x:v>60</x:v>
      </x:c>
      <x:c r="E345" s="48" t="n">
        <x:v>0</x:v>
      </x:c>
      <x:c r="F345" s="48" t="n">
        <x:v>3.5</x:v>
      </x:c>
      <x:c r="G345" s="48" t="str">
        <x:v>DEEP</x:v>
      </x:c>
      <x:c r="H345" s="48"/>
      <x:c r="I345" s="48"/>
      <x:c r="J345" s="48" t="str">
        <x:v>2025-26 custom-score + role shrink</x:v>
      </x:c>
      <x:c r="K345" s="50" t="str">
        <x:v>Deep-pool model: 2025-26 custom-score production shrunk toward a conservative 2026-27 role estimate; not a published projection.</x:v>
      </x:c>
      <x:c r="L345" s="50" t="str">
        <x:v>https://github.com/plourr03/wolves-front-office/blob/5d152a169188fb9b210186a7a0d3403d4081ed38/kuminga/data/roster_snapshot_2026_27_v3.csv</x:v>
      </x:c>
      <x:c r="M345" s="50" t="str">
        <x:v>https://github.com/ballacademy/NBA-head-to-head-/blob/5b1decfc31ffb645469c7ffbd01aaca4b18181bd/data/nba-stats/nba-player-stats-202526-regular-season-per-game.csv</x:v>
      </x:c>
    </x:row>
    <x:row r="346">
      <x:c r="A346" s="48" t="str">
        <x:v>Nolan Traore</x:v>
      </x:c>
      <x:c r="B346" s="48" t="n">
        <x:v>341</x:v>
      </x:c>
      <x:c r="C346" s="48" t="str">
        <x:v>PG</x:v>
      </x:c>
      <x:c r="D346" s="48" t="n">
        <x:v>60</x:v>
      </x:c>
      <x:c r="E346" s="48" t="n">
        <x:v>0</x:v>
      </x:c>
      <x:c r="F346" s="48" t="n">
        <x:v>3.5</x:v>
      </x:c>
      <x:c r="G346" s="48" t="str">
        <x:v>DEEP</x:v>
      </x:c>
      <x:c r="H346" s="48"/>
      <x:c r="I346" s="48"/>
      <x:c r="J346" s="48" t="str">
        <x:v>2025-26 custom-score + role shrink</x:v>
      </x:c>
      <x:c r="K346" s="50" t="str">
        <x:v>Deep-pool model: 2025-26 custom-score production shrunk toward a conservative 2026-27 role estimate; not a published projection.</x:v>
      </x:c>
      <x:c r="L346" s="50" t="str">
        <x:v>https://github.com/plourr03/wolves-front-office/blob/5d152a169188fb9b210186a7a0d3403d4081ed38/kuminga/data/roster_snapshot_2026_27_v3.csv</x:v>
      </x:c>
      <x:c r="M346" s="50" t="str">
        <x:v>https://github.com/ballacademy/NBA-head-to-head-/blob/5b1decfc31ffb645469c7ffbd01aaca4b18181bd/data/nba-stats/nba-player-stats-202526-regular-season-per-game.csv</x:v>
      </x:c>
    </x:row>
    <x:row r="347">
      <x:c r="A347" s="48" t="str">
        <x:v>Kentavious Caldwell-Pope</x:v>
      </x:c>
      <x:c r="B347" s="48" t="n">
        <x:v>342</x:v>
      </x:c>
      <x:c r="C347" s="48" t="str">
        <x:v>SG</x:v>
      </x:c>
      <x:c r="D347" s="48" t="n">
        <x:v>60</x:v>
      </x:c>
      <x:c r="E347" s="48" t="n">
        <x:v>0</x:v>
      </x:c>
      <x:c r="F347" s="48" t="n">
        <x:v>3.5</x:v>
      </x:c>
      <x:c r="G347" s="48" t="str">
        <x:v>DEEP</x:v>
      </x:c>
      <x:c r="H347" s="48"/>
      <x:c r="I347" s="48"/>
      <x:c r="J347" s="48" t="str">
        <x:v>2025-26 custom-score + role shrink</x:v>
      </x:c>
      <x:c r="K347" s="50" t="str">
        <x:v>Deep-pool model: 2025-26 custom-score production shrunk toward a conservative 2026-27 role estimate; not a published projection.</x:v>
      </x:c>
      <x:c r="L347" s="50" t="str">
        <x:v>https://github.com/plourr03/wolves-front-office/blob/5d152a169188fb9b210186a7a0d3403d4081ed38/kuminga/data/roster_snapshot_2026_27_v3.csv</x:v>
      </x:c>
      <x:c r="M347" s="50" t="str">
        <x:v>https://github.com/ballacademy/NBA-head-to-head-/blob/5b1decfc31ffb645469c7ffbd01aaca4b18181bd/data/nba-stats/nba-player-stats-202526-regular-season-per-game.csv</x:v>
      </x:c>
    </x:row>
    <x:row r="348">
      <x:c r="A348" s="48" t="str">
        <x:v>Karlo Matkovic</x:v>
      </x:c>
      <x:c r="B348" s="48" t="n">
        <x:v>343</x:v>
      </x:c>
      <x:c r="C348" s="48" t="str">
        <x:v>PF</x:v>
      </x:c>
      <x:c r="D348" s="48" t="n">
        <x:v>60</x:v>
      </x:c>
      <x:c r="E348" s="48" t="n">
        <x:v>0</x:v>
      </x:c>
      <x:c r="F348" s="48" t="n">
        <x:v>3.5</x:v>
      </x:c>
      <x:c r="G348" s="48" t="str">
        <x:v>DEEP</x:v>
      </x:c>
      <x:c r="H348" s="48"/>
      <x:c r="I348" s="48"/>
      <x:c r="J348" s="48" t="str">
        <x:v>2025-26 custom-score + role shrink</x:v>
      </x:c>
      <x:c r="K348" s="50" t="str">
        <x:v>Deep-pool model: 2025-26 custom-score production shrunk toward a conservative 2026-27 role estimate; not a published projection.</x:v>
      </x:c>
      <x:c r="L348" s="50" t="str">
        <x:v>https://github.com/plourr03/wolves-front-office/blob/5d152a169188fb9b210186a7a0d3403d4081ed38/kuminga/data/roster_snapshot_2026_27_v3.csv</x:v>
      </x:c>
      <x:c r="M348" s="50" t="str">
        <x:v>https://github.com/ballacademy/NBA-head-to-head-/blob/5b1decfc31ffb645469c7ffbd01aaca4b18181bd/data/nba-stats/nba-player-stats-202526-regular-season-per-game.csv</x:v>
      </x:c>
    </x:row>
    <x:row r="349">
      <x:c r="A349" s="48" t="str">
        <x:v>Nikola Jovic</x:v>
      </x:c>
      <x:c r="B349" s="48" t="n">
        <x:v>344</x:v>
      </x:c>
      <x:c r="C349" s="48" t="str">
        <x:v>SF</x:v>
      </x:c>
      <x:c r="D349" s="48" t="n">
        <x:v>60</x:v>
      </x:c>
      <x:c r="E349" s="48" t="n">
        <x:v>0</x:v>
      </x:c>
      <x:c r="F349" s="48" t="n">
        <x:v>3.5</x:v>
      </x:c>
      <x:c r="G349" s="48" t="str">
        <x:v>DEEP</x:v>
      </x:c>
      <x:c r="H349" s="48"/>
      <x:c r="I349" s="48"/>
      <x:c r="J349" s="48" t="str">
        <x:v>2025-26 custom-score + role shrink</x:v>
      </x:c>
      <x:c r="K349" s="50" t="str">
        <x:v>Deep-pool model: 2025-26 custom-score production shrunk toward a conservative 2026-27 role estimate; not a published projection.</x:v>
      </x:c>
      <x:c r="L349" s="50" t="str">
        <x:v>https://github.com/plourr03/wolves-front-office/blob/5d152a169188fb9b210186a7a0d3403d4081ed38/kuminga/data/roster_snapshot_2026_27_v3.csv</x:v>
      </x:c>
      <x:c r="M349" s="50" t="str">
        <x:v>https://github.com/ballacademy/NBA-head-to-head-/blob/5b1decfc31ffb645469c7ffbd01aaca4b18181bd/data/nba-stats/nba-player-stats-202526-regular-season-per-game.csv</x:v>
      </x:c>
    </x:row>
    <x:row r="350">
      <x:c r="A350" s="48" t="str">
        <x:v>Ben Sheppard</x:v>
      </x:c>
      <x:c r="B350" s="48" t="n">
        <x:v>345</x:v>
      </x:c>
      <x:c r="C350" s="48" t="str">
        <x:v>SF</x:v>
      </x:c>
      <x:c r="D350" s="48" t="n">
        <x:v>60</x:v>
      </x:c>
      <x:c r="E350" s="48" t="n">
        <x:v>0</x:v>
      </x:c>
      <x:c r="F350" s="48" t="n">
        <x:v>3.5</x:v>
      </x:c>
      <x:c r="G350" s="48" t="str">
        <x:v>DEEP</x:v>
      </x:c>
      <x:c r="H350" s="48"/>
      <x:c r="I350" s="48"/>
      <x:c r="J350" s="48" t="str">
        <x:v>2025-26 custom-score + role shrink</x:v>
      </x:c>
      <x:c r="K350" s="50" t="str">
        <x:v>Deep-pool model: 2025-26 custom-score production shrunk toward a conservative 2026-27 role estimate; not a published projection.</x:v>
      </x:c>
      <x:c r="L350" s="50" t="str">
        <x:v>https://github.com/plourr03/wolves-front-office/blob/5d152a169188fb9b210186a7a0d3403d4081ed38/kuminga/data/roster_snapshot_2026_27_v3.csv</x:v>
      </x:c>
      <x:c r="M350" s="50" t="str">
        <x:v>https://github.com/ballacademy/NBA-head-to-head-/blob/5b1decfc31ffb645469c7ffbd01aaca4b18181bd/data/nba-stats/nba-player-stats-202526-regular-season-per-game.csv</x:v>
      </x:c>
    </x:row>
    <x:row r="351">
      <x:c r="A351" s="48" t="str">
        <x:v>Spencer Jones</x:v>
      </x:c>
      <x:c r="B351" s="48" t="n">
        <x:v>346</x:v>
      </x:c>
      <x:c r="C351" s="48" t="str">
        <x:v>SF</x:v>
      </x:c>
      <x:c r="D351" s="48" t="n">
        <x:v>60</x:v>
      </x:c>
      <x:c r="E351" s="48" t="n">
        <x:v>0</x:v>
      </x:c>
      <x:c r="F351" s="48" t="n">
        <x:v>3.5</x:v>
      </x:c>
      <x:c r="G351" s="48" t="str">
        <x:v>DEEP</x:v>
      </x:c>
      <x:c r="H351" s="48"/>
      <x:c r="I351" s="48"/>
      <x:c r="J351" s="48" t="str">
        <x:v>2025-26 custom-score + role shrink</x:v>
      </x:c>
      <x:c r="K351" s="50" t="str">
        <x:v>Deep-pool model: 2025-26 custom-score production shrunk toward a conservative 2026-27 role estimate; not a published projection.</x:v>
      </x:c>
      <x:c r="L351" s="50" t="str">
        <x:v>https://github.com/plourr03/wolves-front-office/blob/5d152a169188fb9b210186a7a0d3403d4081ed38/kuminga/data/roster_snapshot_2026_27_v3.csv</x:v>
      </x:c>
      <x:c r="M351" s="50" t="str">
        <x:v>https://github.com/ballacademy/NBA-head-to-head-/blob/5b1decfc31ffb645469c7ffbd01aaca4b18181bd/data/nba-stats/nba-player-stats-202526-regular-season-per-game.csv</x:v>
      </x:c>
    </x:row>
    <x:row r="352">
      <x:c r="A352" s="48" t="str">
        <x:v>Sergio de Larrea</x:v>
      </x:c>
      <x:c r="B352" s="48" t="n">
        <x:v>347</x:v>
      </x:c>
      <x:c r="C352" s="48" t="str">
        <x:v>SG</x:v>
      </x:c>
      <x:c r="D352" s="48" t="n">
        <x:v>60</x:v>
      </x:c>
      <x:c r="E352" s="48" t="n">
        <x:v>0</x:v>
      </x:c>
      <x:c r="F352" s="48" t="n">
        <x:v>5.324999999999999</x:v>
      </x:c>
      <x:c r="G352" s="48" t="str">
        <x:v>WATCH</x:v>
      </x:c>
      <x:c r="H352" s="48"/>
      <x:c r="I352" s="48"/>
      <x:c r="J352" s="48" t="str">
        <x:v>Rookie/depth role estimate</x:v>
      </x:c>
      <x:c r="K352" s="50" t="str">
        <x:v>Rookie/depth role estimate with a wide band and limited NBA evidence. Treat as a watch-list projection, not a published forecast.</x:v>
      </x:c>
      <x:c r="L352" s="50" t="str">
        <x:v>https://github.com/plourr03/wolves-front-office/blob/5d152a169188fb9b210186a7a0d3403d4081ed38/kuminga/data/roster_snapshot_2026_27_v3.csv</x:v>
      </x:c>
      <x:c r="M352" s="50" t="str">
        <x:v>https://github.com/ballacademy/NBA-head-to-head-/blob/5b1decfc31ffb645469c7ffbd01aaca4b18181bd/data/nba-stats/nba-player-stats-202526-regular-season-per-game.csv</x:v>
      </x:c>
    </x:row>
    <x:row r="353">
      <x:c r="A353" s="48" t="str">
        <x:v>Tyler Burton</x:v>
      </x:c>
      <x:c r="B353" s="48" t="n">
        <x:v>348</x:v>
      </x:c>
      <x:c r="C353" s="48" t="str">
        <x:v>SF</x:v>
      </x:c>
      <x:c r="D353" s="48" t="n">
        <x:v>64</x:v>
      </x:c>
      <x:c r="E353" s="48" t="n">
        <x:v>0</x:v>
      </x:c>
      <x:c r="F353" s="48" t="n">
        <x:v>3.705</x:v>
      </x:c>
      <x:c r="G353" s="48" t="str">
        <x:v>VERY_DEEP</x:v>
      </x:c>
      <x:c r="H353" s="48"/>
      <x:c r="I353" s="48"/>
      <x:c r="J353" s="48" t="str">
        <x:v>2025-26 custom-score + role shrink</x:v>
      </x:c>
      <x:c r="K353" s="50" t="str">
        <x:v>Very-deep model estimate with limited sample/role certainty. Use as a search/watch-list value and refresh once final rotations are known.</x:v>
      </x:c>
      <x:c r="L353" s="50" t="str">
        <x:v>https://github.com/A-V29/NBA.Rosters/blob/main/2026.Summer.League.json</x:v>
      </x:c>
      <x:c r="M353" s="50" t="str">
        <x:v>https://github.com/ballacademy/NBA-head-to-head-/blob/5b1decfc31ffb645469c7ffbd01aaca4b18181bd/data/nba-stats/nba-player-stats-202526-regular-season-per-game.csv</x:v>
      </x:c>
    </x:row>
    <x:row r="354">
      <x:c r="A354" s="48" t="str">
        <x:v>Tarris Reed Jr.</x:v>
      </x:c>
      <x:c r="B354" s="48" t="n">
        <x:v>349</x:v>
      </x:c>
      <x:c r="C354" s="48" t="str">
        <x:v>C</x:v>
      </x:c>
      <x:c r="D354" s="48" t="n">
        <x:v>60</x:v>
      </x:c>
      <x:c r="E354" s="48" t="n">
        <x:v>0</x:v>
      </x:c>
      <x:c r="F354" s="48" t="n">
        <x:v>5.305</x:v>
      </x:c>
      <x:c r="G354" s="48" t="str">
        <x:v>WATCH</x:v>
      </x:c>
      <x:c r="H354" s="48"/>
      <x:c r="I354" s="48"/>
      <x:c r="J354" s="48" t="str">
        <x:v>Rookie/depth role estimate</x:v>
      </x:c>
      <x:c r="K354" s="50" t="str">
        <x:v>Rookie/depth role estimate with a wide band and limited NBA evidence. Treat as a watch-list projection, not a published forecast.</x:v>
      </x:c>
      <x:c r="L354" s="50" t="str">
        <x:v>https://github.com/plourr03/wolves-front-office/blob/5d152a169188fb9b210186a7a0d3403d4081ed38/kuminga/data/roster_snapshot_2026_27_v3.csv</x:v>
      </x:c>
      <x:c r="M354" s="50" t="str">
        <x:v>https://github.com/ballacademy/NBA-head-to-head-/blob/5b1decfc31ffb645469c7ffbd01aaca4b18181bd/data/nba-stats/nba-player-stats-202526-regular-season-per-game.csv</x:v>
      </x:c>
    </x:row>
    <x:row r="355">
      <x:c r="A355" s="48" t="str">
        <x:v>Chris Cenac Jr.</x:v>
      </x:c>
      <x:c r="B355" s="48" t="n">
        <x:v>350</x:v>
      </x:c>
      <x:c r="C355" s="48" t="str">
        <x:v>PF</x:v>
      </x:c>
      <x:c r="D355" s="48" t="n">
        <x:v>60</x:v>
      </x:c>
      <x:c r="E355" s="48" t="n">
        <x:v>0</x:v>
      </x:c>
      <x:c r="F355" s="48" t="n">
        <x:v>5.289999999999999</x:v>
      </x:c>
      <x:c r="G355" s="48" t="str">
        <x:v>WATCH</x:v>
      </x:c>
      <x:c r="H355" s="48"/>
      <x:c r="I355" s="48"/>
      <x:c r="J355" s="48" t="str">
        <x:v>Rookie/depth role estimate</x:v>
      </x:c>
      <x:c r="K355" s="50" t="str">
        <x:v>Rookie/depth role estimate with a wide band and limited NBA evidence. Treat as a watch-list projection, not a published forecast.</x:v>
      </x:c>
      <x:c r="L355" s="50" t="str">
        <x:v>https://github.com/plourr03/wolves-front-office/blob/5d152a169188fb9b210186a7a0d3403d4081ed38/kuminga/data/roster_snapshot_2026_27_v3.csv</x:v>
      </x:c>
      <x:c r="M355" s="50" t="str">
        <x:v>https://github.com/ballacademy/NBA-head-to-head-/blob/5b1decfc31ffb645469c7ffbd01aaca4b18181bd/data/nba-stats/nba-player-stats-202526-regular-season-per-game.csv</x:v>
      </x:c>
    </x:row>
    <x:row r="356">
      <x:c r="A356" s="48" t="str">
        <x:v>Aaron Wiggins</x:v>
      </x:c>
      <x:c r="B356" s="48" t="n">
        <x:v>351</x:v>
      </x:c>
      <x:c r="C356" s="48" t="str">
        <x:v>SG</x:v>
      </x:c>
      <x:c r="D356" s="48" t="n">
        <x:v>42</x:v>
      </x:c>
      <x:c r="E356" s="48" t="n">
        <x:v>0</x:v>
      </x:c>
      <x:c r="F356" s="48" t="n">
        <x:v>3.8100000000000005</x:v>
      </x:c>
      <x:c r="G356" s="48" t="str">
        <x:v>VERY_DEEP</x:v>
      </x:c>
      <x:c r="H356" s="48"/>
      <x:c r="I356" s="48"/>
      <x:c r="J356" s="48" t="str">
        <x:v>2025-26 custom-score + role shrink</x:v>
      </x:c>
      <x:c r="K356" s="50" t="str">
        <x:v>Very-deep roster candidate. Non-guaranteed status and role uncertainty are discounted; verify final roster before draft use.</x:v>
      </x:c>
      <x:c r="L356" s="50" t="str">
        <x:v>https://github.com/plourr03/wolves-front-office/blob/5d152a169188fb9b210186a7a0d3403d4081ed38/kuminga/data/roster_snapshot_2026_27_v3.csv</x:v>
      </x:c>
      <x:c r="M356" s="50" t="str">
        <x:v>https://github.com/ballacademy/NBA-head-to-head-/blob/5b1decfc31ffb645469c7ffbd01aaca4b18181bd/data/nba-stats/nba-player-stats-202526-regular-season-per-game.csv</x:v>
      </x:c>
    </x:row>
    <x:row r="357">
      <x:c r="A357" s="48" t="str">
        <x:v>Joshua Jefferson</x:v>
      </x:c>
      <x:c r="B357" s="48" t="n">
        <x:v>352</x:v>
      </x:c>
      <x:c r="C357" s="48" t="str">
        <x:v>PF</x:v>
      </x:c>
      <x:c r="D357" s="48" t="n">
        <x:v>60</x:v>
      </x:c>
      <x:c r="E357" s="48" t="n">
        <x:v>0</x:v>
      </x:c>
      <x:c r="F357" s="48" t="n">
        <x:v>5.290000000000001</x:v>
      </x:c>
      <x:c r="G357" s="48" t="str">
        <x:v>WATCH</x:v>
      </x:c>
      <x:c r="H357" s="48"/>
      <x:c r="I357" s="48"/>
      <x:c r="J357" s="48" t="str">
        <x:v>Rookie/depth role estimate</x:v>
      </x:c>
      <x:c r="K357" s="50" t="str">
        <x:v>Rookie/depth role estimate with a wide band and limited NBA evidence. Treat as a watch-list projection, not a published forecast.</x:v>
      </x:c>
      <x:c r="L357" s="50" t="str">
        <x:v>https://github.com/plourr03/wolves-front-office/blob/5d152a169188fb9b210186a7a0d3403d4081ed38/kuminga/data/roster_snapshot_2026_27_v3.csv</x:v>
      </x:c>
      <x:c r="M357" s="50" t="str">
        <x:v>https://github.com/ballacademy/NBA-head-to-head-/blob/5b1decfc31ffb645469c7ffbd01aaca4b18181bd/data/nba-stats/nba-player-stats-202526-regular-season-per-game.csv</x:v>
      </x:c>
    </x:row>
    <x:row r="358">
      <x:c r="A358" s="48" t="str">
        <x:v>Patrick Williams</x:v>
      </x:c>
      <x:c r="B358" s="48" t="n">
        <x:v>353</x:v>
      </x:c>
      <x:c r="C358" s="48" t="str">
        <x:v>PF</x:v>
      </x:c>
      <x:c r="D358" s="48" t="n">
        <x:v>60</x:v>
      </x:c>
      <x:c r="E358" s="48" t="n">
        <x:v>0</x:v>
      </x:c>
      <x:c r="F358" s="48" t="n">
        <x:v>3.5</x:v>
      </x:c>
      <x:c r="G358" s="48" t="str">
        <x:v>DEEP</x:v>
      </x:c>
      <x:c r="H358" s="48"/>
      <x:c r="I358" s="48"/>
      <x:c r="J358" s="48" t="str">
        <x:v>2025-26 custom-score + role shrink</x:v>
      </x:c>
      <x:c r="K358" s="50" t="str">
        <x:v>Deep-pool model: 2025-26 custom-score production shrunk toward a conservative 2026-27 role estimate; not a published projection.</x:v>
      </x:c>
      <x:c r="L358" s="50" t="str">
        <x:v>https://github.com/plourr03/wolves-front-office/blob/5d152a169188fb9b210186a7a0d3403d4081ed38/kuminga/data/roster_snapshot_2026_27_v3.csv</x:v>
      </x:c>
      <x:c r="M358" s="50" t="str">
        <x:v>https://github.com/ballacademy/NBA-head-to-head-/blob/5b1decfc31ffb645469c7ffbd01aaca4b18181bd/data/nba-stats/nba-player-stats-202526-regular-season-per-game.csv</x:v>
      </x:c>
    </x:row>
    <x:row r="359">
      <x:c r="A359" s="48" t="str">
        <x:v>Kenrich Williams</x:v>
      </x:c>
      <x:c r="B359" s="48" t="n">
        <x:v>354</x:v>
      </x:c>
      <x:c r="C359" s="48" t="str">
        <x:v>PF</x:v>
      </x:c>
      <x:c r="D359" s="48" t="n">
        <x:v>60</x:v>
      </x:c>
      <x:c r="E359" s="48" t="n">
        <x:v>0</x:v>
      </x:c>
      <x:c r="F359" s="48" t="n">
        <x:v>3.5</x:v>
      </x:c>
      <x:c r="G359" s="48" t="str">
        <x:v>DEEP</x:v>
      </x:c>
      <x:c r="H359" s="48"/>
      <x:c r="I359" s="48"/>
      <x:c r="J359" s="48" t="str">
        <x:v>2025-26 custom-score + role shrink</x:v>
      </x:c>
      <x:c r="K359" s="50" t="str">
        <x:v>Deep-pool model: 2025-26 custom-score production shrunk toward a conservative 2026-27 role estimate; not a published projection.</x:v>
      </x:c>
      <x:c r="L359" s="50" t="str">
        <x:v>https://github.com/plourr03/wolves-front-office/blob/5d152a169188fb9b210186a7a0d3403d4081ed38/kuminga/data/roster_snapshot_2026_27_v3.csv</x:v>
      </x:c>
      <x:c r="M359" s="50" t="str">
        <x:v>https://github.com/ballacademy/NBA-head-to-head-/blob/5b1decfc31ffb645469c7ffbd01aaca4b18181bd/data/nba-stats/nba-player-stats-202526-regular-season-per-game.csv</x:v>
      </x:c>
    </x:row>
    <x:row r="360">
      <x:c r="A360" s="48" t="str">
        <x:v>Keon Ellis</x:v>
      </x:c>
      <x:c r="B360" s="48" t="n">
        <x:v>355</x:v>
      </x:c>
      <x:c r="C360" s="48" t="str">
        <x:v>SF</x:v>
      </x:c>
      <x:c r="D360" s="48" t="n">
        <x:v>60</x:v>
      </x:c>
      <x:c r="E360" s="48" t="n">
        <x:v>0</x:v>
      </x:c>
      <x:c r="F360" s="48" t="n">
        <x:v>3.5</x:v>
      </x:c>
      <x:c r="G360" s="48" t="str">
        <x:v>DEEP</x:v>
      </x:c>
      <x:c r="H360" s="48"/>
      <x:c r="I360" s="48"/>
      <x:c r="J360" s="48" t="str">
        <x:v>2025-26 custom-score + role shrink</x:v>
      </x:c>
      <x:c r="K360" s="50" t="str">
        <x:v>Deep-pool model: 2025-26 custom-score production shrunk toward a conservative 2026-27 role estimate; not a published projection.</x:v>
      </x:c>
      <x:c r="L360" s="50" t="str">
        <x:v>https://github.com/plourr03/wolves-front-office/blob/5d152a169188fb9b210186a7a0d3403d4081ed38/kuminga/data/roster_snapshot_2026_27_v3.csv</x:v>
      </x:c>
      <x:c r="M360" s="50" t="str">
        <x:v>https://github.com/ballacademy/NBA-head-to-head-/blob/5b1decfc31ffb645469c7ffbd01aaca4b18181bd/data/nba-stats/nba-player-stats-202526-regular-season-per-game.csv</x:v>
      </x:c>
    </x:row>
    <x:row r="361">
      <x:c r="A361" s="48" t="str">
        <x:v>Will Richard</x:v>
      </x:c>
      <x:c r="B361" s="48" t="n">
        <x:v>356</x:v>
      </x:c>
      <x:c r="C361" s="48" t="str">
        <x:v>SG</x:v>
      </x:c>
      <x:c r="D361" s="48" t="n">
        <x:v>64</x:v>
      </x:c>
      <x:c r="E361" s="48" t="n">
        <x:v>0</x:v>
      </x:c>
      <x:c r="F361" s="48" t="n">
        <x:v>3.5</x:v>
      </x:c>
      <x:c r="G361" s="48" t="str">
        <x:v>DEEP</x:v>
      </x:c>
      <x:c r="H361" s="48"/>
      <x:c r="I361" s="48"/>
      <x:c r="J361" s="48" t="str">
        <x:v>2025-26 custom-score + role shrink</x:v>
      </x:c>
      <x:c r="K361" s="50" t="str">
        <x:v>Deep-pool model: 2025-26 custom-score production shrunk toward a conservative 2026-27 role estimate; not a published projection.</x:v>
      </x:c>
      <x:c r="L361" s="50" t="str">
        <x:v>https://github.com/A-V29/NBA.Rosters/blob/main/2026.Summer.League.json</x:v>
      </x:c>
      <x:c r="M361" s="50" t="str">
        <x:v>https://github.com/ballacademy/NBA-head-to-head-/blob/5b1decfc31ffb645469c7ffbd01aaca4b18181bd/data/nba-stats/nba-player-stats-202526-regular-season-per-game.csv</x:v>
      </x:c>
    </x:row>
    <x:row r="362">
      <x:c r="A362" s="48" t="str">
        <x:v>Bryce McGowens</x:v>
      </x:c>
      <x:c r="B362" s="48" t="n">
        <x:v>357</x:v>
      </x:c>
      <x:c r="C362" s="48" t="str">
        <x:v>SG</x:v>
      </x:c>
      <x:c r="D362" s="48" t="n">
        <x:v>60</x:v>
      </x:c>
      <x:c r="E362" s="48" t="n">
        <x:v>0</x:v>
      </x:c>
      <x:c r="F362" s="48" t="n">
        <x:v>3.5</x:v>
      </x:c>
      <x:c r="G362" s="48" t="str">
        <x:v>DEEP</x:v>
      </x:c>
      <x:c r="H362" s="48"/>
      <x:c r="I362" s="48"/>
      <x:c r="J362" s="48" t="str">
        <x:v>2025-26 custom-score + role shrink</x:v>
      </x:c>
      <x:c r="K362" s="50" t="str">
        <x:v>Deep-pool model: 2025-26 custom-score production shrunk toward a conservative 2026-27 role estimate; not a published projection.</x:v>
      </x:c>
      <x:c r="L362" s="50" t="str">
        <x:v>https://github.com/plourr03/wolves-front-office/blob/5d152a169188fb9b210186a7a0d3403d4081ed38/kuminga/data/roster_snapshot_2026_27_v3.csv</x:v>
      </x:c>
      <x:c r="M362" s="50" t="str">
        <x:v>https://github.com/ballacademy/NBA-head-to-head-/blob/5b1decfc31ffb645469c7ffbd01aaca4b18181bd/data/nba-stats/nba-player-stats-202526-regular-season-per-game.csv</x:v>
      </x:c>
    </x:row>
    <x:row r="363">
      <x:c r="A363" s="48" t="str">
        <x:v>Taurean Prince</x:v>
      </x:c>
      <x:c r="B363" s="48" t="n">
        <x:v>358</x:v>
      </x:c>
      <x:c r="C363" s="48" t="str">
        <x:v>PF</x:v>
      </x:c>
      <x:c r="D363" s="48" t="n">
        <x:v>60</x:v>
      </x:c>
      <x:c r="E363" s="48" t="n">
        <x:v>0</x:v>
      </x:c>
      <x:c r="F363" s="48" t="n">
        <x:v>3.5900000000000007</x:v>
      </x:c>
      <x:c r="G363" s="48" t="str">
        <x:v>VERY_DEEP</x:v>
      </x:c>
      <x:c r="H363" s="48"/>
      <x:c r="I363" s="48"/>
      <x:c r="J363" s="48" t="str">
        <x:v>2025-26 custom-score + role shrink</x:v>
      </x:c>
      <x:c r="K363" s="50" t="str">
        <x:v>Very-deep model estimate with limited sample/role certainty. Use as a search/watch-list value and refresh once final rotations are known.</x:v>
      </x:c>
      <x:c r="L363" s="50" t="str">
        <x:v>https://github.com/plourr03/wolves-front-office/blob/5d152a169188fb9b210186a7a0d3403d4081ed38/kuminga/data/roster_snapshot_2026_27_v3.csv</x:v>
      </x:c>
      <x:c r="M363" s="50" t="str">
        <x:v>https://github.com/ballacademy/NBA-head-to-head-/blob/5b1decfc31ffb645469c7ffbd01aaca4b18181bd/data/nba-stats/nba-player-stats-202526-regular-season-per-game.csv</x:v>
      </x:c>
    </x:row>
    <x:row r="364">
      <x:c r="A364" s="48" t="str">
        <x:v>Jarred Vanderbilt</x:v>
      </x:c>
      <x:c r="B364" s="48" t="n">
        <x:v>359</x:v>
      </x:c>
      <x:c r="C364" s="48" t="str">
        <x:v>PF</x:v>
      </x:c>
      <x:c r="D364" s="48" t="n">
        <x:v>60</x:v>
      </x:c>
      <x:c r="E364" s="48" t="n">
        <x:v>0</x:v>
      </x:c>
      <x:c r="F364" s="48" t="n">
        <x:v>3.5</x:v>
      </x:c>
      <x:c r="G364" s="48" t="str">
        <x:v>DEEP</x:v>
      </x:c>
      <x:c r="H364" s="48"/>
      <x:c r="I364" s="48"/>
      <x:c r="J364" s="48" t="str">
        <x:v>2025-26 custom-score + role shrink</x:v>
      </x:c>
      <x:c r="K364" s="50" t="str">
        <x:v>Deep-pool model: 2025-26 custom-score production shrunk toward a conservative 2026-27 role estimate; not a published projection.</x:v>
      </x:c>
      <x:c r="L364" s="50" t="str">
        <x:v>https://github.com/plourr03/wolves-front-office/blob/5d152a169188fb9b210186a7a0d3403d4081ed38/kuminga/data/roster_snapshot_2026_27_v3.csv</x:v>
      </x:c>
      <x:c r="M364" s="50" t="str">
        <x:v>https://github.com/ballacademy/NBA-head-to-head-/blob/5b1decfc31ffb645469c7ffbd01aaca4b18181bd/data/nba-stats/nba-player-stats-202526-regular-season-per-game.csv</x:v>
      </x:c>
    </x:row>
    <x:row r="365">
      <x:c r="A365" s="48" t="str">
        <x:v>Tidjane Salaun</x:v>
      </x:c>
      <x:c r="B365" s="48" t="n">
        <x:v>360</x:v>
      </x:c>
      <x:c r="C365" s="48" t="str">
        <x:v>PF</x:v>
      </x:c>
      <x:c r="D365" s="48" t="n">
        <x:v>64</x:v>
      </x:c>
      <x:c r="E365" s="48" t="n">
        <x:v>0</x:v>
      </x:c>
      <x:c r="F365" s="48" t="n">
        <x:v>3.5</x:v>
      </x:c>
      <x:c r="G365" s="48" t="str">
        <x:v>DEEP</x:v>
      </x:c>
      <x:c r="H365" s="48"/>
      <x:c r="I365" s="48"/>
      <x:c r="J365" s="48" t="str">
        <x:v>2025-26 custom-score + role shrink</x:v>
      </x:c>
      <x:c r="K365" s="50" t="str">
        <x:v>Deep-pool model: 2025-26 custom-score production shrunk toward a conservative 2026-27 role estimate; not a published projection.</x:v>
      </x:c>
      <x:c r="L365" s="50" t="str">
        <x:v>https://github.com/A-V29/NBA.Rosters/blob/main/2026.Summer.League.json</x:v>
      </x:c>
      <x:c r="M365" s="50" t="str">
        <x:v>https://github.com/ballacademy/NBA-head-to-head-/blob/5b1decfc31ffb645469c7ffbd01aaca4b18181bd/data/nba-stats/nba-player-stats-202526-regular-season-per-game.csv</x:v>
      </x:c>
    </x:row>
    <x:row r="366">
      <x:c r="A366" s="48" t="str">
        <x:v>DeAndre Jordan</x:v>
      </x:c>
      <x:c r="B366" s="48" t="n">
        <x:v>361</x:v>
      </x:c>
      <x:c r="C366" s="48" t="str">
        <x:v>C</x:v>
      </x:c>
      <x:c r="D366" s="48" t="n">
        <x:v>60</x:v>
      </x:c>
      <x:c r="E366" s="48" t="n">
        <x:v>0</x:v>
      </x:c>
      <x:c r="F366" s="48" t="n">
        <x:v>3.5250000000000004</x:v>
      </x:c>
      <x:c r="G366" s="48" t="str">
        <x:v>VERY_DEEP</x:v>
      </x:c>
      <x:c r="H366" s="48"/>
      <x:c r="I366" s="48"/>
      <x:c r="J366" s="48" t="str">
        <x:v>2025-26 custom-score + role shrink</x:v>
      </x:c>
      <x:c r="K366" s="50" t="str">
        <x:v>Very-deep model estimate with limited sample/role certainty. Use as a search/watch-list value and refresh once final rotations are known.</x:v>
      </x:c>
      <x:c r="L366" s="50" t="str">
        <x:v>https://github.com/plourr03/wolves-front-office/blob/5d152a169188fb9b210186a7a0d3403d4081ed38/kuminga/data/roster_snapshot_2026_27_v3.csv</x:v>
      </x:c>
      <x:c r="M366" s="50" t="str">
        <x:v>https://github.com/ballacademy/NBA-head-to-head-/blob/5b1decfc31ffb645469c7ffbd01aaca4b18181bd/data/nba-stats/nba-player-stats-202526-regular-season-per-game.csv</x:v>
      </x:c>
    </x:row>
    <x:row r="367">
      <x:c r="A367" s="48" t="str">
        <x:v>Thomas Bryant</x:v>
      </x:c>
      <x:c r="B367" s="48" t="n">
        <x:v>362</x:v>
      </x:c>
      <x:c r="C367" s="48" t="str">
        <x:v>C</x:v>
      </x:c>
      <x:c r="D367" s="48" t="n">
        <x:v>60</x:v>
      </x:c>
      <x:c r="E367" s="48" t="n">
        <x:v>0</x:v>
      </x:c>
      <x:c r="F367" s="48" t="n">
        <x:v>3.5</x:v>
      </x:c>
      <x:c r="G367" s="48" t="str">
        <x:v>DEEP</x:v>
      </x:c>
      <x:c r="H367" s="48"/>
      <x:c r="I367" s="48"/>
      <x:c r="J367" s="48" t="str">
        <x:v>2025-26 custom-score + role shrink</x:v>
      </x:c>
      <x:c r="K367" s="50" t="str">
        <x:v>Deep-pool model: 2025-26 custom-score production shrunk toward a conservative 2026-27 role estimate; not a published projection.</x:v>
      </x:c>
      <x:c r="L367" s="50" t="str">
        <x:v>https://github.com/plourr03/wolves-front-office/blob/5d152a169188fb9b210186a7a0d3403d4081ed38/kuminga/data/roster_snapshot_2026_27_v3.csv</x:v>
      </x:c>
      <x:c r="M367" s="50" t="str">
        <x:v>https://github.com/ballacademy/NBA-head-to-head-/blob/5b1decfc31ffb645469c7ffbd01aaca4b18181bd/data/nba-stats/nba-player-stats-202526-regular-season-per-game.csv</x:v>
      </x:c>
    </x:row>
    <x:row r="368">
      <x:c r="A368" s="48" t="str">
        <x:v>DeJon Jarreau</x:v>
      </x:c>
      <x:c r="B368" s="48" t="n">
        <x:v>363</x:v>
      </x:c>
      <x:c r="C368" s="48" t="str">
        <x:v>PG</x:v>
      </x:c>
      <x:c r="D368" s="48" t="n">
        <x:v>64</x:v>
      </x:c>
      <x:c r="E368" s="48" t="n">
        <x:v>0</x:v>
      </x:c>
      <x:c r="F368" s="48" t="n">
        <x:v>3.5</x:v>
      </x:c>
      <x:c r="G368" s="48" t="str">
        <x:v>VERY_DEEP</x:v>
      </x:c>
      <x:c r="H368" s="48"/>
      <x:c r="I368" s="48"/>
      <x:c r="J368" s="48" t="str">
        <x:v>2025-26 custom-score + role shrink</x:v>
      </x:c>
      <x:c r="K368" s="50" t="str">
        <x:v>Very-deep model estimate with limited sample/role certainty. Use as a search/watch-list value and refresh once final rotations are known.</x:v>
      </x:c>
      <x:c r="L368" s="50" t="str">
        <x:v>https://github.com/A-V29/NBA.Rosters/blob/main/2026.Summer.League.json</x:v>
      </x:c>
      <x:c r="M368" s="50" t="str">
        <x:v>https://github.com/ballacademy/NBA-head-to-head-/blob/5b1decfc31ffb645469c7ffbd01aaca4b18181bd/data/nba-stats/nba-player-stats-202526-regular-season-per-game.csv</x:v>
      </x:c>
    </x:row>
    <x:row r="369">
      <x:c r="A369" s="48" t="str">
        <x:v>Ben Saraf</x:v>
      </x:c>
      <x:c r="B369" s="48" t="n">
        <x:v>364</x:v>
      </x:c>
      <x:c r="C369" s="48" t="str">
        <x:v>SG</x:v>
      </x:c>
      <x:c r="D369" s="48" t="n">
        <x:v>64</x:v>
      </x:c>
      <x:c r="E369" s="48" t="n">
        <x:v>0</x:v>
      </x:c>
      <x:c r="F369" s="48" t="n">
        <x:v>3.5</x:v>
      </x:c>
      <x:c r="G369" s="48" t="str">
        <x:v>DEEP</x:v>
      </x:c>
      <x:c r="H369" s="48"/>
      <x:c r="I369" s="48"/>
      <x:c r="J369" s="48" t="str">
        <x:v>2025-26 custom-score + role shrink</x:v>
      </x:c>
      <x:c r="K369" s="50" t="str">
        <x:v>Deep-pool model: 2025-26 custom-score production shrunk toward a conservative 2026-27 role estimate; not a published projection.</x:v>
      </x:c>
      <x:c r="L369" s="50" t="str">
        <x:v>https://github.com/A-V29/NBA.Rosters/blob/main/2026.Summer.League.json</x:v>
      </x:c>
      <x:c r="M369" s="50" t="str">
        <x:v>https://github.com/ballacademy/NBA-head-to-head-/blob/5b1decfc31ffb645469c7ffbd01aaca4b18181bd/data/nba-stats/nba-player-stats-202526-regular-season-per-game.csv</x:v>
      </x:c>
    </x:row>
    <x:row r="370">
      <x:c r="A370" s="48" t="str">
        <x:v>Baylor Scheierman</x:v>
      </x:c>
      <x:c r="B370" s="48" t="n">
        <x:v>365</x:v>
      </x:c>
      <x:c r="C370" s="48" t="str">
        <x:v>SG</x:v>
      </x:c>
      <x:c r="D370" s="48" t="n">
        <x:v>60</x:v>
      </x:c>
      <x:c r="E370" s="48" t="n">
        <x:v>0</x:v>
      </x:c>
      <x:c r="F370" s="48" t="n">
        <x:v>3.5</x:v>
      </x:c>
      <x:c r="G370" s="48" t="str">
        <x:v>DEEP</x:v>
      </x:c>
      <x:c r="H370" s="48"/>
      <x:c r="I370" s="48"/>
      <x:c r="J370" s="48" t="str">
        <x:v>2025-26 custom-score + role shrink</x:v>
      </x:c>
      <x:c r="K370" s="50" t="str">
        <x:v>Deep-pool model: 2025-26 custom-score production shrunk toward a conservative 2026-27 role estimate; not a published projection.</x:v>
      </x:c>
      <x:c r="L370" s="50" t="str">
        <x:v>https://github.com/plourr03/wolves-front-office/blob/5d152a169188fb9b210186a7a0d3403d4081ed38/kuminga/data/roster_snapshot_2026_27_v3.csv</x:v>
      </x:c>
      <x:c r="M370" s="50" t="str">
        <x:v>https://github.com/ballacademy/NBA-head-to-head-/blob/5b1decfc31ffb645469c7ffbd01aaca4b18181bd/data/nba-stats/nba-player-stats-202526-regular-season-per-game.csv</x:v>
      </x:c>
    </x:row>
    <x:row r="371">
      <x:c r="A371" s="48" t="str">
        <x:v>Nae'qwan Tomlin</x:v>
      </x:c>
      <x:c r="B371" s="48" t="n">
        <x:v>366</x:v>
      </x:c>
      <x:c r="C371" s="48" t="str">
        <x:v>C</x:v>
      </x:c>
      <x:c r="D371" s="48" t="n">
        <x:v>64</x:v>
      </x:c>
      <x:c r="E371" s="48" t="n">
        <x:v>0</x:v>
      </x:c>
      <x:c r="F371" s="48" t="n">
        <x:v>3.5</x:v>
      </x:c>
      <x:c r="G371" s="48" t="str">
        <x:v>DEEP</x:v>
      </x:c>
      <x:c r="H371" s="48"/>
      <x:c r="I371" s="48"/>
      <x:c r="J371" s="48" t="str">
        <x:v>2025-26 custom-score + role shrink</x:v>
      </x:c>
      <x:c r="K371" s="50" t="str">
        <x:v>Deep-pool model: 2025-26 custom-score production shrunk toward a conservative 2026-27 role estimate; not a published projection.</x:v>
      </x:c>
      <x:c r="L371" s="50" t="str">
        <x:v>https://github.com/A-V29/NBA.Rosters/blob/main/2026.Summer.League.json</x:v>
      </x:c>
      <x:c r="M371" s="50" t="str">
        <x:v>https://github.com/ballacademy/NBA-head-to-head-/blob/5b1decfc31ffb645469c7ffbd01aaca4b18181bd/data/nba-stats/nba-player-stats-202526-regular-season-per-game.csv</x:v>
      </x:c>
    </x:row>
    <x:row r="372">
      <x:c r="A372" s="48" t="str">
        <x:v>Nick Richards</x:v>
      </x:c>
      <x:c r="B372" s="48" t="n">
        <x:v>367</x:v>
      </x:c>
      <x:c r="C372" s="48" t="str">
        <x:v>C</x:v>
      </x:c>
      <x:c r="D372" s="48" t="n">
        <x:v>60</x:v>
      </x:c>
      <x:c r="E372" s="48" t="n">
        <x:v>0</x:v>
      </x:c>
      <x:c r="F372" s="48" t="n">
        <x:v>3.5</x:v>
      </x:c>
      <x:c r="G372" s="48" t="str">
        <x:v>DEEP</x:v>
      </x:c>
      <x:c r="H372" s="48"/>
      <x:c r="I372" s="48"/>
      <x:c r="J372" s="48" t="str">
        <x:v>2025-26 custom-score + role shrink</x:v>
      </x:c>
      <x:c r="K372" s="50" t="str">
        <x:v>Deep-pool model: 2025-26 custom-score production shrunk toward a conservative 2026-27 role estimate; not a published projection.</x:v>
      </x:c>
      <x:c r="L372" s="50" t="str">
        <x:v>https://github.com/plourr03/wolves-front-office/blob/5d152a169188fb9b210186a7a0d3403d4081ed38/kuminga/data/roster_snapshot_2026_27_v3.csv</x:v>
      </x:c>
      <x:c r="M372" s="50" t="str">
        <x:v>https://github.com/ballacademy/NBA-head-to-head-/blob/5b1decfc31ffb645469c7ffbd01aaca4b18181bd/data/nba-stats/nba-player-stats-202526-regular-season-per-game.csv</x:v>
      </x:c>
    </x:row>
    <x:row r="373">
      <x:c r="A373" s="48" t="str">
        <x:v>Kevon Looney</x:v>
      </x:c>
      <x:c r="B373" s="48" t="n">
        <x:v>368</x:v>
      </x:c>
      <x:c r="C373" s="48" t="str">
        <x:v>C</x:v>
      </x:c>
      <x:c r="D373" s="48" t="n">
        <x:v>60</x:v>
      </x:c>
      <x:c r="E373" s="48" t="n">
        <x:v>0</x:v>
      </x:c>
      <x:c r="F373" s="48" t="n">
        <x:v>3.5</x:v>
      </x:c>
      <x:c r="G373" s="48" t="str">
        <x:v>VERY_DEEP</x:v>
      </x:c>
      <x:c r="H373" s="48"/>
      <x:c r="I373" s="48"/>
      <x:c r="J373" s="48" t="str">
        <x:v>2025-26 custom-score + role shrink</x:v>
      </x:c>
      <x:c r="K373" s="50" t="str">
        <x:v>Very-deep model estimate with limited sample/role certainty. Use as a search/watch-list value and refresh once final rotations are known.</x:v>
      </x:c>
      <x:c r="L373" s="50" t="str">
        <x:v>https://github.com/plourr03/wolves-front-office/blob/5d152a169188fb9b210186a7a0d3403d4081ed38/kuminga/data/roster_snapshot_2026_27_v3.csv</x:v>
      </x:c>
      <x:c r="M373" s="50" t="str">
        <x:v>https://github.com/ballacademy/NBA-head-to-head-/blob/5b1decfc31ffb645469c7ffbd01aaca4b18181bd/data/nba-stats/nba-player-stats-202526-regular-season-per-game.csv</x:v>
      </x:c>
    </x:row>
    <x:row r="374">
      <x:c r="A374" s="48" t="str">
        <x:v>Vit Krejci</x:v>
      </x:c>
      <x:c r="B374" s="48" t="n">
        <x:v>369</x:v>
      </x:c>
      <x:c r="C374" s="48" t="str">
        <x:v>PG</x:v>
      </x:c>
      <x:c r="D374" s="48" t="n">
        <x:v>42</x:v>
      </x:c>
      <x:c r="E374" s="48" t="n">
        <x:v>0</x:v>
      </x:c>
      <x:c r="F374" s="48" t="n">
        <x:v>3.5</x:v>
      </x:c>
      <x:c r="G374" s="48" t="str">
        <x:v>VERY_DEEP</x:v>
      </x:c>
      <x:c r="H374" s="48"/>
      <x:c r="I374" s="48"/>
      <x:c r="J374" s="48" t="str">
        <x:v>2025-26 custom-score + role shrink</x:v>
      </x:c>
      <x:c r="K374" s="50" t="str">
        <x:v>Very-deep roster candidate. Non-guaranteed status and role uncertainty are discounted; verify final roster before draft use.</x:v>
      </x:c>
      <x:c r="L374" s="50" t="str">
        <x:v>https://github.com/plourr03/wolves-front-office/blob/5d152a169188fb9b210186a7a0d3403d4081ed38/kuminga/data/roster_snapshot_2026_27_v3.csv</x:v>
      </x:c>
      <x:c r="M374" s="50" t="str">
        <x:v>https://github.com/ballacademy/NBA-head-to-head-/blob/5b1decfc31ffb645469c7ffbd01aaca4b18181bd/data/nba-stats/nba-player-stats-202526-regular-season-per-game.csv</x:v>
      </x:c>
    </x:row>
    <x:row r="375">
      <x:c r="A375" s="48" t="str">
        <x:v>Moritz Wagner</x:v>
      </x:c>
      <x:c r="B375" s="48" t="n">
        <x:v>370</x:v>
      </x:c>
      <x:c r="C375" s="48" t="str">
        <x:v>C</x:v>
      </x:c>
      <x:c r="D375" s="48" t="n">
        <x:v>60</x:v>
      </x:c>
      <x:c r="E375" s="48" t="n">
        <x:v>0</x:v>
      </x:c>
      <x:c r="F375" s="48" t="n">
        <x:v>3.5</x:v>
      </x:c>
      <x:c r="G375" s="48" t="str">
        <x:v>DEEP</x:v>
      </x:c>
      <x:c r="H375" s="48"/>
      <x:c r="I375" s="48"/>
      <x:c r="J375" s="48" t="str">
        <x:v>2025-26 custom-score + role shrink</x:v>
      </x:c>
      <x:c r="K375" s="50" t="str">
        <x:v>Deep-pool model: 2025-26 custom-score production shrunk toward a conservative 2026-27 role estimate; not a published projection.</x:v>
      </x:c>
      <x:c r="L375" s="50" t="str">
        <x:v>https://github.com/plourr03/wolves-front-office/blob/5d152a169188fb9b210186a7a0d3403d4081ed38/kuminga/data/roster_snapshot_2026_27_v3.csv</x:v>
      </x:c>
      <x:c r="M375" s="50" t="str">
        <x:v>https://github.com/ballacademy/NBA-head-to-head-/blob/5b1decfc31ffb645469c7ffbd01aaca4b18181bd/data/nba-stats/nba-player-stats-202526-regular-season-per-game.csv</x:v>
      </x:c>
    </x:row>
    <x:row r="376">
      <x:c r="A376" s="48" t="str">
        <x:v>Baba Miller</x:v>
      </x:c>
      <x:c r="B376" s="48" t="n">
        <x:v>371</x:v>
      </x:c>
      <x:c r="C376" s="48" t="str">
        <x:v>PF</x:v>
      </x:c>
      <x:c r="D376" s="48" t="n">
        <x:v>55</x:v>
      </x:c>
      <x:c r="E376" s="48" t="n">
        <x:v>0</x:v>
      </x:c>
      <x:c r="F376" s="48" t="n">
        <x:v>3.5</x:v>
      </x:c>
      <x:c r="G376" s="48" t="str">
        <x:v>VERY_DEEP</x:v>
      </x:c>
      <x:c r="H376" s="48"/>
      <x:c r="I376" s="48"/>
      <x:c r="J376" s="48" t="str">
        <x:v>Rookie/depth role estimate</x:v>
      </x:c>
      <x:c r="K376" s="50" t="str">
        <x:v>Rookie/depth role estimate with a wide band and limited NBA evidence. Treat as a watch-list projection, not a published forecast.</x:v>
      </x:c>
      <x:c r="L376" s="50" t="str">
        <x:v>https://github.com/A-V29/NBA.Rosters/blob/main/2026.Summer.League.json</x:v>
      </x:c>
      <x:c r="M376" s="50" t="str">
        <x:v>https://github.com/ballacademy/NBA-head-to-head-/blob/5b1decfc31ffb645469c7ffbd01aaca4b18181bd/data/nba-stats/nba-player-stats-202526-regular-season-per-game.csv</x:v>
      </x:c>
    </x:row>
    <x:row r="377">
      <x:c r="A377" s="48" t="str">
        <x:v>Sion James</x:v>
      </x:c>
      <x:c r="B377" s="48" t="n">
        <x:v>372</x:v>
      </x:c>
      <x:c r="C377" s="48" t="str">
        <x:v>SF</x:v>
      </x:c>
      <x:c r="D377" s="48" t="n">
        <x:v>60</x:v>
      </x:c>
      <x:c r="E377" s="48" t="n">
        <x:v>0</x:v>
      </x:c>
      <x:c r="F377" s="48" t="n">
        <x:v>3.5</x:v>
      </x:c>
      <x:c r="G377" s="48" t="str">
        <x:v>DEEP</x:v>
      </x:c>
      <x:c r="H377" s="48"/>
      <x:c r="I377" s="48"/>
      <x:c r="J377" s="48" t="str">
        <x:v>2025-26 custom-score + role shrink</x:v>
      </x:c>
      <x:c r="K377" s="50" t="str">
        <x:v>Deep-pool model: 2025-26 custom-score production shrunk toward a conservative 2026-27 role estimate; not a published projection.</x:v>
      </x:c>
      <x:c r="L377" s="50" t="str">
        <x:v>https://github.com/plourr03/wolves-front-office/blob/5d152a169188fb9b210186a7a0d3403d4081ed38/kuminga/data/roster_snapshot_2026_27_v3.csv</x:v>
      </x:c>
      <x:c r="M377" s="50" t="str">
        <x:v>https://github.com/ballacademy/NBA-head-to-head-/blob/5b1decfc31ffb645469c7ffbd01aaca4b18181bd/data/nba-stats/nba-player-stats-202526-regular-season-per-game.csv</x:v>
      </x:c>
    </x:row>
    <x:row r="378">
      <x:c r="A378" s="48" t="str">
        <x:v>Mouhamed Gueye</x:v>
      </x:c>
      <x:c r="B378" s="48" t="n">
        <x:v>373</x:v>
      </x:c>
      <x:c r="C378" s="48" t="str">
        <x:v>PF</x:v>
      </x:c>
      <x:c r="D378" s="48" t="n">
        <x:v>60</x:v>
      </x:c>
      <x:c r="E378" s="48" t="n">
        <x:v>0</x:v>
      </x:c>
      <x:c r="F378" s="48" t="n">
        <x:v>3.5</x:v>
      </x:c>
      <x:c r="G378" s="48" t="str">
        <x:v>DEEP</x:v>
      </x:c>
      <x:c r="H378" s="48"/>
      <x:c r="I378" s="48"/>
      <x:c r="J378" s="48" t="str">
        <x:v>2025-26 custom-score + role shrink</x:v>
      </x:c>
      <x:c r="K378" s="50" t="str">
        <x:v>Deep-pool model: 2025-26 custom-score production shrunk toward a conservative 2026-27 role estimate; not a published projection.</x:v>
      </x:c>
      <x:c r="L378" s="50" t="str">
        <x:v>https://github.com/plourr03/wolves-front-office/blob/5d152a169188fb9b210186a7a0d3403d4081ed38/kuminga/data/roster_snapshot_2026_27_v3.csv</x:v>
      </x:c>
      <x:c r="M378" s="50" t="str">
        <x:v>https://github.com/ballacademy/NBA-head-to-head-/blob/5b1decfc31ffb645469c7ffbd01aaca4b18181bd/data/nba-stats/nba-player-stats-202526-regular-season-per-game.csv</x:v>
      </x:c>
    </x:row>
    <x:row r="379">
      <x:c r="A379" s="48" t="str">
        <x:v>Kobe Sanders</x:v>
      </x:c>
      <x:c r="B379" s="48" t="n">
        <x:v>374</x:v>
      </x:c>
      <x:c r="C379" s="48" t="str">
        <x:v>PG</x:v>
      </x:c>
      <x:c r="D379" s="48" t="n">
        <x:v>60</x:v>
      </x:c>
      <x:c r="E379" s="48" t="n">
        <x:v>0</x:v>
      </x:c>
      <x:c r="F379" s="48" t="n">
        <x:v>3.5</x:v>
      </x:c>
      <x:c r="G379" s="48" t="str">
        <x:v>DEEP</x:v>
      </x:c>
      <x:c r="H379" s="48"/>
      <x:c r="I379" s="48"/>
      <x:c r="J379" s="48" t="str">
        <x:v>2025-26 custom-score + role shrink</x:v>
      </x:c>
      <x:c r="K379" s="50" t="str">
        <x:v>Deep-pool model: 2025-26 custom-score production shrunk toward a conservative 2026-27 role estimate; not a published projection.</x:v>
      </x:c>
      <x:c r="L379" s="50" t="str">
        <x:v>https://github.com/plourr03/wolves-front-office/blob/5d152a169188fb9b210186a7a0d3403d4081ed38/kuminga/data/roster_snapshot_2026_27_v3.csv</x:v>
      </x:c>
      <x:c r="M379" s="50" t="str">
        <x:v>https://github.com/ballacademy/NBA-head-to-head-/blob/5b1decfc31ffb645469c7ffbd01aaca4b18181bd/data/nba-stats/nba-player-stats-202526-regular-season-per-game.csv</x:v>
      </x:c>
    </x:row>
    <x:row r="380">
      <x:c r="A380" s="48" t="str">
        <x:v>John Poulakidas</x:v>
      </x:c>
      <x:c r="B380" s="48" t="n">
        <x:v>375</x:v>
      </x:c>
      <x:c r="C380" s="48" t="str">
        <x:v>SF</x:v>
      </x:c>
      <x:c r="D380" s="48" t="n">
        <x:v>64</x:v>
      </x:c>
      <x:c r="E380" s="48" t="n">
        <x:v>0</x:v>
      </x:c>
      <x:c r="F380" s="48" t="n">
        <x:v>3.5</x:v>
      </x:c>
      <x:c r="G380" s="48" t="str">
        <x:v>VERY_DEEP</x:v>
      </x:c>
      <x:c r="H380" s="48"/>
      <x:c r="I380" s="48"/>
      <x:c r="J380" s="48" t="str">
        <x:v>2025-26 custom-score + role shrink</x:v>
      </x:c>
      <x:c r="K380" s="50" t="str">
        <x:v>Very-deep model estimate with limited sample/role certainty. Use as a search/watch-list value and refresh once final rotations are known.</x:v>
      </x:c>
      <x:c r="L380" s="50" t="str">
        <x:v>https://github.com/A-V29/NBA.Rosters/blob/main/2026.Summer.League.json</x:v>
      </x:c>
      <x:c r="M380" s="50" t="str">
        <x:v>https://github.com/ballacademy/NBA-head-to-head-/blob/5b1decfc31ffb645469c7ffbd01aaca4b18181bd/data/nba-stats/nba-player-stats-202526-regular-season-per-game.csv</x:v>
      </x:c>
    </x:row>
    <x:row r="381">
      <x:c r="A381" s="48" t="str">
        <x:v>Bogoljub Marković</x:v>
      </x:c>
      <x:c r="B381" s="48" t="n">
        <x:v>376</x:v>
      </x:c>
      <x:c r="C381" s="48" t="str">
        <x:v>PF</x:v>
      </x:c>
      <x:c r="D381" s="48" t="n">
        <x:v>55</x:v>
      </x:c>
      <x:c r="E381" s="48" t="n">
        <x:v>0</x:v>
      </x:c>
      <x:c r="F381" s="48" t="n">
        <x:v>3.5</x:v>
      </x:c>
      <x:c r="G381" s="48" t="str">
        <x:v>VERY_DEEP</x:v>
      </x:c>
      <x:c r="H381" s="48"/>
      <x:c r="I381" s="48"/>
      <x:c r="J381" s="48" t="str">
        <x:v>Rookie/depth role estimate</x:v>
      </x:c>
      <x:c r="K381" s="50" t="str">
        <x:v>Rookie/depth role estimate with a wide band and limited NBA evidence. Treat as a watch-list projection, not a published forecast.</x:v>
      </x:c>
      <x:c r="L381" s="50" t="str">
        <x:v>https://github.com/A-V29/NBA.Rosters/blob/main/2026.Summer.League.json</x:v>
      </x:c>
      <x:c r="M381" s="50" t="str">
        <x:v>https://github.com/ballacademy/NBA-head-to-head-/blob/5b1decfc31ffb645469c7ffbd01aaca4b18181bd/data/nba-stats/nba-player-stats-202526-regular-season-per-game.csv</x:v>
      </x:c>
    </x:row>
    <x:row r="382">
      <x:c r="A382" s="48" t="str">
        <x:v>Jaden Hardy</x:v>
      </x:c>
      <x:c r="B382" s="48" t="n">
        <x:v>377</x:v>
      </x:c>
      <x:c r="C382" s="48" t="str">
        <x:v>SG</x:v>
      </x:c>
      <x:c r="D382" s="48" t="n">
        <x:v>60</x:v>
      </x:c>
      <x:c r="E382" s="48" t="n">
        <x:v>0</x:v>
      </x:c>
      <x:c r="F382" s="48" t="n">
        <x:v>3.5</x:v>
      </x:c>
      <x:c r="G382" s="48" t="str">
        <x:v>DEEP</x:v>
      </x:c>
      <x:c r="H382" s="48"/>
      <x:c r="I382" s="48"/>
      <x:c r="J382" s="48" t="str">
        <x:v>2025-26 custom-score + role shrink</x:v>
      </x:c>
      <x:c r="K382" s="50" t="str">
        <x:v>Deep-pool model: 2025-26 custom-score production shrunk toward a conservative 2026-27 role estimate; not a published projection.</x:v>
      </x:c>
      <x:c r="L382" s="50" t="str">
        <x:v>https://github.com/plourr03/wolves-front-office/blob/5d152a169188fb9b210186a7a0d3403d4081ed38/kuminga/data/roster_snapshot_2026_27_v3.csv</x:v>
      </x:c>
      <x:c r="M382" s="50" t="str">
        <x:v>https://github.com/ballacademy/NBA-head-to-head-/blob/5b1decfc31ffb645469c7ffbd01aaca4b18181bd/data/nba-stats/nba-player-stats-202526-regular-season-per-game.csv</x:v>
      </x:c>
    </x:row>
    <x:row r="383">
      <x:c r="A383" s="48" t="str">
        <x:v>Bruce Thornton</x:v>
      </x:c>
      <x:c r="B383" s="48" t="n">
        <x:v>378</x:v>
      </x:c>
      <x:c r="C383" s="48" t="str">
        <x:v>PG</x:v>
      </x:c>
      <x:c r="D383" s="48" t="n">
        <x:v>55</x:v>
      </x:c>
      <x:c r="E383" s="48" t="n">
        <x:v>0</x:v>
      </x:c>
      <x:c r="F383" s="48" t="n">
        <x:v>3.5</x:v>
      </x:c>
      <x:c r="G383" s="48" t="str">
        <x:v>VERY_DEEP</x:v>
      </x:c>
      <x:c r="H383" s="48"/>
      <x:c r="I383" s="48"/>
      <x:c r="J383" s="48" t="str">
        <x:v>Rookie/depth role estimate</x:v>
      </x:c>
      <x:c r="K383" s="50" t="str">
        <x:v>Rookie/depth role estimate with a wide band and limited NBA evidence. Treat as a watch-list projection, not a published forecast.</x:v>
      </x:c>
      <x:c r="L383" s="50" t="str">
        <x:v>https://github.com/A-V29/NBA.Rosters/blob/main/2026.Summer.League.json</x:v>
      </x:c>
      <x:c r="M383" s="50" t="str">
        <x:v>https://github.com/ballacademy/NBA-head-to-head-/blob/5b1decfc31ffb645469c7ffbd01aaca4b18181bd/data/nba-stats/nba-player-stats-202526-regular-season-per-game.csv</x:v>
      </x:c>
    </x:row>
    <x:row r="384">
      <x:c r="A384" s="48" t="str">
        <x:v>Johnny Furphy</x:v>
      </x:c>
      <x:c r="B384" s="48" t="n">
        <x:v>379</x:v>
      </x:c>
      <x:c r="C384" s="48" t="str">
        <x:v>SG</x:v>
      </x:c>
      <x:c r="D384" s="48" t="n">
        <x:v>60</x:v>
      </x:c>
      <x:c r="E384" s="48" t="n">
        <x:v>0</x:v>
      </x:c>
      <x:c r="F384" s="48" t="n">
        <x:v>3.5</x:v>
      </x:c>
      <x:c r="G384" s="48" t="str">
        <x:v>DEEP</x:v>
      </x:c>
      <x:c r="H384" s="48"/>
      <x:c r="I384" s="48"/>
      <x:c r="J384" s="48" t="str">
        <x:v>2025-26 custom-score + role shrink</x:v>
      </x:c>
      <x:c r="K384" s="50" t="str">
        <x:v>Deep-pool model: 2025-26 custom-score production shrunk toward a conservative 2026-27 role estimate; not a published projection.</x:v>
      </x:c>
      <x:c r="L384" s="50" t="str">
        <x:v>https://github.com/plourr03/wolves-front-office/blob/5d152a169188fb9b210186a7a0d3403d4081ed38/kuminga/data/roster_snapshot_2026_27_v3.csv</x:v>
      </x:c>
      <x:c r="M384" s="50" t="str">
        <x:v>https://github.com/ballacademy/NBA-head-to-head-/blob/5b1decfc31ffb645469c7ffbd01aaca4b18181bd/data/nba-stats/nba-player-stats-202526-regular-season-per-game.csv</x:v>
      </x:c>
    </x:row>
    <x:row r="385">
      <x:c r="A385" s="48" t="str">
        <x:v>Emanuel Sharp</x:v>
      </x:c>
      <x:c r="B385" s="48" t="n">
        <x:v>380</x:v>
      </x:c>
      <x:c r="C385" s="48" t="str">
        <x:v>SG</x:v>
      </x:c>
      <x:c r="D385" s="48" t="n">
        <x:v>55</x:v>
      </x:c>
      <x:c r="E385" s="48" t="n">
        <x:v>0</x:v>
      </x:c>
      <x:c r="F385" s="48" t="n">
        <x:v>3.5</x:v>
      </x:c>
      <x:c r="G385" s="48" t="str">
        <x:v>VERY_DEEP</x:v>
      </x:c>
      <x:c r="H385" s="48"/>
      <x:c r="I385" s="48"/>
      <x:c r="J385" s="48" t="str">
        <x:v>Rookie/depth role estimate</x:v>
      </x:c>
      <x:c r="K385" s="50" t="str">
        <x:v>Rookie/depth role estimate with a wide band and limited NBA evidence. Treat as a watch-list projection, not a published forecast.</x:v>
      </x:c>
      <x:c r="L385" s="50" t="str">
        <x:v>https://github.com/A-V29/NBA.Rosters/blob/main/2026.Summer.League.json</x:v>
      </x:c>
      <x:c r="M385" s="50" t="str">
        <x:v>https://github.com/ballacademy/NBA-head-to-head-/blob/5b1decfc31ffb645469c7ffbd01aaca4b18181bd/data/nba-stats/nba-player-stats-202526-regular-season-per-game.csv</x:v>
      </x:c>
    </x:row>
    <x:row r="386">
      <x:c r="A386" s="48" t="str">
        <x:v>Isaiah Evans</x:v>
      </x:c>
      <x:c r="B386" s="48" t="n">
        <x:v>381</x:v>
      </x:c>
      <x:c r="C386" s="48" t="str">
        <x:v>SF</x:v>
      </x:c>
      <x:c r="D386" s="48" t="n">
        <x:v>55</x:v>
      </x:c>
      <x:c r="E386" s="48" t="n">
        <x:v>0</x:v>
      </x:c>
      <x:c r="F386" s="48" t="n">
        <x:v>3.5</x:v>
      </x:c>
      <x:c r="G386" s="48" t="str">
        <x:v>VERY_DEEP</x:v>
      </x:c>
      <x:c r="H386" s="48"/>
      <x:c r="I386" s="48"/>
      <x:c r="J386" s="48" t="str">
        <x:v>Rookie/depth role estimate</x:v>
      </x:c>
      <x:c r="K386" s="50" t="str">
        <x:v>Rookie/depth role estimate with a wide band and limited NBA evidence. Treat as a watch-list projection, not a published forecast.</x:v>
      </x:c>
      <x:c r="L386" s="50" t="str">
        <x:v>https://github.com/A-V29/NBA.Rosters/blob/main/2026.Summer.League.json</x:v>
      </x:c>
      <x:c r="M386" s="50" t="str">
        <x:v>https://github.com/ballacademy/NBA-head-to-head-/blob/5b1decfc31ffb645469c7ffbd01aaca4b18181bd/data/nba-stats/nba-player-stats-202526-regular-season-per-game.csv</x:v>
      </x:c>
    </x:row>
    <x:row r="387">
      <x:c r="A387" s="48" t="str">
        <x:v>Meleek Thomas</x:v>
      </x:c>
      <x:c r="B387" s="48" t="n">
        <x:v>382</x:v>
      </x:c>
      <x:c r="C387" s="48" t="str">
        <x:v>PG</x:v>
      </x:c>
      <x:c r="D387" s="48" t="n">
        <x:v>55</x:v>
      </x:c>
      <x:c r="E387" s="48" t="n">
        <x:v>0</x:v>
      </x:c>
      <x:c r="F387" s="48" t="n">
        <x:v>3.5</x:v>
      </x:c>
      <x:c r="G387" s="48" t="str">
        <x:v>VERY_DEEP</x:v>
      </x:c>
      <x:c r="H387" s="48"/>
      <x:c r="I387" s="48"/>
      <x:c r="J387" s="48" t="str">
        <x:v>Rookie/depth role estimate</x:v>
      </x:c>
      <x:c r="K387" s="50" t="str">
        <x:v>Rookie/depth role estimate with a wide band and limited NBA evidence. Treat as a watch-list projection, not a published forecast.</x:v>
      </x:c>
      <x:c r="L387" s="50" t="str">
        <x:v>https://github.com/A-V29/NBA.Rosters/blob/main/2026.Summer.League.json</x:v>
      </x:c>
      <x:c r="M387" s="50" t="str">
        <x:v>https://github.com/ballacademy/NBA-head-to-head-/blob/5b1decfc31ffb645469c7ffbd01aaca4b18181bd/data/nba-stats/nba-player-stats-202526-regular-season-per-game.csv</x:v>
      </x:c>
    </x:row>
    <x:row r="388">
      <x:c r="A388" s="48" t="str">
        <x:v>Ryan Conwell</x:v>
      </x:c>
      <x:c r="B388" s="48" t="n">
        <x:v>383</x:v>
      </x:c>
      <x:c r="C388" s="48" t="str">
        <x:v>SG</x:v>
      </x:c>
      <x:c r="D388" s="48" t="n">
        <x:v>55</x:v>
      </x:c>
      <x:c r="E388" s="48" t="n">
        <x:v>0</x:v>
      </x:c>
      <x:c r="F388" s="48" t="n">
        <x:v>3.5</x:v>
      </x:c>
      <x:c r="G388" s="48" t="str">
        <x:v>VERY_DEEP</x:v>
      </x:c>
      <x:c r="H388" s="48"/>
      <x:c r="I388" s="48"/>
      <x:c r="J388" s="48" t="str">
        <x:v>Rookie/depth role estimate</x:v>
      </x:c>
      <x:c r="K388" s="50" t="str">
        <x:v>Rookie/depth role estimate with a wide band and limited NBA evidence. Treat as a watch-list projection, not a published forecast.</x:v>
      </x:c>
      <x:c r="L388" s="50" t="str">
        <x:v>https://github.com/A-V29/NBA.Rosters/blob/main/2026.Summer.League.json</x:v>
      </x:c>
      <x:c r="M388" s="50" t="str">
        <x:v>https://github.com/ballacademy/NBA-head-to-head-/blob/5b1decfc31ffb645469c7ffbd01aaca4b18181bd/data/nba-stats/nba-player-stats-202526-regular-season-per-game.csv</x:v>
      </x:c>
    </x:row>
    <x:row r="389">
      <x:c r="A389" s="48" t="str">
        <x:v>Matisse Thybulle</x:v>
      </x:c>
      <x:c r="B389" s="48" t="n">
        <x:v>384</x:v>
      </x:c>
      <x:c r="C389" s="48" t="str">
        <x:v>SG</x:v>
      </x:c>
      <x:c r="D389" s="48" t="n">
        <x:v>60</x:v>
      </x:c>
      <x:c r="E389" s="48" t="n">
        <x:v>0</x:v>
      </x:c>
      <x:c r="F389" s="48" t="n">
        <x:v>3.5</x:v>
      </x:c>
      <x:c r="G389" s="48" t="str">
        <x:v>DEEP</x:v>
      </x:c>
      <x:c r="H389" s="48"/>
      <x:c r="I389" s="48"/>
      <x:c r="J389" s="48" t="str">
        <x:v>2025-26 custom-score + role shrink</x:v>
      </x:c>
      <x:c r="K389" s="50" t="str">
        <x:v>Deep-pool model: 2025-26 custom-score production shrunk toward a conservative 2026-27 role estimate; not a published projection.</x:v>
      </x:c>
      <x:c r="L389" s="50" t="str">
        <x:v>https://github.com/plourr03/wolves-front-office/blob/5d152a169188fb9b210186a7a0d3403d4081ed38/kuminga/data/roster_snapshot_2026_27_v3.csv</x:v>
      </x:c>
      <x:c r="M389" s="50" t="str">
        <x:v>https://github.com/ballacademy/NBA-head-to-head-/blob/5b1decfc31ffb645469c7ffbd01aaca4b18181bd/data/nba-stats/nba-player-stats-202526-regular-season-per-game.csv</x:v>
      </x:c>
    </x:row>
    <x:row r="390">
      <x:c r="A390" s="48" t="str">
        <x:v>Moussa Cisse</x:v>
      </x:c>
      <x:c r="B390" s="48" t="n">
        <x:v>385</x:v>
      </x:c>
      <x:c r="C390" s="48" t="str">
        <x:v>PF</x:v>
      </x:c>
      <x:c r="D390" s="48" t="n">
        <x:v>42</x:v>
      </x:c>
      <x:c r="E390" s="48" t="n">
        <x:v>0</x:v>
      </x:c>
      <x:c r="F390" s="48" t="n">
        <x:v>3.5</x:v>
      </x:c>
      <x:c r="G390" s="48" t="str">
        <x:v>VERY_DEEP</x:v>
      </x:c>
      <x:c r="H390" s="48"/>
      <x:c r="I390" s="48"/>
      <x:c r="J390" s="48" t="str">
        <x:v>2025-26 custom-score + role shrink</x:v>
      </x:c>
      <x:c r="K390" s="50" t="str">
        <x:v>Very-deep roster candidate. Non-guaranteed status and role uncertainty are discounted; verify final roster before draft use.</x:v>
      </x:c>
      <x:c r="L390" s="50" t="str">
        <x:v>https://github.com/plourr03/wolves-front-office/blob/5d152a169188fb9b210186a7a0d3403d4081ed38/kuminga/data/roster_snapshot_2026_27_v3.csv</x:v>
      </x:c>
      <x:c r="M390" s="50" t="str">
        <x:v>https://github.com/ballacademy/NBA-head-to-head-/blob/5b1decfc31ffb645469c7ffbd01aaca4b18181bd/data/nba-stats/nba-player-stats-202526-regular-season-per-game.csv</x:v>
      </x:c>
    </x:row>
    <x:row r="391">
      <x:c r="A391" s="48" t="str">
        <x:v>Julian Strawther</x:v>
      </x:c>
      <x:c r="B391" s="48" t="n">
        <x:v>386</x:v>
      </x:c>
      <x:c r="C391" s="48" t="str">
        <x:v>SF</x:v>
      </x:c>
      <x:c r="D391" s="48" t="n">
        <x:v>60</x:v>
      </x:c>
      <x:c r="E391" s="48" t="n">
        <x:v>0</x:v>
      </x:c>
      <x:c r="F391" s="48" t="n">
        <x:v>3.5</x:v>
      </x:c>
      <x:c r="G391" s="48" t="str">
        <x:v>DEEP</x:v>
      </x:c>
      <x:c r="H391" s="48"/>
      <x:c r="I391" s="48"/>
      <x:c r="J391" s="48" t="str">
        <x:v>2025-26 custom-score + role shrink</x:v>
      </x:c>
      <x:c r="K391" s="50" t="str">
        <x:v>Deep-pool model: 2025-26 custom-score production shrunk toward a conservative 2026-27 role estimate; not a published projection.</x:v>
      </x:c>
      <x:c r="L391" s="50" t="str">
        <x:v>https://github.com/plourr03/wolves-front-office/blob/5d152a169188fb9b210186a7a0d3403d4081ed38/kuminga/data/roster_snapshot_2026_27_v3.csv</x:v>
      </x:c>
      <x:c r="M391" s="50" t="str">
        <x:v>https://github.com/ballacademy/NBA-head-to-head-/blob/5b1decfc31ffb645469c7ffbd01aaca4b18181bd/data/nba-stats/nba-player-stats-202526-regular-season-per-game.csv</x:v>
      </x:c>
    </x:row>
    <x:row r="392">
      <x:c r="A392" s="48" t="str">
        <x:v>Justin Edwards</x:v>
      </x:c>
      <x:c r="B392" s="48" t="n">
        <x:v>387</x:v>
      </x:c>
      <x:c r="C392" s="48" t="str">
        <x:v>SG</x:v>
      </x:c>
      <x:c r="D392" s="48" t="n">
        <x:v>60</x:v>
      </x:c>
      <x:c r="E392" s="48" t="n">
        <x:v>0</x:v>
      </x:c>
      <x:c r="F392" s="48" t="n">
        <x:v>3.5</x:v>
      </x:c>
      <x:c r="G392" s="48" t="str">
        <x:v>DEEP</x:v>
      </x:c>
      <x:c r="H392" s="48"/>
      <x:c r="I392" s="48"/>
      <x:c r="J392" s="48" t="str">
        <x:v>2025-26 custom-score + role shrink</x:v>
      </x:c>
      <x:c r="K392" s="50" t="str">
        <x:v>Deep-pool model: 2025-26 custom-score production shrunk toward a conservative 2026-27 role estimate; not a published projection.</x:v>
      </x:c>
      <x:c r="L392" s="50" t="str">
        <x:v>https://github.com/plourr03/wolves-front-office/blob/5d152a169188fb9b210186a7a0d3403d4081ed38/kuminga/data/roster_snapshot_2026_27_v3.csv</x:v>
      </x:c>
      <x:c r="M392" s="50" t="str">
        <x:v>https://github.com/ballacademy/NBA-head-to-head-/blob/5b1decfc31ffb645469c7ffbd01aaca4b18181bd/data/nba-stats/nba-player-stats-202526-regular-season-per-game.csv</x:v>
      </x:c>
    </x:row>
    <x:row r="393">
      <x:c r="A393" s="48" t="str">
        <x:v>Asa Newell</x:v>
      </x:c>
      <x:c r="B393" s="48" t="n">
        <x:v>388</x:v>
      </x:c>
      <x:c r="C393" s="48" t="str">
        <x:v>PF</x:v>
      </x:c>
      <x:c r="D393" s="48" t="n">
        <x:v>64</x:v>
      </x:c>
      <x:c r="E393" s="48" t="n">
        <x:v>0</x:v>
      </x:c>
      <x:c r="F393" s="48" t="n">
        <x:v>3.5</x:v>
      </x:c>
      <x:c r="G393" s="48" t="str">
        <x:v>DEEP</x:v>
      </x:c>
      <x:c r="H393" s="48"/>
      <x:c r="I393" s="48"/>
      <x:c r="J393" s="48" t="str">
        <x:v>2025-26 custom-score + role shrink</x:v>
      </x:c>
      <x:c r="K393" s="50" t="str">
        <x:v>Deep-pool model: 2025-26 custom-score production shrunk toward a conservative 2026-27 role estimate; not a published projection.</x:v>
      </x:c>
      <x:c r="L393" s="50" t="str">
        <x:v>https://github.com/A-V29/NBA.Rosters/blob/main/2026.Summer.League.json</x:v>
      </x:c>
      <x:c r="M393" s="50" t="str">
        <x:v>https://github.com/ballacademy/NBA-head-to-head-/blob/5b1decfc31ffb645469c7ffbd01aaca4b18181bd/data/nba-stats/nba-player-stats-202526-regular-season-per-game.csv</x:v>
      </x:c>
    </x:row>
    <x:row r="394">
      <x:c r="A394" s="48" t="str">
        <x:v>Drake Powell</x:v>
      </x:c>
      <x:c r="B394" s="48" t="n">
        <x:v>389</x:v>
      </x:c>
      <x:c r="C394" s="48" t="str">
        <x:v>SF</x:v>
      </x:c>
      <x:c r="D394" s="48" t="n">
        <x:v>64</x:v>
      </x:c>
      <x:c r="E394" s="48" t="n">
        <x:v>0</x:v>
      </x:c>
      <x:c r="F394" s="48" t="n">
        <x:v>3.5</x:v>
      </x:c>
      <x:c r="G394" s="48" t="str">
        <x:v>DEEP</x:v>
      </x:c>
      <x:c r="H394" s="48"/>
      <x:c r="I394" s="48"/>
      <x:c r="J394" s="48" t="str">
        <x:v>2025-26 custom-score + role shrink</x:v>
      </x:c>
      <x:c r="K394" s="50" t="str">
        <x:v>Deep-pool model: 2025-26 custom-score production shrunk toward a conservative 2026-27 role estimate; not a published projection.</x:v>
      </x:c>
      <x:c r="L394" s="50" t="str">
        <x:v>https://github.com/A-V29/NBA.Rosters/blob/main/2026.Summer.League.json</x:v>
      </x:c>
      <x:c r="M394" s="50" t="str">
        <x:v>https://github.com/ballacademy/NBA-head-to-head-/blob/5b1decfc31ffb645469c7ffbd01aaca4b18181bd/data/nba-stats/nba-player-stats-202526-regular-season-per-game.csv</x:v>
      </x:c>
    </x:row>
    <x:row r="395">
      <x:c r="A395" s="48" t="str">
        <x:v>Sidy Cissoko</x:v>
      </x:c>
      <x:c r="B395" s="48" t="n">
        <x:v>390</x:v>
      </x:c>
      <x:c r="C395" s="48" t="str">
        <x:v>SG</x:v>
      </x:c>
      <x:c r="D395" s="48" t="n">
        <x:v>60</x:v>
      </x:c>
      <x:c r="E395" s="48" t="n">
        <x:v>0</x:v>
      </x:c>
      <x:c r="F395" s="48" t="n">
        <x:v>3.5</x:v>
      </x:c>
      <x:c r="G395" s="48" t="str">
        <x:v>DEEP</x:v>
      </x:c>
      <x:c r="H395" s="48"/>
      <x:c r="I395" s="48"/>
      <x:c r="J395" s="48" t="str">
        <x:v>2025-26 custom-score + role shrink</x:v>
      </x:c>
      <x:c r="K395" s="50" t="str">
        <x:v>Deep-pool model: 2025-26 custom-score production shrunk toward a conservative 2026-27 role estimate; not a published projection.</x:v>
      </x:c>
      <x:c r="L395" s="50" t="str">
        <x:v>https://github.com/plourr03/wolves-front-office/blob/5d152a169188fb9b210186a7a0d3403d4081ed38/kuminga/data/roster_snapshot_2026_27_v3.csv</x:v>
      </x:c>
      <x:c r="M395" s="50" t="str">
        <x:v>https://github.com/ballacademy/NBA-head-to-head-/blob/5b1decfc31ffb645469c7ffbd01aaca4b18181bd/data/nba-stats/nba-player-stats-202526-regular-season-per-game.csv</x:v>
      </x:c>
    </x:row>
    <x:row r="396">
      <x:c r="A396" s="48" t="str">
        <x:v>Trevon Brazile</x:v>
      </x:c>
      <x:c r="B396" s="48" t="n">
        <x:v>391</x:v>
      </x:c>
      <x:c r="C396" s="48" t="str">
        <x:v>C</x:v>
      </x:c>
      <x:c r="D396" s="48" t="n">
        <x:v>55</x:v>
      </x:c>
      <x:c r="E396" s="48" t="n">
        <x:v>0</x:v>
      </x:c>
      <x:c r="F396" s="48" t="n">
        <x:v>3.5</x:v>
      </x:c>
      <x:c r="G396" s="48" t="str">
        <x:v>VERY_DEEP</x:v>
      </x:c>
      <x:c r="H396" s="48"/>
      <x:c r="I396" s="48"/>
      <x:c r="J396" s="48" t="str">
        <x:v>Rookie/depth role estimate</x:v>
      </x:c>
      <x:c r="K396" s="50" t="str">
        <x:v>Rookie/depth role estimate with a wide band and limited NBA evidence. Treat as a watch-list projection, not a published forecast.</x:v>
      </x:c>
      <x:c r="L396" s="50" t="str">
        <x:v>https://github.com/A-V29/NBA.Rosters/blob/main/2026.Summer.League.json</x:v>
      </x:c>
      <x:c r="M396" s="50" t="str">
        <x:v>https://github.com/ballacademy/NBA-head-to-head-/blob/5b1decfc31ffb645469c7ffbd01aaca4b18181bd/data/nba-stats/nba-player-stats-202526-regular-season-per-game.csv</x:v>
      </x:c>
    </x:row>
    <x:row r="397">
      <x:c r="A397" s="48" t="str">
        <x:v>Noah Penda</x:v>
      </x:c>
      <x:c r="B397" s="48" t="n">
        <x:v>392</x:v>
      </x:c>
      <x:c r="C397" s="48" t="str">
        <x:v>PF</x:v>
      </x:c>
      <x:c r="D397" s="48" t="n">
        <x:v>64</x:v>
      </x:c>
      <x:c r="E397" s="48" t="n">
        <x:v>0</x:v>
      </x:c>
      <x:c r="F397" s="48" t="n">
        <x:v>3.5</x:v>
      </x:c>
      <x:c r="G397" s="48" t="str">
        <x:v>DEEP</x:v>
      </x:c>
      <x:c r="H397" s="48"/>
      <x:c r="I397" s="48"/>
      <x:c r="J397" s="48" t="str">
        <x:v>2025-26 custom-score + role shrink</x:v>
      </x:c>
      <x:c r="K397" s="50" t="str">
        <x:v>Deep-pool model: 2025-26 custom-score production shrunk toward a conservative 2026-27 role estimate; not a published projection.</x:v>
      </x:c>
      <x:c r="L397" s="50" t="str">
        <x:v>https://github.com/A-V29/NBA.Rosters/blob/main/2026.Summer.League.json</x:v>
      </x:c>
      <x:c r="M397" s="50" t="str">
        <x:v>https://github.com/ballacademy/NBA-head-to-head-/blob/5b1decfc31ffb645469c7ffbd01aaca4b18181bd/data/nba-stats/nba-player-stats-202526-regular-season-per-game.csv</x:v>
      </x:c>
    </x:row>
    <x:row r="398">
      <x:c r="A398" s="48" t="str">
        <x:v>Josh Okogie</x:v>
      </x:c>
      <x:c r="B398" s="48" t="n">
        <x:v>393</x:v>
      </x:c>
      <x:c r="C398" s="48" t="str">
        <x:v>SG</x:v>
      </x:c>
      <x:c r="D398" s="48" t="n">
        <x:v>60</x:v>
      </x:c>
      <x:c r="E398" s="48" t="n">
        <x:v>0</x:v>
      </x:c>
      <x:c r="F398" s="48" t="n">
        <x:v>3.5</x:v>
      </x:c>
      <x:c r="G398" s="48" t="str">
        <x:v>DEEP</x:v>
      </x:c>
      <x:c r="H398" s="48"/>
      <x:c r="I398" s="48"/>
      <x:c r="J398" s="48" t="str">
        <x:v>2025-26 custom-score + role shrink</x:v>
      </x:c>
      <x:c r="K398" s="50" t="str">
        <x:v>Deep-pool model: 2025-26 custom-score production shrunk toward a conservative 2026-27 role estimate; not a published projection.</x:v>
      </x:c>
      <x:c r="L398" s="50" t="str">
        <x:v>https://github.com/plourr03/wolves-front-office/blob/5d152a169188fb9b210186a7a0d3403d4081ed38/kuminga/data/roster_snapshot_2026_27_v3.csv</x:v>
      </x:c>
      <x:c r="M398" s="50" t="str">
        <x:v>https://github.com/ballacademy/NBA-head-to-head-/blob/5b1decfc31ffb645469c7ffbd01aaca4b18181bd/data/nba-stats/nba-player-stats-202526-regular-season-per-game.csv</x:v>
      </x:c>
    </x:row>
    <x:row r="399">
      <x:c r="A399" s="48" t="str">
        <x:v>Trendon Watford</x:v>
      </x:c>
      <x:c r="B399" s="48" t="n">
        <x:v>394</x:v>
      </x:c>
      <x:c r="C399" s="48" t="str">
        <x:v>PF</x:v>
      </x:c>
      <x:c r="D399" s="48" t="n">
        <x:v>42</x:v>
      </x:c>
      <x:c r="E399" s="48" t="n">
        <x:v>0</x:v>
      </x:c>
      <x:c r="F399" s="48" t="n">
        <x:v>3.5</x:v>
      </x:c>
      <x:c r="G399" s="48" t="str">
        <x:v>VERY_DEEP</x:v>
      </x:c>
      <x:c r="H399" s="48"/>
      <x:c r="I399" s="48"/>
      <x:c r="J399" s="48" t="str">
        <x:v>2025-26 custom-score + role shrink</x:v>
      </x:c>
      <x:c r="K399" s="50" t="str">
        <x:v>Very-deep roster candidate. Non-guaranteed status and role uncertainty are discounted; verify final roster before draft use.</x:v>
      </x:c>
      <x:c r="L399" s="50" t="str">
        <x:v>https://github.com/plourr03/wolves-front-office/blob/5d152a169188fb9b210186a7a0d3403d4081ed38/kuminga/data/roster_snapshot_2026_27_v3.csv</x:v>
      </x:c>
      <x:c r="M399" s="50" t="str">
        <x:v>https://github.com/ballacademy/NBA-head-to-head-/blob/5b1decfc31ffb645469c7ffbd01aaca4b18181bd/data/nba-stats/nba-player-stats-202526-regular-season-per-game.csv</x:v>
      </x:c>
    </x:row>
    <x:row r="400">
      <x:c r="A400" s="48" t="str">
        <x:v>Branden Carlson</x:v>
      </x:c>
      <x:c r="B400" s="48" t="n">
        <x:v>395</x:v>
      </x:c>
      <x:c r="C400" s="48" t="str">
        <x:v>C</x:v>
      </x:c>
      <x:c r="D400" s="48" t="n">
        <x:v>60</x:v>
      </x:c>
      <x:c r="E400" s="48" t="n">
        <x:v>0</x:v>
      </x:c>
      <x:c r="F400" s="48" t="n">
        <x:v>3.5</x:v>
      </x:c>
      <x:c r="G400" s="48" t="str">
        <x:v>DEEP</x:v>
      </x:c>
      <x:c r="H400" s="48"/>
      <x:c r="I400" s="48"/>
      <x:c r="J400" s="48" t="str">
        <x:v>2025-26 custom-score + role shrink</x:v>
      </x:c>
      <x:c r="K400" s="50" t="str">
        <x:v>Deep-pool model: 2025-26 custom-score production shrunk toward a conservative 2026-27 role estimate; not a published projection.</x:v>
      </x:c>
      <x:c r="L400" s="50" t="str">
        <x:v>https://github.com/plourr03/wolves-front-office/blob/5d152a169188fb9b210186a7a0d3403d4081ed38/kuminga/data/roster_snapshot_2026_27_v3.csv</x:v>
      </x:c>
      <x:c r="M400" s="50" t="str">
        <x:v>https://github.com/ballacademy/NBA-head-to-head-/blob/5b1decfc31ffb645469c7ffbd01aaca4b18181bd/data/nba-stats/nba-player-stats-202526-regular-season-per-game.csv</x:v>
      </x:c>
    </x:row>
    <x:row r="401">
      <x:c r="A401" s="48" t="str">
        <x:v>Charles Bassey</x:v>
      </x:c>
      <x:c r="B401" s="48" t="n">
        <x:v>396</x:v>
      </x:c>
      <x:c r="C401" s="48" t="str">
        <x:v>C</x:v>
      </x:c>
      <x:c r="D401" s="48" t="n">
        <x:v>42</x:v>
      </x:c>
      <x:c r="E401" s="48" t="n">
        <x:v>0</x:v>
      </x:c>
      <x:c r="F401" s="48" t="n">
        <x:v>3.5</x:v>
      </x:c>
      <x:c r="G401" s="48" t="str">
        <x:v>VERY_DEEP</x:v>
      </x:c>
      <x:c r="H401" s="48"/>
      <x:c r="I401" s="48"/>
      <x:c r="J401" s="48" t="str">
        <x:v>2025-26 custom-score + role shrink</x:v>
      </x:c>
      <x:c r="K401" s="50" t="str">
        <x:v>Very-deep roster candidate. Non-guaranteed status and role uncertainty are discounted; verify final roster before draft use.</x:v>
      </x:c>
      <x:c r="L401" s="50" t="str">
        <x:v>https://github.com/plourr03/wolves-front-office/blob/5d152a169188fb9b210186a7a0d3403d4081ed38/kuminga/data/roster_snapshot_2026_27_v3.csv</x:v>
      </x:c>
      <x:c r="M401" s="50" t="str">
        <x:v>https://github.com/ballacademy/NBA-head-to-head-/blob/5b1decfc31ffb645469c7ffbd01aaca4b18181bd/data/nba-stats/nba-player-stats-202526-regular-season-per-game.csv</x:v>
      </x:c>
    </x:row>
    <x:row r="402">
      <x:c r="A402" s="48" t="str">
        <x:v>Rob Dillingham</x:v>
      </x:c>
      <x:c r="B402" s="48" t="n">
        <x:v>397</x:v>
      </x:c>
      <x:c r="C402" s="48" t="str">
        <x:v>PG</x:v>
      </x:c>
      <x:c r="D402" s="48" t="n">
        <x:v>60</x:v>
      </x:c>
      <x:c r="E402" s="48" t="n">
        <x:v>0</x:v>
      </x:c>
      <x:c r="F402" s="48" t="n">
        <x:v>3.5</x:v>
      </x:c>
      <x:c r="G402" s="48" t="str">
        <x:v>DEEP</x:v>
      </x:c>
      <x:c r="H402" s="48"/>
      <x:c r="I402" s="48"/>
      <x:c r="J402" s="48" t="str">
        <x:v>2025-26 custom-score + role shrink</x:v>
      </x:c>
      <x:c r="K402" s="50" t="str">
        <x:v>Deep-pool model: 2025-26 custom-score production shrunk toward a conservative 2026-27 role estimate; not a published projection.</x:v>
      </x:c>
      <x:c r="L402" s="50" t="str">
        <x:v>https://github.com/plourr03/wolves-front-office/blob/5d152a169188fb9b210186a7a0d3403d4081ed38/kuminga/data/roster_snapshot_2026_27_v3.csv</x:v>
      </x:c>
      <x:c r="M402" s="50" t="str">
        <x:v>https://github.com/ballacademy/NBA-head-to-head-/blob/5b1decfc31ffb645469c7ffbd01aaca4b18181bd/data/nba-stats/nba-player-stats-202526-regular-season-per-game.csv</x:v>
      </x:c>
    </x:row>
    <x:row r="403">
      <x:c r="A403" s="48" t="str">
        <x:v>Jevon Carter</x:v>
      </x:c>
      <x:c r="B403" s="48" t="n">
        <x:v>398</x:v>
      </x:c>
      <x:c r="C403" s="48" t="str">
        <x:v>PG</x:v>
      </x:c>
      <x:c r="D403" s="48" t="n">
        <x:v>60</x:v>
      </x:c>
      <x:c r="E403" s="48" t="n">
        <x:v>0</x:v>
      </x:c>
      <x:c r="F403" s="48" t="n">
        <x:v>3.5</x:v>
      </x:c>
      <x:c r="G403" s="48" t="str">
        <x:v>DEEP</x:v>
      </x:c>
      <x:c r="H403" s="48"/>
      <x:c r="I403" s="48"/>
      <x:c r="J403" s="48" t="str">
        <x:v>2025-26 custom-score + role shrink</x:v>
      </x:c>
      <x:c r="K403" s="50" t="str">
        <x:v>Deep-pool model: 2025-26 custom-score production shrunk toward a conservative 2026-27 role estimate; not a published projection.</x:v>
      </x:c>
      <x:c r="L403" s="50" t="str">
        <x:v>https://github.com/plourr03/wolves-front-office/blob/5d152a169188fb9b210186a7a0d3403d4081ed38/kuminga/data/roster_snapshot_2026_27_v3.csv</x:v>
      </x:c>
      <x:c r="M403" s="50" t="str">
        <x:v>https://github.com/ballacademy/NBA-head-to-head-/blob/5b1decfc31ffb645469c7ffbd01aaca4b18181bd/data/nba-stats/nba-player-stats-202526-regular-season-per-game.csv</x:v>
      </x:c>
    </x:row>
    <x:row r="404">
      <x:c r="A404" s="48" t="str">
        <x:v>Hugo Gonzalez</x:v>
      </x:c>
      <x:c r="B404" s="48" t="n">
        <x:v>399</x:v>
      </x:c>
      <x:c r="C404" s="48" t="str">
        <x:v>SF</x:v>
      </x:c>
      <x:c r="D404" s="48" t="n">
        <x:v>64</x:v>
      </x:c>
      <x:c r="E404" s="48" t="n">
        <x:v>0</x:v>
      </x:c>
      <x:c r="F404" s="48" t="n">
        <x:v>3.5</x:v>
      </x:c>
      <x:c r="G404" s="48" t="str">
        <x:v>DEEP</x:v>
      </x:c>
      <x:c r="H404" s="48"/>
      <x:c r="I404" s="48"/>
      <x:c r="J404" s="48" t="str">
        <x:v>2025-26 custom-score + role shrink</x:v>
      </x:c>
      <x:c r="K404" s="50" t="str">
        <x:v>Deep-pool model: 2025-26 custom-score production shrunk toward a conservative 2026-27 role estimate; not a published projection.</x:v>
      </x:c>
      <x:c r="L404" s="50" t="str">
        <x:v>https://github.com/A-V29/NBA.Rosters/blob/main/2026.Summer.League.json</x:v>
      </x:c>
      <x:c r="M404" s="50" t="str">
        <x:v>https://github.com/ballacademy/NBA-head-to-head-/blob/5b1decfc31ffb645469c7ffbd01aaca4b18181bd/data/nba-stats/nba-player-stats-202526-regular-season-per-game.csv</x:v>
      </x:c>
    </x:row>
    <x:row r="405">
      <x:c r="A405" s="48" t="str">
        <x:v>Jahmai Mashack</x:v>
      </x:c>
      <x:c r="B405" s="48" t="n">
        <x:v>400</x:v>
      </x:c>
      <x:c r="C405" s="48" t="str">
        <x:v>SG</x:v>
      </x:c>
      <x:c r="D405" s="48" t="n">
        <x:v>64</x:v>
      </x:c>
      <x:c r="E405" s="48" t="n">
        <x:v>0</x:v>
      </x:c>
      <x:c r="F405" s="48" t="n">
        <x:v>3.5</x:v>
      </x:c>
      <x:c r="G405" s="48" t="str">
        <x:v>DEEP</x:v>
      </x:c>
      <x:c r="H405" s="48"/>
      <x:c r="I405" s="48"/>
      <x:c r="J405" s="48" t="str">
        <x:v>2025-26 custom-score + role shrink</x:v>
      </x:c>
      <x:c r="K405" s="50" t="str">
        <x:v>Deep-pool model: 2025-26 custom-score production shrunk toward a conservative 2026-27 role estimate; not a published projection.</x:v>
      </x:c>
      <x:c r="L405" s="50" t="str">
        <x:v>https://github.com/A-V29/NBA.Rosters/blob/main/2026.Summer.League.json</x:v>
      </x:c>
      <x:c r="M405" s="50" t="str">
        <x:v>https://github.com/ballacademy/NBA-head-to-head-/blob/5b1decfc31ffb645469c7ffbd01aaca4b18181bd/data/nba-stats/nba-player-stats-202526-regular-season-per-game.csv</x:v>
      </x:c>
    </x:row>
    <x:row r="406">
      <x:c r="A406" s="48" t="str">
        <x:v>Joan Beringer</x:v>
      </x:c>
      <x:c r="B406" s="48" t="n">
        <x:v>401</x:v>
      </x:c>
      <x:c r="C406" s="48" t="str">
        <x:v>C</x:v>
      </x:c>
      <x:c r="D406" s="48" t="n">
        <x:v>64</x:v>
      </x:c>
      <x:c r="E406" s="48" t="n">
        <x:v>0</x:v>
      </x:c>
      <x:c r="F406" s="48" t="n">
        <x:v>3.5</x:v>
      </x:c>
      <x:c r="G406" s="48" t="str">
        <x:v>DEEP</x:v>
      </x:c>
      <x:c r="H406" s="48"/>
      <x:c r="I406" s="48"/>
      <x:c r="J406" s="48" t="str">
        <x:v>2025-26 custom-score + role shrink</x:v>
      </x:c>
      <x:c r="K406" s="50" t="str">
        <x:v>Deep-pool model: 2025-26 custom-score production shrunk toward a conservative 2026-27 role estimate; not a published projection.</x:v>
      </x:c>
      <x:c r="L406" s="50" t="str">
        <x:v>https://github.com/A-V29/NBA.Rosters/blob/main/2026.Summer.League.json</x:v>
      </x:c>
      <x:c r="M406" s="50" t="str">
        <x:v>https://github.com/ballacademy/NBA-head-to-head-/blob/5b1decfc31ffb645469c7ffbd01aaca4b18181bd/data/nba-stats/nba-player-stats-202526-regular-season-per-game.csv</x:v>
      </x:c>
    </x:row>
    <x:row r="407">
      <x:c r="A407" s="48" t="str">
        <x:v>Pete Nance</x:v>
      </x:c>
      <x:c r="B407" s="48" t="n">
        <x:v>402</x:v>
      </x:c>
      <x:c r="C407" s="48" t="str">
        <x:v>PF</x:v>
      </x:c>
      <x:c r="D407" s="48" t="n">
        <x:v>64</x:v>
      </x:c>
      <x:c r="E407" s="48" t="n">
        <x:v>0</x:v>
      </x:c>
      <x:c r="F407" s="48" t="n">
        <x:v>3.5</x:v>
      </x:c>
      <x:c r="G407" s="48" t="str">
        <x:v>DEEP</x:v>
      </x:c>
      <x:c r="H407" s="48"/>
      <x:c r="I407" s="48"/>
      <x:c r="J407" s="48" t="str">
        <x:v>2025-26 custom-score + role shrink</x:v>
      </x:c>
      <x:c r="K407" s="50" t="str">
        <x:v>Deep-pool model: 2025-26 custom-score production shrunk toward a conservative 2026-27 role estimate; not a published projection.</x:v>
      </x:c>
      <x:c r="L407" s="50" t="str">
        <x:v>https://github.com/A-V29/NBA.Rosters/blob/main/2026.Summer.League.json</x:v>
      </x:c>
      <x:c r="M407" s="50" t="str">
        <x:v>https://github.com/ballacademy/NBA-head-to-head-/blob/5b1decfc31ffb645469c7ffbd01aaca4b18181bd/data/nba-stats/nba-player-stats-202526-regular-season-per-game.csv</x:v>
      </x:c>
    </x:row>
    <x:row r="408">
      <x:c r="A408" s="48" t="str">
        <x:v>Yanic Konan Niederhauser</x:v>
      </x:c>
      <x:c r="B408" s="48" t="n">
        <x:v>403</x:v>
      </x:c>
      <x:c r="C408" s="48" t="str">
        <x:v>PF</x:v>
      </x:c>
      <x:c r="D408" s="48" t="n">
        <x:v>60</x:v>
      </x:c>
      <x:c r="E408" s="48" t="n">
        <x:v>0</x:v>
      </x:c>
      <x:c r="F408" s="48" t="n">
        <x:v>3.5</x:v>
      </x:c>
      <x:c r="G408" s="48" t="str">
        <x:v>DEEP</x:v>
      </x:c>
      <x:c r="H408" s="48"/>
      <x:c r="I408" s="48"/>
      <x:c r="J408" s="48" t="str">
        <x:v>2025-26 custom-score + role shrink</x:v>
      </x:c>
      <x:c r="K408" s="50" t="str">
        <x:v>Deep-pool model: 2025-26 custom-score production shrunk toward a conservative 2026-27 role estimate; not a published projection.</x:v>
      </x:c>
      <x:c r="L408" s="50" t="str">
        <x:v>https://github.com/plourr03/wolves-front-office/blob/5d152a169188fb9b210186a7a0d3403d4081ed38/kuminga/data/roster_snapshot_2026_27_v3.csv</x:v>
      </x:c>
      <x:c r="M408" s="50" t="str">
        <x:v>https://github.com/ballacademy/NBA-head-to-head-/blob/5b1decfc31ffb645469c7ffbd01aaca4b18181bd/data/nba-stats/nba-player-stats-202526-regular-season-per-game.csv</x:v>
      </x:c>
    </x:row>
    <x:row r="409">
      <x:c r="A409" s="48" t="str">
        <x:v>Payton Sandfort</x:v>
      </x:c>
      <x:c r="B409" s="48" t="n">
        <x:v>404</x:v>
      </x:c>
      <x:c r="C409" s="48" t="str">
        <x:v>SF</x:v>
      </x:c>
      <x:c r="D409" s="48" t="n">
        <x:v>64</x:v>
      </x:c>
      <x:c r="E409" s="48" t="n">
        <x:v>0</x:v>
      </x:c>
      <x:c r="F409" s="48" t="n">
        <x:v>3.5</x:v>
      </x:c>
      <x:c r="G409" s="48" t="str">
        <x:v>VERY_DEEP</x:v>
      </x:c>
      <x:c r="H409" s="48"/>
      <x:c r="I409" s="48"/>
      <x:c r="J409" s="48" t="str">
        <x:v>2025-26 custom-score + role shrink</x:v>
      </x:c>
      <x:c r="K409" s="50" t="str">
        <x:v>Very-deep model estimate with limited sample/role certainty. Use as a search/watch-list value and refresh once final rotations are known.</x:v>
      </x:c>
      <x:c r="L409" s="50" t="str">
        <x:v>https://github.com/A-V29/NBA.Rosters/blob/main/2026.Summer.League.json</x:v>
      </x:c>
      <x:c r="M409" s="50" t="str">
        <x:v>https://github.com/ballacademy/NBA-head-to-head-/blob/5b1decfc31ffb645469c7ffbd01aaca4b18181bd/data/nba-stats/nba-player-stats-202526-regular-season-per-game.csv</x:v>
      </x:c>
    </x:row>
    <x:row r="410">
      <x:c r="A410" s="48" t="str">
        <x:v>Haywood Highsmith</x:v>
      </x:c>
      <x:c r="B410" s="48" t="n">
        <x:v>405</x:v>
      </x:c>
      <x:c r="C410" s="48" t="str">
        <x:v>PF</x:v>
      </x:c>
      <x:c r="D410" s="48" t="n">
        <x:v>60</x:v>
      </x:c>
      <x:c r="E410" s="48" t="n">
        <x:v>0</x:v>
      </x:c>
      <x:c r="F410" s="48" t="n">
        <x:v>3.5</x:v>
      </x:c>
      <x:c r="G410" s="48" t="str">
        <x:v>VERY_DEEP</x:v>
      </x:c>
      <x:c r="H410" s="48"/>
      <x:c r="I410" s="48"/>
      <x:c r="J410" s="48" t="str">
        <x:v>2025-26 custom-score + role shrink</x:v>
      </x:c>
      <x:c r="K410" s="50" t="str">
        <x:v>Very-deep model estimate with limited sample/role certainty. Use as a search/watch-list value and refresh once final rotations are known.</x:v>
      </x:c>
      <x:c r="L410" s="50" t="str">
        <x:v>https://github.com/plourr03/wolves-front-office/blob/5d152a169188fb9b210186a7a0d3403d4081ed38/kuminga/data/roster_snapshot_2026_27_v3.csv</x:v>
      </x:c>
      <x:c r="M410" s="50" t="str">
        <x:v>https://github.com/ballacademy/NBA-head-to-head-/blob/5b1decfc31ffb645469c7ffbd01aaca4b18181bd/data/nba-stats/nba-player-stats-202526-regular-season-per-game.csv</x:v>
      </x:c>
    </x:row>
    <x:row r="411">
      <x:c r="A411" s="48" t="str">
        <x:v>Josh Green</x:v>
      </x:c>
      <x:c r="B411" s="48" t="n">
        <x:v>406</x:v>
      </x:c>
      <x:c r="C411" s="48" t="str">
        <x:v>SG</x:v>
      </x:c>
      <x:c r="D411" s="48" t="n">
        <x:v>60</x:v>
      </x:c>
      <x:c r="E411" s="48" t="n">
        <x:v>0</x:v>
      </x:c>
      <x:c r="F411" s="48" t="n">
        <x:v>3.5</x:v>
      </x:c>
      <x:c r="G411" s="48" t="str">
        <x:v>DEEP</x:v>
      </x:c>
      <x:c r="H411" s="48"/>
      <x:c r="I411" s="48"/>
      <x:c r="J411" s="48" t="str">
        <x:v>2025-26 custom-score + role shrink</x:v>
      </x:c>
      <x:c r="K411" s="50" t="str">
        <x:v>Deep-pool model: 2025-26 custom-score production shrunk toward a conservative 2026-27 role estimate; not a published projection.</x:v>
      </x:c>
      <x:c r="L411" s="50" t="str">
        <x:v>https://github.com/plourr03/wolves-front-office/blob/5d152a169188fb9b210186a7a0d3403d4081ed38/kuminga/data/roster_snapshot_2026_27_v3.csv</x:v>
      </x:c>
      <x:c r="M411" s="50" t="str">
        <x:v>https://github.com/ballacademy/NBA-head-to-head-/blob/5b1decfc31ffb645469c7ffbd01aaca4b18181bd/data/nba-stats/nba-player-stats-202526-regular-season-per-game.csv</x:v>
      </x:c>
    </x:row>
    <x:row r="412">
      <x:c r="A412" s="48" t="str">
        <x:v>Cameron Christie</x:v>
      </x:c>
      <x:c r="B412" s="48" t="n">
        <x:v>407</x:v>
      </x:c>
      <x:c r="C412" s="48" t="str">
        <x:v>SG</x:v>
      </x:c>
      <x:c r="D412" s="48" t="n">
        <x:v>60</x:v>
      </x:c>
      <x:c r="E412" s="48" t="n">
        <x:v>0</x:v>
      </x:c>
      <x:c r="F412" s="48" t="n">
        <x:v>3.955</x:v>
      </x:c>
      <x:c r="G412" s="48" t="str">
        <x:v>WATCH</x:v>
      </x:c>
      <x:c r="H412" s="48"/>
      <x:c r="I412" s="48"/>
      <x:c r="J412" s="48" t="str">
        <x:v>Rookie/depth role estimate</x:v>
      </x:c>
      <x:c r="K412" s="50" t="str">
        <x:v>Rookie/depth role estimate with a wide band and limited NBA evidence. Treat as a watch-list projection, not a published forecast.</x:v>
      </x:c>
      <x:c r="L412" s="50" t="str">
        <x:v>https://github.com/plourr03/wolves-front-office/blob/5d152a169188fb9b210186a7a0d3403d4081ed38/kuminga/data/roster_snapshot_2026_27_v3.csv</x:v>
      </x:c>
      <x:c r="M412" s="50" t="str">
        <x:v>https://github.com/ballacademy/NBA-head-to-head-/blob/5b1decfc31ffb645469c7ffbd01aaca4b18181bd/data/nba-stats/nba-player-stats-202526-regular-season-per-game.csv</x:v>
      </x:c>
    </x:row>
    <x:row r="413">
      <x:c r="A413" s="48" t="str">
        <x:v>Jamaree Bouyea</x:v>
      </x:c>
      <x:c r="B413" s="48" t="n">
        <x:v>408</x:v>
      </x:c>
      <x:c r="C413" s="48" t="str">
        <x:v>PG</x:v>
      </x:c>
      <x:c r="D413" s="48" t="n">
        <x:v>60</x:v>
      </x:c>
      <x:c r="E413" s="48" t="n">
        <x:v>0</x:v>
      </x:c>
      <x:c r="F413" s="48" t="n">
        <x:v>3.5</x:v>
      </x:c>
      <x:c r="G413" s="48" t="str">
        <x:v>DEEP</x:v>
      </x:c>
      <x:c r="H413" s="48"/>
      <x:c r="I413" s="48"/>
      <x:c r="J413" s="48" t="str">
        <x:v>2025-26 custom-score + role shrink</x:v>
      </x:c>
      <x:c r="K413" s="50" t="str">
        <x:v>Deep-pool model: 2025-26 custom-score production shrunk toward a conservative 2026-27 role estimate; not a published projection.</x:v>
      </x:c>
      <x:c r="L413" s="50" t="str">
        <x:v>https://github.com/plourr03/wolves-front-office/blob/5d152a169188fb9b210186a7a0d3403d4081ed38/kuminga/data/roster_snapshot_2026_27_v3.csv</x:v>
      </x:c>
      <x:c r="M413" s="50" t="str">
        <x:v>https://github.com/ballacademy/NBA-head-to-head-/blob/5b1decfc31ffb645469c7ffbd01aaca4b18181bd/data/nba-stats/nba-player-stats-202526-regular-season-per-game.csv</x:v>
      </x:c>
    </x:row>
    <x:row r="414">
      <x:c r="A414" s="48" t="str">
        <x:v>Mike Conley</x:v>
      </x:c>
      <x:c r="B414" s="48" t="n">
        <x:v>409</x:v>
      </x:c>
      <x:c r="C414" s="48" t="str">
        <x:v>PG</x:v>
      </x:c>
      <x:c r="D414" s="48" t="n">
        <x:v>60</x:v>
      </x:c>
      <x:c r="E414" s="48" t="n">
        <x:v>0</x:v>
      </x:c>
      <x:c r="F414" s="48" t="n">
        <x:v>3.5</x:v>
      </x:c>
      <x:c r="G414" s="48" t="str">
        <x:v>DEEP</x:v>
      </x:c>
      <x:c r="H414" s="48"/>
      <x:c r="I414" s="48"/>
      <x:c r="J414" s="48" t="str">
        <x:v>2025-26 custom-score + role shrink</x:v>
      </x:c>
      <x:c r="K414" s="50" t="str">
        <x:v>Deep-pool model: 2025-26 custom-score production shrunk toward a conservative 2026-27 role estimate; not a published projection.</x:v>
      </x:c>
      <x:c r="L414" s="50" t="str">
        <x:v>https://github.com/plourr03/wolves-front-office/blob/5d152a169188fb9b210186a7a0d3403d4081ed38/kuminga/data/roster_snapshot_2026_27_v3.csv</x:v>
      </x:c>
      <x:c r="M414" s="50" t="str">
        <x:v>https://github.com/ballacademy/NBA-head-to-head-/blob/5b1decfc31ffb645469c7ffbd01aaca4b18181bd/data/nba-stats/nba-player-stats-202526-regular-season-per-game.csv</x:v>
      </x:c>
    </x:row>
    <x:row r="415">
      <x:c r="A415" s="48" t="str">
        <x:v>Bogdan Bogdanovic</x:v>
      </x:c>
      <x:c r="B415" s="48" t="n">
        <x:v>410</x:v>
      </x:c>
      <x:c r="C415" s="48" t="str">
        <x:v>SG</x:v>
      </x:c>
      <x:c r="D415" s="48" t="n">
        <x:v>60</x:v>
      </x:c>
      <x:c r="E415" s="48" t="n">
        <x:v>0</x:v>
      </x:c>
      <x:c r="F415" s="48" t="n">
        <x:v>3.5</x:v>
      </x:c>
      <x:c r="G415" s="48" t="str">
        <x:v>VERY_DEEP</x:v>
      </x:c>
      <x:c r="H415" s="48"/>
      <x:c r="I415" s="48"/>
      <x:c r="J415" s="48" t="str">
        <x:v>2025-26 custom-score + role shrink</x:v>
      </x:c>
      <x:c r="K415" s="50" t="str">
        <x:v>Very-deep model estimate with limited sample/role certainty. Use as a search/watch-list value and refresh once final rotations are known.</x:v>
      </x:c>
      <x:c r="L415" s="50" t="str">
        <x:v>https://github.com/plourr03/wolves-front-office/blob/5d152a169188fb9b210186a7a0d3403d4081ed38/kuminga/data/roster_snapshot_2026_27_v3.csv</x:v>
      </x:c>
      <x:c r="M415" s="50" t="str">
        <x:v>https://github.com/ballacademy/NBA-head-to-head-/blob/5b1decfc31ffb645469c7ffbd01aaca4b18181bd/data/nba-stats/nba-player-stats-202526-regular-season-per-game.csv</x:v>
      </x:c>
    </x:row>
    <x:row r="416">
      <x:c r="A416" s="48" t="str">
        <x:v>Hayden Gray</x:v>
      </x:c>
      <x:c r="B416" s="48" t="n">
        <x:v>411</x:v>
      </x:c>
      <x:c r="C416" s="48" t="str">
        <x:v>SG</x:v>
      </x:c>
      <x:c r="D416" s="48" t="n">
        <x:v>64</x:v>
      </x:c>
      <x:c r="E416" s="48" t="n">
        <x:v>0</x:v>
      </x:c>
      <x:c r="F416" s="48" t="n">
        <x:v>3.5</x:v>
      </x:c>
      <x:c r="G416" s="48" t="str">
        <x:v>VERY_DEEP</x:v>
      </x:c>
      <x:c r="H416" s="48"/>
      <x:c r="I416" s="48"/>
      <x:c r="J416" s="48" t="str">
        <x:v>2025-26 custom-score + role shrink</x:v>
      </x:c>
      <x:c r="K416" s="50" t="str">
        <x:v>Very-deep model estimate with limited sample/role certainty. Use as a search/watch-list value and refresh once final rotations are known.</x:v>
      </x:c>
      <x:c r="L416" s="50" t="str">
        <x:v>https://github.com/A-V29/NBA.Rosters/blob/main/2026.Summer.League.json</x:v>
      </x:c>
      <x:c r="M416" s="50" t="str">
        <x:v>https://github.com/ballacademy/NBA-head-to-head-/blob/5b1decfc31ffb645469c7ffbd01aaca4b18181bd/data/nba-stats/nba-player-stats-202526-regular-season-per-game.csv</x:v>
      </x:c>
    </x:row>
    <x:row r="417">
      <x:c r="A417" s="48" t="str">
        <x:v>Nikola Topic</x:v>
      </x:c>
      <x:c r="B417" s="48" t="n">
        <x:v>412</x:v>
      </x:c>
      <x:c r="C417" s="48" t="str">
        <x:v>PG</x:v>
      </x:c>
      <x:c r="D417" s="48" t="n">
        <x:v>60</x:v>
      </x:c>
      <x:c r="E417" s="48" t="n">
        <x:v>0</x:v>
      </x:c>
      <x:c r="F417" s="48" t="n">
        <x:v>3.5</x:v>
      </x:c>
      <x:c r="G417" s="48" t="str">
        <x:v>VERY_DEEP</x:v>
      </x:c>
      <x:c r="H417" s="48"/>
      <x:c r="I417" s="48"/>
      <x:c r="J417" s="48" t="str">
        <x:v>2025-26 custom-score + role shrink</x:v>
      </x:c>
      <x:c r="K417" s="50" t="str">
        <x:v>Very-deep model estimate with limited sample/role certainty. Use as a search/watch-list value and refresh once final rotations are known.</x:v>
      </x:c>
      <x:c r="L417" s="50" t="str">
        <x:v>https://github.com/plourr03/wolves-front-office/blob/5d152a169188fb9b210186a7a0d3403d4081ed38/kuminga/data/roster_snapshot_2026_27_v3.csv</x:v>
      </x:c>
      <x:c r="M417" s="50" t="str">
        <x:v>https://github.com/ballacademy/NBA-head-to-head-/blob/5b1decfc31ffb645469c7ffbd01aaca4b18181bd/data/nba-stats/nba-player-stats-202526-regular-season-per-game.csv</x:v>
      </x:c>
    </x:row>
    <x:row r="418">
      <x:c r="A418" s="48" t="str">
        <x:v>Rasheer Fleming</x:v>
      </x:c>
      <x:c r="B418" s="48" t="n">
        <x:v>413</x:v>
      </x:c>
      <x:c r="C418" s="48" t="str">
        <x:v>C</x:v>
      </x:c>
      <x:c r="D418" s="48" t="n">
        <x:v>64</x:v>
      </x:c>
      <x:c r="E418" s="48" t="n">
        <x:v>0</x:v>
      </x:c>
      <x:c r="F418" s="48" t="n">
        <x:v>3.5</x:v>
      </x:c>
      <x:c r="G418" s="48" t="str">
        <x:v>DEEP</x:v>
      </x:c>
      <x:c r="H418" s="48"/>
      <x:c r="I418" s="48"/>
      <x:c r="J418" s="48" t="str">
        <x:v>2025-26 custom-score + role shrink</x:v>
      </x:c>
      <x:c r="K418" s="50" t="str">
        <x:v>Deep-pool model: 2025-26 custom-score production shrunk toward a conservative 2026-27 role estimate; not a published projection.</x:v>
      </x:c>
      <x:c r="L418" s="50" t="str">
        <x:v>https://github.com/A-V29/NBA.Rosters/blob/main/2026.Summer.League.json</x:v>
      </x:c>
      <x:c r="M418" s="50" t="str">
        <x:v>https://github.com/ballacademy/NBA-head-to-head-/blob/5b1decfc31ffb645469c7ffbd01aaca4b18181bd/data/nba-stats/nba-player-stats-202526-regular-season-per-game.csv</x:v>
      </x:c>
    </x:row>
    <x:row r="419">
      <x:c r="A419" s="48" t="str">
        <x:v>Jamal Cain</x:v>
      </x:c>
      <x:c r="B419" s="48" t="n">
        <x:v>414</x:v>
      </x:c>
      <x:c r="C419" s="48" t="str">
        <x:v>SF</x:v>
      </x:c>
      <x:c r="D419" s="48" t="n">
        <x:v>60</x:v>
      </x:c>
      <x:c r="E419" s="48" t="n">
        <x:v>0</x:v>
      </x:c>
      <x:c r="F419" s="48" t="n">
        <x:v>3.5</x:v>
      </x:c>
      <x:c r="G419" s="48" t="str">
        <x:v>DEEP</x:v>
      </x:c>
      <x:c r="H419" s="48"/>
      <x:c r="I419" s="48"/>
      <x:c r="J419" s="48" t="str">
        <x:v>2025-26 custom-score + role shrink</x:v>
      </x:c>
      <x:c r="K419" s="50" t="str">
        <x:v>Deep-pool model: 2025-26 custom-score production shrunk toward a conservative 2026-27 role estimate; not a published projection.</x:v>
      </x:c>
      <x:c r="L419" s="50" t="str">
        <x:v>https://github.com/plourr03/wolves-front-office/blob/5d152a169188fb9b210186a7a0d3403d4081ed38/kuminga/data/roster_snapshot_2026_27_v3.csv</x:v>
      </x:c>
      <x:c r="M419" s="50" t="str">
        <x:v>https://github.com/ballacademy/NBA-head-to-head-/blob/5b1decfc31ffb645469c7ffbd01aaca4b18181bd/data/nba-stats/nba-player-stats-202526-regular-season-per-game.csv</x:v>
      </x:c>
    </x:row>
    <x:row r="420">
      <x:c r="A420" s="48" t="str">
        <x:v>Khaman Maluach</x:v>
      </x:c>
      <x:c r="B420" s="48" t="n">
        <x:v>415</x:v>
      </x:c>
      <x:c r="C420" s="48" t="str">
        <x:v>C</x:v>
      </x:c>
      <x:c r="D420" s="48" t="n">
        <x:v>64</x:v>
      </x:c>
      <x:c r="E420" s="48" t="n">
        <x:v>0</x:v>
      </x:c>
      <x:c r="F420" s="48" t="n">
        <x:v>3.5</x:v>
      </x:c>
      <x:c r="G420" s="48" t="str">
        <x:v>DEEP</x:v>
      </x:c>
      <x:c r="H420" s="48"/>
      <x:c r="I420" s="48"/>
      <x:c r="J420" s="48" t="str">
        <x:v>2025-26 custom-score + role shrink</x:v>
      </x:c>
      <x:c r="K420" s="50" t="str">
        <x:v>Deep-pool model: 2025-26 custom-score production shrunk toward a conservative 2026-27 role estimate; not a published projection.</x:v>
      </x:c>
      <x:c r="L420" s="50" t="str">
        <x:v>https://github.com/A-V29/NBA.Rosters/blob/main/2026.Summer.League.json</x:v>
      </x:c>
      <x:c r="M420" s="50" t="str">
        <x:v>https://github.com/ballacademy/NBA-head-to-head-/blob/5b1decfc31ffb645469c7ffbd01aaca4b18181bd/data/nba-stats/nba-player-stats-202526-regular-season-per-game.csv</x:v>
      </x:c>
    </x:row>
    <x:row r="421">
      <x:c r="A421" s="48" t="str">
        <x:v>Henri Veesaar</x:v>
      </x:c>
      <x:c r="B421" s="48" t="n">
        <x:v>416</x:v>
      </x:c>
      <x:c r="C421" s="48" t="str">
        <x:v>C</x:v>
      </x:c>
      <x:c r="D421" s="48" t="n">
        <x:v>60</x:v>
      </x:c>
      <x:c r="E421" s="48" t="n">
        <x:v>0</x:v>
      </x:c>
      <x:c r="F421" s="48" t="n">
        <x:v>3.6800000000000006</x:v>
      </x:c>
      <x:c r="G421" s="48" t="str">
        <x:v>WATCH</x:v>
      </x:c>
      <x:c r="H421" s="48"/>
      <x:c r="I421" s="48"/>
      <x:c r="J421" s="48" t="str">
        <x:v>Rookie/depth role estimate</x:v>
      </x:c>
      <x:c r="K421" s="50" t="str">
        <x:v>Rookie/depth role estimate with a wide band and limited NBA evidence. Treat as a watch-list projection, not a published forecast.</x:v>
      </x:c>
      <x:c r="L421" s="50" t="str">
        <x:v>https://github.com/plourr03/wolves-front-office/blob/5d152a169188fb9b210186a7a0d3403d4081ed38/kuminga/data/roster_snapshot_2026_27_v3.csv</x:v>
      </x:c>
      <x:c r="M421" s="50" t="str">
        <x:v>https://github.com/ballacademy/NBA-head-to-head-/blob/5b1decfc31ffb645469c7ffbd01aaca4b18181bd/data/nba-stats/nba-player-stats-202526-regular-season-per-game.csv</x:v>
      </x:c>
    </x:row>
    <x:row r="422">
      <x:c r="A422" s="48" t="str">
        <x:v>Carter Bryant</x:v>
      </x:c>
      <x:c r="B422" s="48" t="n">
        <x:v>417</x:v>
      </x:c>
      <x:c r="C422" s="48" t="str">
        <x:v>PF</x:v>
      </x:c>
      <x:c r="D422" s="48" t="n">
        <x:v>64</x:v>
      </x:c>
      <x:c r="E422" s="48" t="n">
        <x:v>0</x:v>
      </x:c>
      <x:c r="F422" s="48" t="n">
        <x:v>3.5</x:v>
      </x:c>
      <x:c r="G422" s="48" t="str">
        <x:v>DEEP</x:v>
      </x:c>
      <x:c r="H422" s="48"/>
      <x:c r="I422" s="48"/>
      <x:c r="J422" s="48" t="str">
        <x:v>2025-26 custom-score + role shrink</x:v>
      </x:c>
      <x:c r="K422" s="50" t="str">
        <x:v>Deep-pool model: 2025-26 custom-score production shrunk toward a conservative 2026-27 role estimate; not a published projection.</x:v>
      </x:c>
      <x:c r="L422" s="50" t="str">
        <x:v>https://github.com/A-V29/NBA.Rosters/blob/main/2026.Summer.League.json</x:v>
      </x:c>
      <x:c r="M422" s="50" t="str">
        <x:v>https://github.com/ballacademy/NBA-head-to-head-/blob/5b1decfc31ffb645469c7ffbd01aaca4b18181bd/data/nba-stats/nba-player-stats-202526-regular-season-per-game.csv</x:v>
      </x:c>
    </x:row>
    <x:row r="423">
      <x:c r="A423" s="48" t="str">
        <x:v>Tyrese Proctor</x:v>
      </x:c>
      <x:c r="B423" s="48" t="n">
        <x:v>418</x:v>
      </x:c>
      <x:c r="C423" s="48" t="str">
        <x:v>SG</x:v>
      </x:c>
      <x:c r="D423" s="48" t="n">
        <x:v>60</x:v>
      </x:c>
      <x:c r="E423" s="48" t="n">
        <x:v>0</x:v>
      </x:c>
      <x:c r="F423" s="48" t="n">
        <x:v>3.5</x:v>
      </x:c>
      <x:c r="G423" s="48" t="str">
        <x:v>DEEP</x:v>
      </x:c>
      <x:c r="H423" s="48"/>
      <x:c r="I423" s="48"/>
      <x:c r="J423" s="48" t="str">
        <x:v>2025-26 custom-score + role shrink</x:v>
      </x:c>
      <x:c r="K423" s="50" t="str">
        <x:v>Deep-pool model: 2025-26 custom-score production shrunk toward a conservative 2026-27 role estimate; not a published projection.</x:v>
      </x:c>
      <x:c r="L423" s="50" t="str">
        <x:v>https://github.com/plourr03/wolves-front-office/blob/5d152a169188fb9b210186a7a0d3403d4081ed38/kuminga/data/roster_snapshot_2026_27_v3.csv</x:v>
      </x:c>
      <x:c r="M423" s="50" t="str">
        <x:v>https://github.com/ballacademy/NBA-head-to-head-/blob/5b1decfc31ffb645469c7ffbd01aaca4b18181bd/data/nba-stats/nba-player-stats-202526-regular-season-per-game.csv</x:v>
      </x:c>
    </x:row>
    <x:row r="424">
      <x:c r="A424" s="48" t="str">
        <x:v>Myron Gardner</x:v>
      </x:c>
      <x:c r="B424" s="48" t="n">
        <x:v>419</x:v>
      </x:c>
      <x:c r="C424" s="48" t="str">
        <x:v>SG</x:v>
      </x:c>
      <x:c r="D424" s="48" t="n">
        <x:v>64</x:v>
      </x:c>
      <x:c r="E424" s="48" t="n">
        <x:v>0</x:v>
      </x:c>
      <x:c r="F424" s="48" t="n">
        <x:v>3.5</x:v>
      </x:c>
      <x:c r="G424" s="48" t="str">
        <x:v>DEEP</x:v>
      </x:c>
      <x:c r="H424" s="48"/>
      <x:c r="I424" s="48"/>
      <x:c r="J424" s="48" t="str">
        <x:v>2025-26 custom-score + role shrink</x:v>
      </x:c>
      <x:c r="K424" s="50" t="str">
        <x:v>Deep-pool model: 2025-26 custom-score production shrunk toward a conservative 2026-27 role estimate; not a published projection.</x:v>
      </x:c>
      <x:c r="L424" s="50" t="str">
        <x:v>https://github.com/A-V29/NBA.Rosters/blob/main/2026.Summer.League.json</x:v>
      </x:c>
      <x:c r="M424" s="50" t="str">
        <x:v>https://github.com/ballacademy/NBA-head-to-head-/blob/5b1decfc31ffb645469c7ffbd01aaca4b18181bd/data/nba-stats/nba-player-stats-202526-regular-season-per-game.csv</x:v>
      </x:c>
    </x:row>
    <x:row r="425">
      <x:c r="A425" s="48" t="str">
        <x:v>Trayce Jackson-Davis</x:v>
      </x:c>
      <x:c r="B425" s="48" t="n">
        <x:v>420</x:v>
      </x:c>
      <x:c r="C425" s="48" t="str">
        <x:v>PF</x:v>
      </x:c>
      <x:c r="D425" s="48" t="n">
        <x:v>60</x:v>
      </x:c>
      <x:c r="E425" s="48" t="n">
        <x:v>0</x:v>
      </x:c>
      <x:c r="F425" s="48" t="n">
        <x:v>3.5</x:v>
      </x:c>
      <x:c r="G425" s="48" t="str">
        <x:v>DEEP</x:v>
      </x:c>
      <x:c r="H425" s="48"/>
      <x:c r="I425" s="48"/>
      <x:c r="J425" s="48" t="str">
        <x:v>2025-26 custom-score + role shrink</x:v>
      </x:c>
      <x:c r="K425" s="50" t="str">
        <x:v>Deep-pool model: 2025-26 custom-score production shrunk toward a conservative 2026-27 role estimate; not a published projection.</x:v>
      </x:c>
      <x:c r="L425" s="50" t="str">
        <x:v>https://github.com/plourr03/wolves-front-office/blob/5d152a169188fb9b210186a7a0d3403d4081ed38/kuminga/data/roster_snapshot_2026_27_v3.csv</x:v>
      </x:c>
      <x:c r="M425" s="50" t="str">
        <x:v>https://github.com/ballacademy/NBA-head-to-head-/blob/5b1decfc31ffb645469c7ffbd01aaca4b18181bd/data/nba-stats/nba-player-stats-202526-regular-season-per-game.csv</x:v>
      </x:c>
    </x:row>
    <x:row r="426">
      <x:c r="A426" s="48" t="str">
        <x:v>Isaiah Stevens</x:v>
      </x:c>
      <x:c r="B426" s="48" t="n">
        <x:v>421</x:v>
      </x:c>
      <x:c r="C426" s="48" t="str">
        <x:v>PG</x:v>
      </x:c>
      <x:c r="D426" s="48" t="n">
        <x:v>64</x:v>
      </x:c>
      <x:c r="E426" s="48" t="n">
        <x:v>0</x:v>
      </x:c>
      <x:c r="F426" s="48" t="n">
        <x:v>3.5</x:v>
      </x:c>
      <x:c r="G426" s="48" t="str">
        <x:v>VERY_DEEP</x:v>
      </x:c>
      <x:c r="H426" s="48"/>
      <x:c r="I426" s="48"/>
      <x:c r="J426" s="48" t="str">
        <x:v>2025-26 custom-score + role shrink</x:v>
      </x:c>
      <x:c r="K426" s="50" t="str">
        <x:v>Very-deep model estimate with limited sample/role certainty. Use as a search/watch-list value and refresh once final rotations are known.</x:v>
      </x:c>
      <x:c r="L426" s="50" t="str">
        <x:v>https://github.com/A-V29/NBA.Rosters/blob/main/2026.Summer.League.json</x:v>
      </x:c>
      <x:c r="M426" s="50" t="str">
        <x:v>https://github.com/ballacademy/NBA-head-to-head-/blob/5b1decfc31ffb645469c7ffbd01aaca4b18181bd/data/nba-stats/nba-player-stats-202526-regular-season-per-game.csv</x:v>
      </x:c>
    </x:row>
    <x:row r="427">
      <x:c r="A427" s="48" t="str">
        <x:v>Zeke Nnaji</x:v>
      </x:c>
      <x:c r="B427" s="48" t="n">
        <x:v>422</x:v>
      </x:c>
      <x:c r="C427" s="48" t="str">
        <x:v>PF</x:v>
      </x:c>
      <x:c r="D427" s="48" t="n">
        <x:v>60</x:v>
      </x:c>
      <x:c r="E427" s="48" t="n">
        <x:v>0</x:v>
      </x:c>
      <x:c r="F427" s="48" t="n">
        <x:v>3.5</x:v>
      </x:c>
      <x:c r="G427" s="48" t="str">
        <x:v>DEEP</x:v>
      </x:c>
      <x:c r="H427" s="48"/>
      <x:c r="I427" s="48"/>
      <x:c r="J427" s="48" t="str">
        <x:v>2025-26 custom-score + role shrink</x:v>
      </x:c>
      <x:c r="K427" s="50" t="str">
        <x:v>Deep-pool model: 2025-26 custom-score production shrunk toward a conservative 2026-27 role estimate; not a published projection.</x:v>
      </x:c>
      <x:c r="L427" s="50" t="str">
        <x:v>https://github.com/plourr03/wolves-front-office/blob/5d152a169188fb9b210186a7a0d3403d4081ed38/kuminga/data/roster_snapshot_2026_27_v3.csv</x:v>
      </x:c>
      <x:c r="M427" s="50" t="str">
        <x:v>https://github.com/ballacademy/NBA-head-to-head-/blob/5b1decfc31ffb645469c7ffbd01aaca4b18181bd/data/nba-stats/nba-player-stats-202526-regular-season-per-game.csv</x:v>
      </x:c>
    </x:row>
    <x:row r="428">
      <x:c r="A428" s="48" t="str">
        <x:v>Tolu Smith III</x:v>
      </x:c>
      <x:c r="B428" s="48" t="n">
        <x:v>423</x:v>
      </x:c>
      <x:c r="C428" s="48" t="str">
        <x:v>PF</x:v>
      </x:c>
      <x:c r="D428" s="48" t="n">
        <x:v>60</x:v>
      </x:c>
      <x:c r="E428" s="48" t="n">
        <x:v>0</x:v>
      </x:c>
      <x:c r="F428" s="48" t="n">
        <x:v>3.5</x:v>
      </x:c>
      <x:c r="G428" s="48" t="str">
        <x:v>VERY_DEEP</x:v>
      </x:c>
      <x:c r="H428" s="48"/>
      <x:c r="I428" s="48"/>
      <x:c r="J428" s="48" t="str">
        <x:v>2025-26 custom-score + role shrink</x:v>
      </x:c>
      <x:c r="K428" s="50" t="str">
        <x:v>Very-deep model estimate with limited sample/role certainty. Use as a search/watch-list value and refresh once final rotations are known.</x:v>
      </x:c>
      <x:c r="L428" s="50" t="str">
        <x:v>https://github.com/plourr03/wolves-front-office/blob/5d152a169188fb9b210186a7a0d3403d4081ed38/kuminga/data/roster_snapshot_2026_27_v3.csv</x:v>
      </x:c>
      <x:c r="M428" s="50" t="str">
        <x:v>https://github.com/ballacademy/NBA-head-to-head-/blob/5b1decfc31ffb645469c7ffbd01aaca4b18181bd/data/nba-stats/nba-player-stats-202526-regular-season-per-game.csv</x:v>
      </x:c>
    </x:row>
    <x:row r="429">
      <x:c r="A429" s="48" t="str">
        <x:v>Micah Peavy</x:v>
      </x:c>
      <x:c r="B429" s="48" t="n">
        <x:v>424</x:v>
      </x:c>
      <x:c r="C429" s="48" t="str">
        <x:v>SG</x:v>
      </x:c>
      <x:c r="D429" s="48" t="n">
        <x:v>64</x:v>
      </x:c>
      <x:c r="E429" s="48" t="n">
        <x:v>0</x:v>
      </x:c>
      <x:c r="F429" s="48" t="n">
        <x:v>3.5</x:v>
      </x:c>
      <x:c r="G429" s="48" t="str">
        <x:v>DEEP</x:v>
      </x:c>
      <x:c r="H429" s="48"/>
      <x:c r="I429" s="48"/>
      <x:c r="J429" s="48" t="str">
        <x:v>2025-26 custom-score + role shrink</x:v>
      </x:c>
      <x:c r="K429" s="50" t="str">
        <x:v>Deep-pool model: 2025-26 custom-score production shrunk toward a conservative 2026-27 role estimate; not a published projection.</x:v>
      </x:c>
      <x:c r="L429" s="50" t="str">
        <x:v>https://github.com/A-V29/NBA.Rosters/blob/main/2026.Summer.League.json</x:v>
      </x:c>
      <x:c r="M429" s="50" t="str">
        <x:v>https://github.com/ballacademy/NBA-head-to-head-/blob/5b1decfc31ffb645469c7ffbd01aaca4b18181bd/data/nba-stats/nba-player-stats-202526-regular-season-per-game.csv</x:v>
      </x:c>
    </x:row>
    <x:row r="430">
      <x:c r="A430" s="48" t="str">
        <x:v>Tyler Kolek</x:v>
      </x:c>
      <x:c r="B430" s="48" t="n">
        <x:v>425</x:v>
      </x:c>
      <x:c r="C430" s="48" t="str">
        <x:v>PG</x:v>
      </x:c>
      <x:c r="D430" s="48" t="n">
        <x:v>60</x:v>
      </x:c>
      <x:c r="E430" s="48" t="n">
        <x:v>0</x:v>
      </x:c>
      <x:c r="F430" s="48" t="n">
        <x:v>3.5</x:v>
      </x:c>
      <x:c r="G430" s="48" t="str">
        <x:v>DEEP</x:v>
      </x:c>
      <x:c r="H430" s="48"/>
      <x:c r="I430" s="48"/>
      <x:c r="J430" s="48" t="str">
        <x:v>2025-26 custom-score + role shrink</x:v>
      </x:c>
      <x:c r="K430" s="50" t="str">
        <x:v>Deep-pool model: 2025-26 custom-score production shrunk toward a conservative 2026-27 role estimate; not a published projection.</x:v>
      </x:c>
      <x:c r="L430" s="50" t="str">
        <x:v>https://github.com/plourr03/wolves-front-office/blob/5d152a169188fb9b210186a7a0d3403d4081ed38/kuminga/data/roster_snapshot_2026_27_v3.csv</x:v>
      </x:c>
      <x:c r="M430" s="50" t="str">
        <x:v>https://github.com/ballacademy/NBA-head-to-head-/blob/5b1decfc31ffb645469c7ffbd01aaca4b18181bd/data/nba-stats/nba-player-stats-202526-regular-season-per-game.csv</x:v>
      </x:c>
    </x:row>
    <x:row r="431">
      <x:c r="A431" s="48" t="str">
        <x:v>Jaylen Clark</x:v>
      </x:c>
      <x:c r="B431" s="48" t="n">
        <x:v>426</x:v>
      </x:c>
      <x:c r="C431" s="48" t="str">
        <x:v>SG</x:v>
      </x:c>
      <x:c r="D431" s="48" t="n">
        <x:v>60</x:v>
      </x:c>
      <x:c r="E431" s="48" t="n">
        <x:v>0</x:v>
      </x:c>
      <x:c r="F431" s="48" t="n">
        <x:v>3.5</x:v>
      </x:c>
      <x:c r="G431" s="48" t="str">
        <x:v>DEEP</x:v>
      </x:c>
      <x:c r="H431" s="48"/>
      <x:c r="I431" s="48"/>
      <x:c r="J431" s="48" t="str">
        <x:v>2025-26 custom-score + role shrink</x:v>
      </x:c>
      <x:c r="K431" s="50" t="str">
        <x:v>Deep-pool model: 2025-26 custom-score production shrunk toward a conservative 2026-27 role estimate; not a published projection.</x:v>
      </x:c>
      <x:c r="L431" s="50" t="str">
        <x:v>https://github.com/plourr03/wolves-front-office/blob/5d152a169188fb9b210186a7a0d3403d4081ed38/kuminga/data/roster_snapshot_2026_27_v3.csv</x:v>
      </x:c>
      <x:c r="M431" s="50" t="str">
        <x:v>https://github.com/ballacademy/NBA-head-to-head-/blob/5b1decfc31ffb645469c7ffbd01aaca4b18181bd/data/nba-stats/nba-player-stats-202526-regular-season-per-game.csv</x:v>
      </x:c>
    </x:row>
    <x:row r="432">
      <x:c r="A432" s="48" t="str">
        <x:v>Jabari Walker</x:v>
      </x:c>
      <x:c r="B432" s="48" t="n">
        <x:v>427</x:v>
      </x:c>
      <x:c r="C432" s="48" t="str">
        <x:v>SF</x:v>
      </x:c>
      <x:c r="D432" s="48" t="n">
        <x:v>42</x:v>
      </x:c>
      <x:c r="E432" s="48" t="n">
        <x:v>0</x:v>
      </x:c>
      <x:c r="F432" s="48" t="n">
        <x:v>3.5</x:v>
      </x:c>
      <x:c r="G432" s="48" t="str">
        <x:v>VERY_DEEP</x:v>
      </x:c>
      <x:c r="H432" s="48"/>
      <x:c r="I432" s="48"/>
      <x:c r="J432" s="48" t="str">
        <x:v>2025-26 custom-score + role shrink</x:v>
      </x:c>
      <x:c r="K432" s="50" t="str">
        <x:v>Very-deep roster candidate. Non-guaranteed status and role uncertainty are discounted; verify final roster before draft use.</x:v>
      </x:c>
      <x:c r="L432" s="50" t="str">
        <x:v>https://github.com/plourr03/wolves-front-office/blob/5d152a169188fb9b210186a7a0d3403d4081ed38/kuminga/data/roster_snapshot_2026_27_v3.csv</x:v>
      </x:c>
      <x:c r="M432" s="50" t="str">
        <x:v>https://github.com/ballacademy/NBA-head-to-head-/blob/5b1decfc31ffb645469c7ffbd01aaca4b18181bd/data/nba-stats/nba-player-stats-202526-regular-season-per-game.csv</x:v>
      </x:c>
    </x:row>
    <x:row r="433">
      <x:c r="A433" s="48" t="str">
        <x:v>Liam McNeeley</x:v>
      </x:c>
      <x:c r="B433" s="48" t="n">
        <x:v>428</x:v>
      </x:c>
      <x:c r="C433" s="48" t="str">
        <x:v>SF</x:v>
      </x:c>
      <x:c r="D433" s="48" t="n">
        <x:v>64</x:v>
      </x:c>
      <x:c r="E433" s="48" t="n">
        <x:v>0</x:v>
      </x:c>
      <x:c r="F433" s="48" t="n">
        <x:v>3.5</x:v>
      </x:c>
      <x:c r="G433" s="48" t="str">
        <x:v>DEEP</x:v>
      </x:c>
      <x:c r="H433" s="48"/>
      <x:c r="I433" s="48"/>
      <x:c r="J433" s="48" t="str">
        <x:v>2025-26 custom-score + role shrink</x:v>
      </x:c>
      <x:c r="K433" s="50" t="str">
        <x:v>Deep-pool model: 2025-26 custom-score production shrunk toward a conservative 2026-27 role estimate; not a published projection.</x:v>
      </x:c>
      <x:c r="L433" s="50" t="str">
        <x:v>https://github.com/A-V29/NBA.Rosters/blob/main/2026.Summer.League.json</x:v>
      </x:c>
      <x:c r="M433" s="50" t="str">
        <x:v>https://github.com/ballacademy/NBA-head-to-head-/blob/5b1decfc31ffb645469c7ffbd01aaca4b18181bd/data/nba-stats/nba-player-stats-202526-regular-season-per-game.csv</x:v>
      </x:c>
    </x:row>
    <x:row r="434">
      <x:c r="A434" s="48" t="str">
        <x:v>Caleb Martin</x:v>
      </x:c>
      <x:c r="B434" s="48" t="n">
        <x:v>429</x:v>
      </x:c>
      <x:c r="C434" s="48" t="str">
        <x:v>SF</x:v>
      </x:c>
      <x:c r="D434" s="48" t="n">
        <x:v>42</x:v>
      </x:c>
      <x:c r="E434" s="48" t="n">
        <x:v>0</x:v>
      </x:c>
      <x:c r="F434" s="48" t="n">
        <x:v>3.5</x:v>
      </x:c>
      <x:c r="G434" s="48" t="str">
        <x:v>VERY_DEEP</x:v>
      </x:c>
      <x:c r="H434" s="48"/>
      <x:c r="I434" s="48"/>
      <x:c r="J434" s="48" t="str">
        <x:v>2025-26 custom-score + role shrink</x:v>
      </x:c>
      <x:c r="K434" s="50" t="str">
        <x:v>Very-deep roster candidate. Non-guaranteed status and role uncertainty are discounted; verify final roster before draft use.</x:v>
      </x:c>
      <x:c r="L434" s="50" t="str">
        <x:v>https://github.com/plourr03/wolves-front-office/blob/5d152a169188fb9b210186a7a0d3403d4081ed38/kuminga/data/roster_snapshot_2026_27_v3.csv</x:v>
      </x:c>
      <x:c r="M434" s="50" t="str">
        <x:v>https://github.com/ballacademy/NBA-head-to-head-/blob/5b1decfc31ffb645469c7ffbd01aaca4b18181bd/data/nba-stats/nba-player-stats-202526-regular-season-per-game.csv</x:v>
      </x:c>
    </x:row>
    <x:row r="435">
      <x:c r="A435" s="48" t="str">
        <x:v>AJ Hoggard</x:v>
      </x:c>
      <x:c r="B435" s="48" t="n">
        <x:v>430</x:v>
      </x:c>
      <x:c r="C435" s="48" t="str">
        <x:v>PG</x:v>
      </x:c>
      <x:c r="D435" s="48" t="n">
        <x:v>0</x:v>
      </x:c>
      <x:c r="E435" s="48" t="n">
        <x:v>0</x:v>
      </x:c>
      <x:c r="F435" s="48" t="n">
        <x:v>3.5</x:v>
      </x:c>
      <x:c r="G435" s="48" t="str">
        <x:v>WATCH</x:v>
      </x:c>
      <x:c r="H435" s="48"/>
      <x:c r="I435" s="48"/>
      <x:c r="J435" s="48" t="str">
        <x:v>No reliable projection; camp/summer watch pool</x:v>
      </x:c>
      <x:c r="K435" s="50" t="str">
        <x:v>Camp/summer-depth watch entry; no reliable 2026-27 fantasy projection. Verify final NBA contract, roster status and role before draft use.</x:v>
      </x:c>
      <x:c r="L435" s="50" t="str">
        <x:v>https://github.com/A-V29/NBA.Rosters/blob/main/2026.Summer.League.json</x:v>
      </x:c>
      <x:c r="M435" s="50" t="str">
        <x:v>https://github.com/ballacademy/NBA-head-to-head-/blob/5b1decfc31ffb645469c7ffbd01aaca4b18181bd/data/nba-stats/nba-player-stats-202526-regular-season-per-game.csv</x:v>
      </x:c>
    </x:row>
    <x:row r="436">
      <x:c r="A436" s="48" t="str">
        <x:v>AK Okereke</x:v>
      </x:c>
      <x:c r="B436" s="48" t="n">
        <x:v>431</x:v>
      </x:c>
      <x:c r="C436" s="48" t="str">
        <x:v>PF</x:v>
      </x:c>
      <x:c r="D436" s="48" t="n">
        <x:v>0</x:v>
      </x:c>
      <x:c r="E436" s="48" t="n">
        <x:v>0</x:v>
      </x:c>
      <x:c r="F436" s="48" t="n">
        <x:v>3.5</x:v>
      </x:c>
      <x:c r="G436" s="48" t="str">
        <x:v>WATCH</x:v>
      </x:c>
      <x:c r="H436" s="48"/>
      <x:c r="I436" s="48"/>
      <x:c r="J436" s="48" t="str">
        <x:v>No reliable projection; camp/summer watch pool</x:v>
      </x:c>
      <x:c r="K436" s="50" t="str">
        <x:v>Camp/summer-depth watch entry; no reliable 2026-27 fantasy projection. Verify final NBA contract, roster status and role before draft use.</x:v>
      </x:c>
      <x:c r="L436" s="50" t="str">
        <x:v>https://github.com/A-V29/NBA.Rosters/blob/main/2026.Summer.League.json</x:v>
      </x:c>
      <x:c r="M436" s="50" t="str">
        <x:v>https://github.com/ballacademy/NBA-head-to-head-/blob/5b1decfc31ffb645469c7ffbd01aaca4b18181bd/data/nba-stats/nba-player-stats-202526-regular-season-per-game.csv</x:v>
      </x:c>
    </x:row>
    <x:row r="437">
      <x:c r="A437" s="48" t="str">
        <x:v>Aaron Nkrumah</x:v>
      </x:c>
      <x:c r="B437" s="48" t="n">
        <x:v>432</x:v>
      </x:c>
      <x:c r="C437" s="48" t="str">
        <x:v>SF</x:v>
      </x:c>
      <x:c r="D437" s="48" t="n">
        <x:v>0</x:v>
      </x:c>
      <x:c r="E437" s="48" t="n">
        <x:v>0</x:v>
      </x:c>
      <x:c r="F437" s="48" t="n">
        <x:v>3.5</x:v>
      </x:c>
      <x:c r="G437" s="48" t="str">
        <x:v>WATCH</x:v>
      </x:c>
      <x:c r="H437" s="48"/>
      <x:c r="I437" s="48"/>
      <x:c r="J437" s="48" t="str">
        <x:v>No reliable projection; camp/summer watch pool</x:v>
      </x:c>
      <x:c r="K437" s="50" t="str">
        <x:v>Camp/summer-depth watch entry; no reliable 2026-27 fantasy projection. Verify final NBA contract, roster status and role before draft use.</x:v>
      </x:c>
      <x:c r="L437" s="50" t="str">
        <x:v>https://github.com/A-V29/NBA.Rosters/blob/main/2026.Summer.League.json</x:v>
      </x:c>
      <x:c r="M437" s="50" t="str">
        <x:v>https://github.com/ballacademy/NBA-head-to-head-/blob/5b1decfc31ffb645469c7ffbd01aaca4b18181bd/data/nba-stats/nba-player-stats-202526-regular-season-per-game.csv</x:v>
      </x:c>
    </x:row>
    <x:row r="438">
      <x:c r="A438" s="48" t="str">
        <x:v>Aaron Scott</x:v>
      </x:c>
      <x:c r="B438" s="48" t="n">
        <x:v>433</x:v>
      </x:c>
      <x:c r="C438" s="48" t="str">
        <x:v>SF</x:v>
      </x:c>
      <x:c r="D438" s="48" t="n">
        <x:v>0</x:v>
      </x:c>
      <x:c r="E438" s="48" t="n">
        <x:v>0</x:v>
      </x:c>
      <x:c r="F438" s="48" t="n">
        <x:v>3.5</x:v>
      </x:c>
      <x:c r="G438" s="48" t="str">
        <x:v>WATCH</x:v>
      </x:c>
      <x:c r="H438" s="48"/>
      <x:c r="I438" s="48"/>
      <x:c r="J438" s="48" t="str">
        <x:v>No reliable projection; camp/summer watch pool</x:v>
      </x:c>
      <x:c r="K438" s="50" t="str">
        <x:v>Camp/summer-depth watch entry; no reliable 2026-27 fantasy projection. Verify final NBA contract, roster status and role before draft use.</x:v>
      </x:c>
      <x:c r="L438" s="50" t="str">
        <x:v>https://github.com/A-V29/NBA.Rosters/blob/main/2026.Summer.League.json</x:v>
      </x:c>
      <x:c r="M438" s="50" t="str">
        <x:v>https://github.com/ballacademy/NBA-head-to-head-/blob/5b1decfc31ffb645469c7ffbd01aaca4b18181bd/data/nba-stats/nba-player-stats-202526-regular-season-per-game.csv</x:v>
      </x:c>
    </x:row>
    <x:row r="439">
      <x:c r="A439" s="48" t="str">
        <x:v>Aaron Williams</x:v>
      </x:c>
      <x:c r="B439" s="48" t="n">
        <x:v>434</x:v>
      </x:c>
      <x:c r="C439" s="48" t="str">
        <x:v>PF</x:v>
      </x:c>
      <x:c r="D439" s="48" t="n">
        <x:v>0</x:v>
      </x:c>
      <x:c r="E439" s="48" t="n">
        <x:v>0</x:v>
      </x:c>
      <x:c r="F439" s="48" t="n">
        <x:v>3.5</x:v>
      </x:c>
      <x:c r="G439" s="48" t="str">
        <x:v>WATCH</x:v>
      </x:c>
      <x:c r="H439" s="48"/>
      <x:c r="I439" s="48"/>
      <x:c r="J439" s="48" t="str">
        <x:v>No reliable projection; camp/summer watch pool</x:v>
      </x:c>
      <x:c r="K439" s="50" t="str">
        <x:v>Camp/summer-depth watch entry; no reliable 2026-27 fantasy projection. Verify final NBA contract, roster status and role before draft use.</x:v>
      </x:c>
      <x:c r="L439" s="50" t="str">
        <x:v>https://github.com/A-V29/NBA.Rosters/blob/main/2026.Summer.League.json</x:v>
      </x:c>
      <x:c r="M439" s="50" t="str">
        <x:v>https://github.com/ballacademy/NBA-head-to-head-/blob/5b1decfc31ffb645469c7ffbd01aaca4b18181bd/data/nba-stats/nba-player-stats-202526-regular-season-per-game.csv</x:v>
      </x:c>
    </x:row>
    <x:row r="440">
      <x:c r="A440" s="48" t="str">
        <x:v>Aidan Mahaney</x:v>
      </x:c>
      <x:c r="B440" s="48" t="n">
        <x:v>435</x:v>
      </x:c>
      <x:c r="C440" s="48" t="str">
        <x:v>PG</x:v>
      </x:c>
      <x:c r="D440" s="48" t="n">
        <x:v>0</x:v>
      </x:c>
      <x:c r="E440" s="48" t="n">
        <x:v>0</x:v>
      </x:c>
      <x:c r="F440" s="48" t="n">
        <x:v>3.5</x:v>
      </x:c>
      <x:c r="G440" s="48" t="str">
        <x:v>WATCH</x:v>
      </x:c>
      <x:c r="H440" s="48"/>
      <x:c r="I440" s="48"/>
      <x:c r="J440" s="48" t="str">
        <x:v>No reliable projection; camp/summer watch pool</x:v>
      </x:c>
      <x:c r="K440" s="50" t="str">
        <x:v>Camp/summer-depth watch entry; no reliable 2026-27 fantasy projection. Verify final NBA contract, roster status and role before draft use.</x:v>
      </x:c>
      <x:c r="L440" s="50" t="str">
        <x:v>https://github.com/A-V29/NBA.Rosters/blob/main/2026.Summer.League.json</x:v>
      </x:c>
      <x:c r="M440" s="50" t="str">
        <x:v>https://github.com/ballacademy/NBA-head-to-head-/blob/5b1decfc31ffb645469c7ffbd01aaca4b18181bd/data/nba-stats/nba-player-stats-202526-regular-season-per-game.csv</x:v>
      </x:c>
    </x:row>
    <x:row r="441">
      <x:c r="A441" s="48" t="str">
        <x:v>Akoi Yuot</x:v>
      </x:c>
      <x:c r="B441" s="48" t="n">
        <x:v>436</x:v>
      </x:c>
      <x:c r="C441" s="48" t="str">
        <x:v>PF</x:v>
      </x:c>
      <x:c r="D441" s="48" t="n">
        <x:v>0</x:v>
      </x:c>
      <x:c r="E441" s="48" t="n">
        <x:v>0</x:v>
      </x:c>
      <x:c r="F441" s="48" t="n">
        <x:v>3.5</x:v>
      </x:c>
      <x:c r="G441" s="48" t="str">
        <x:v>WATCH</x:v>
      </x:c>
      <x:c r="H441" s="48"/>
      <x:c r="I441" s="48"/>
      <x:c r="J441" s="48" t="str">
        <x:v>No reliable projection; camp/summer watch pool</x:v>
      </x:c>
      <x:c r="K441" s="50" t="str">
        <x:v>Camp/summer-depth watch entry; no reliable 2026-27 fantasy projection. Verify final NBA contract, roster status and role before draft use.</x:v>
      </x:c>
      <x:c r="L441" s="50" t="str">
        <x:v>https://github.com/A-V29/NBA.Rosters/blob/main/2026.Summer.League.json</x:v>
      </x:c>
      <x:c r="M441" s="50" t="str">
        <x:v>https://github.com/ballacademy/NBA-head-to-head-/blob/5b1decfc31ffb645469c7ffbd01aaca4b18181bd/data/nba-stats/nba-player-stats-202526-regular-season-per-game.csv</x:v>
      </x:c>
    </x:row>
    <x:row r="442">
      <x:c r="A442" s="48" t="str">
        <x:v>Alex Reese</x:v>
      </x:c>
      <x:c r="B442" s="48" t="n">
        <x:v>437</x:v>
      </x:c>
      <x:c r="C442" s="48" t="str">
        <x:v>C</x:v>
      </x:c>
      <x:c r="D442" s="48" t="n">
        <x:v>0</x:v>
      </x:c>
      <x:c r="E442" s="48" t="n">
        <x:v>0</x:v>
      </x:c>
      <x:c r="F442" s="48" t="n">
        <x:v>3.5</x:v>
      </x:c>
      <x:c r="G442" s="48" t="str">
        <x:v>WATCH</x:v>
      </x:c>
      <x:c r="H442" s="48"/>
      <x:c r="I442" s="48"/>
      <x:c r="J442" s="48" t="str">
        <x:v>No reliable projection; camp/summer watch pool</x:v>
      </x:c>
      <x:c r="K442" s="50" t="str">
        <x:v>Camp/summer-depth watch entry; no reliable 2026-27 fantasy projection. Verify final NBA contract, roster status and role before draft use.</x:v>
      </x:c>
      <x:c r="L442" s="50" t="str">
        <x:v>https://github.com/A-V29/NBA.Rosters/blob/main/2026.Summer.League.json</x:v>
      </x:c>
      <x:c r="M442" s="50" t="str">
        <x:v>https://github.com/ballacademy/NBA-head-to-head-/blob/5b1decfc31ffb645469c7ffbd01aaca4b18181bd/data/nba-stats/nba-player-stats-202526-regular-season-per-game.csv</x:v>
      </x:c>
    </x:row>
    <x:row r="443">
      <x:c r="A443" s="48" t="str">
        <x:v>Alex Toohey</x:v>
      </x:c>
      <x:c r="B443" s="48" t="n">
        <x:v>438</x:v>
      </x:c>
      <x:c r="C443" s="48" t="str">
        <x:v>SF</x:v>
      </x:c>
      <x:c r="D443" s="48" t="n">
        <x:v>0</x:v>
      </x:c>
      <x:c r="E443" s="48" t="n">
        <x:v>0</x:v>
      </x:c>
      <x:c r="F443" s="48" t="n">
        <x:v>3.5</x:v>
      </x:c>
      <x:c r="G443" s="48" t="str">
        <x:v>WATCH</x:v>
      </x:c>
      <x:c r="H443" s="48"/>
      <x:c r="I443" s="48"/>
      <x:c r="J443" s="48" t="str">
        <x:v>No reliable projection; camp/summer watch pool</x:v>
      </x:c>
      <x:c r="K443" s="50" t="str">
        <x:v>Camp/summer-depth watch entry; no reliable 2026-27 fantasy projection. Verify final NBA contract, roster status and role before draft use.</x:v>
      </x:c>
      <x:c r="L443" s="50" t="str">
        <x:v>https://github.com/A-V29/NBA.Rosters/blob/main/2026.Summer.League.json</x:v>
      </x:c>
      <x:c r="M443" s="50" t="str">
        <x:v>https://github.com/ballacademy/NBA-head-to-head-/blob/5b1decfc31ffb645469c7ffbd01aaca4b18181bd/data/nba-stats/nba-player-stats-202526-regular-season-per-game.csv</x:v>
      </x:c>
    </x:row>
    <x:row r="444">
      <x:c r="A444" s="48" t="str">
        <x:v>Aliou Diarra</x:v>
      </x:c>
      <x:c r="B444" s="48" t="n">
        <x:v>439</x:v>
      </x:c>
      <x:c r="C444" s="48" t="str">
        <x:v>C</x:v>
      </x:c>
      <x:c r="D444" s="48" t="n">
        <x:v>0</x:v>
      </x:c>
      <x:c r="E444" s="48" t="n">
        <x:v>0</x:v>
      </x:c>
      <x:c r="F444" s="48" t="n">
        <x:v>3.5</x:v>
      </x:c>
      <x:c r="G444" s="48" t="str">
        <x:v>WATCH</x:v>
      </x:c>
      <x:c r="H444" s="48"/>
      <x:c r="I444" s="48"/>
      <x:c r="J444" s="48" t="str">
        <x:v>No reliable projection; camp/summer watch pool</x:v>
      </x:c>
      <x:c r="K444" s="50" t="str">
        <x:v>Camp/summer-depth watch entry; no reliable 2026-27 fantasy projection. Verify final NBA contract, roster status and role before draft use.</x:v>
      </x:c>
      <x:c r="L444" s="50" t="str">
        <x:v>https://github.com/A-V29/NBA.Rosters/blob/main/2026.Summer.League.json</x:v>
      </x:c>
      <x:c r="M444" s="50" t="str">
        <x:v>https://github.com/ballacademy/NBA-head-to-head-/blob/5b1decfc31ffb645469c7ffbd01aaca4b18181bd/data/nba-stats/nba-player-stats-202526-regular-season-per-game.csv</x:v>
      </x:c>
    </x:row>
    <x:row r="445">
      <x:c r="A445" s="48" t="str">
        <x:v>Amani Lyles</x:v>
      </x:c>
      <x:c r="B445" s="48" t="n">
        <x:v>440</x:v>
      </x:c>
      <x:c r="C445" s="48" t="str">
        <x:v>PF</x:v>
      </x:c>
      <x:c r="D445" s="48" t="n">
        <x:v>0</x:v>
      </x:c>
      <x:c r="E445" s="48" t="n">
        <x:v>0</x:v>
      </x:c>
      <x:c r="F445" s="48" t="n">
        <x:v>3.5</x:v>
      </x:c>
      <x:c r="G445" s="48" t="str">
        <x:v>WATCH</x:v>
      </x:c>
      <x:c r="H445" s="48"/>
      <x:c r="I445" s="48"/>
      <x:c r="J445" s="48" t="str">
        <x:v>No reliable projection; camp/summer watch pool</x:v>
      </x:c>
      <x:c r="K445" s="50" t="str">
        <x:v>Camp/summer-depth watch entry; no reliable 2026-27 fantasy projection. Verify final NBA contract, roster status and role before draft use.</x:v>
      </x:c>
      <x:c r="L445" s="50" t="str">
        <x:v>https://github.com/A-V29/NBA.Rosters/blob/main/2026.Summer.League.json</x:v>
      </x:c>
      <x:c r="M445" s="50" t="str">
        <x:v>https://github.com/ballacademy/NBA-head-to-head-/blob/5b1decfc31ffb645469c7ffbd01aaca4b18181bd/data/nba-stats/nba-player-stats-202526-regular-season-per-game.csv</x:v>
      </x:c>
    </x:row>
    <x:row r="446">
      <x:c r="A446" s="48" t="str">
        <x:v>Andrew Carr</x:v>
      </x:c>
      <x:c r="B446" s="48" t="n">
        <x:v>441</x:v>
      </x:c>
      <x:c r="C446" s="48" t="str">
        <x:v>C</x:v>
      </x:c>
      <x:c r="D446" s="48" t="n">
        <x:v>0</x:v>
      </x:c>
      <x:c r="E446" s="48" t="n">
        <x:v>0</x:v>
      </x:c>
      <x:c r="F446" s="48" t="n">
        <x:v>3.5</x:v>
      </x:c>
      <x:c r="G446" s="48" t="str">
        <x:v>WATCH</x:v>
      </x:c>
      <x:c r="H446" s="48"/>
      <x:c r="I446" s="48"/>
      <x:c r="J446" s="48" t="str">
        <x:v>No reliable projection; camp/summer watch pool</x:v>
      </x:c>
      <x:c r="K446" s="50" t="str">
        <x:v>Camp/summer-depth watch entry; no reliable 2026-27 fantasy projection. Verify final NBA contract, roster status and role before draft use.</x:v>
      </x:c>
      <x:c r="L446" s="50" t="str">
        <x:v>https://github.com/A-V29/NBA.Rosters/blob/main/2026.Summer.League.json</x:v>
      </x:c>
      <x:c r="M446" s="50" t="str">
        <x:v>https://github.com/ballacademy/NBA-head-to-head-/blob/5b1decfc31ffb645469c7ffbd01aaca4b18181bd/data/nba-stats/nba-player-stats-202526-regular-season-per-game.csv</x:v>
      </x:c>
    </x:row>
    <x:row r="447">
      <x:c r="A447" s="48" t="str">
        <x:v>Andrew Holifield</x:v>
      </x:c>
      <x:c r="B447" s="48" t="n">
        <x:v>442</x:v>
      </x:c>
      <x:c r="C447" s="48" t="str">
        <x:v>PF</x:v>
      </x:c>
      <x:c r="D447" s="48" t="n">
        <x:v>0</x:v>
      </x:c>
      <x:c r="E447" s="48" t="n">
        <x:v>0</x:v>
      </x:c>
      <x:c r="F447" s="48" t="n">
        <x:v>3.5</x:v>
      </x:c>
      <x:c r="G447" s="48" t="str">
        <x:v>WATCH</x:v>
      </x:c>
      <x:c r="H447" s="48"/>
      <x:c r="I447" s="48"/>
      <x:c r="J447" s="48" t="str">
        <x:v>No reliable projection; camp/summer watch pool</x:v>
      </x:c>
      <x:c r="K447" s="50" t="str">
        <x:v>Camp/summer-depth watch entry; no reliable 2026-27 fantasy projection. Verify final NBA contract, roster status and role before draft use.</x:v>
      </x:c>
      <x:c r="L447" s="50" t="str">
        <x:v>https://github.com/A-V29/NBA.Rosters/blob/main/2026.Summer.League.json</x:v>
      </x:c>
      <x:c r="M447" s="50" t="str">
        <x:v>https://github.com/ballacademy/NBA-head-to-head-/blob/5b1decfc31ffb645469c7ffbd01aaca4b18181bd/data/nba-stats/nba-player-stats-202526-regular-season-per-game.csv</x:v>
      </x:c>
    </x:row>
    <x:row r="448">
      <x:c r="A448" s="48" t="str">
        <x:v>Anthony Dell'Orso</x:v>
      </x:c>
      <x:c r="B448" s="48" t="n">
        <x:v>443</x:v>
      </x:c>
      <x:c r="C448" s="48" t="str">
        <x:v>PG</x:v>
      </x:c>
      <x:c r="D448" s="48" t="n">
        <x:v>0</x:v>
      </x:c>
      <x:c r="E448" s="48" t="n">
        <x:v>0</x:v>
      </x:c>
      <x:c r="F448" s="48" t="n">
        <x:v>3.5</x:v>
      </x:c>
      <x:c r="G448" s="48" t="str">
        <x:v>WATCH</x:v>
      </x:c>
      <x:c r="H448" s="48"/>
      <x:c r="I448" s="48"/>
      <x:c r="J448" s="48" t="str">
        <x:v>No reliable projection; camp/summer watch pool</x:v>
      </x:c>
      <x:c r="K448" s="50" t="str">
        <x:v>Camp/summer-depth watch entry; no reliable 2026-27 fantasy projection. Verify final NBA contract, roster status and role before draft use.</x:v>
      </x:c>
      <x:c r="L448" s="50" t="str">
        <x:v>https://github.com/A-V29/NBA.Rosters/blob/main/2026.Summer.League.json</x:v>
      </x:c>
      <x:c r="M448" s="50" t="str">
        <x:v>https://github.com/ballacademy/NBA-head-to-head-/blob/5b1decfc31ffb645469c7ffbd01aaca4b18181bd/data/nba-stats/nba-player-stats-202526-regular-season-per-game.csv</x:v>
      </x:c>
    </x:row>
    <x:row r="449">
      <x:c r="A449" s="48" t="str">
        <x:v>Anthony Pritchard</x:v>
      </x:c>
      <x:c r="B449" s="48" t="n">
        <x:v>444</x:v>
      </x:c>
      <x:c r="C449" s="48" t="str">
        <x:v>PG</x:v>
      </x:c>
      <x:c r="D449" s="48" t="n">
        <x:v>0</x:v>
      </x:c>
      <x:c r="E449" s="48" t="n">
        <x:v>0</x:v>
      </x:c>
      <x:c r="F449" s="48" t="n">
        <x:v>3.5</x:v>
      </x:c>
      <x:c r="G449" s="48" t="str">
        <x:v>WATCH</x:v>
      </x:c>
      <x:c r="H449" s="48"/>
      <x:c r="I449" s="48"/>
      <x:c r="J449" s="48" t="str">
        <x:v>No reliable projection; camp/summer watch pool</x:v>
      </x:c>
      <x:c r="K449" s="50" t="str">
        <x:v>Camp/summer-depth watch entry; no reliable 2026-27 fantasy projection. Verify final NBA contract, roster status and role before draft use.</x:v>
      </x:c>
      <x:c r="L449" s="50" t="str">
        <x:v>https://github.com/A-V29/NBA.Rosters/blob/main/2026.Summer.League.json</x:v>
      </x:c>
      <x:c r="M449" s="50" t="str">
        <x:v>https://github.com/ballacademy/NBA-head-to-head-/blob/5b1decfc31ffb645469c7ffbd01aaca4b18181bd/data/nba-stats/nba-player-stats-202526-regular-season-per-game.csv</x:v>
      </x:c>
    </x:row>
    <x:row r="450">
      <x:c r="A450" s="48" t="str">
        <x:v>Anton Watson</x:v>
      </x:c>
      <x:c r="B450" s="48" t="n">
        <x:v>445</x:v>
      </x:c>
      <x:c r="C450" s="48" t="str">
        <x:v>PF</x:v>
      </x:c>
      <x:c r="D450" s="48" t="n">
        <x:v>0</x:v>
      </x:c>
      <x:c r="E450" s="48" t="n">
        <x:v>0</x:v>
      </x:c>
      <x:c r="F450" s="48" t="n">
        <x:v>3.5</x:v>
      </x:c>
      <x:c r="G450" s="48" t="str">
        <x:v>WATCH</x:v>
      </x:c>
      <x:c r="H450" s="48"/>
      <x:c r="I450" s="48"/>
      <x:c r="J450" s="48" t="str">
        <x:v>No reliable projection; camp/summer watch pool</x:v>
      </x:c>
      <x:c r="K450" s="50" t="str">
        <x:v>Camp/summer-depth watch entry; no reliable 2026-27 fantasy projection. Verify final NBA contract, roster status and role before draft use.</x:v>
      </x:c>
      <x:c r="L450" s="50" t="str">
        <x:v>https://github.com/A-V29/NBA.Rosters/blob/main/2026.Summer.League.json</x:v>
      </x:c>
      <x:c r="M450" s="50" t="str">
        <x:v>https://github.com/ballacademy/NBA-head-to-head-/blob/5b1decfc31ffb645469c7ffbd01aaca4b18181bd/data/nba-stats/nba-player-stats-202526-regular-season-per-game.csv</x:v>
      </x:c>
    </x:row>
    <x:row r="451">
      <x:c r="A451" s="48" t="str">
        <x:v>Arnas Sakenis</x:v>
      </x:c>
      <x:c r="B451" s="48" t="n">
        <x:v>446</x:v>
      </x:c>
      <x:c r="C451" s="48" t="str">
        <x:v>C</x:v>
      </x:c>
      <x:c r="D451" s="48" t="n">
        <x:v>0</x:v>
      </x:c>
      <x:c r="E451" s="48" t="n">
        <x:v>0</x:v>
      </x:c>
      <x:c r="F451" s="48" t="n">
        <x:v>3.5</x:v>
      </x:c>
      <x:c r="G451" s="48" t="str">
        <x:v>WATCH</x:v>
      </x:c>
      <x:c r="H451" s="48"/>
      <x:c r="I451" s="48"/>
      <x:c r="J451" s="48" t="str">
        <x:v>No reliable projection; camp/summer watch pool</x:v>
      </x:c>
      <x:c r="K451" s="50" t="str">
        <x:v>Camp/summer-depth watch entry; no reliable 2026-27 fantasy projection. Verify final NBA contract, roster status and role before draft use.</x:v>
      </x:c>
      <x:c r="L451" s="50" t="str">
        <x:v>https://github.com/A-V29/NBA.Rosters/blob/main/2026.Summer.League.json</x:v>
      </x:c>
      <x:c r="M451" s="50" t="str">
        <x:v>https://github.com/ballacademy/NBA-head-to-head-/blob/5b1decfc31ffb645469c7ffbd01aaca4b18181bd/data/nba-stats/nba-player-stats-202526-regular-season-per-game.csv</x:v>
      </x:c>
    </x:row>
    <x:row r="452">
      <x:c r="A452" s="48" t="str">
        <x:v>Arthur Kaluma</x:v>
      </x:c>
      <x:c r="B452" s="48" t="n">
        <x:v>447</x:v>
      </x:c>
      <x:c r="C452" s="48" t="str">
        <x:v>PF</x:v>
      </x:c>
      <x:c r="D452" s="48" t="n">
        <x:v>0</x:v>
      </x:c>
      <x:c r="E452" s="48" t="n">
        <x:v>0</x:v>
      </x:c>
      <x:c r="F452" s="48" t="n">
        <x:v>3.5</x:v>
      </x:c>
      <x:c r="G452" s="48" t="str">
        <x:v>WATCH</x:v>
      </x:c>
      <x:c r="H452" s="48"/>
      <x:c r="I452" s="48"/>
      <x:c r="J452" s="48" t="str">
        <x:v>No reliable projection; camp/summer watch pool</x:v>
      </x:c>
      <x:c r="K452" s="50" t="str">
        <x:v>Camp/summer-depth watch entry; no reliable 2026-27 fantasy projection. Verify final NBA contract, roster status and role before draft use.</x:v>
      </x:c>
      <x:c r="L452" s="50" t="str">
        <x:v>https://github.com/A-V29/NBA.Rosters/blob/main/2026.Summer.League.json</x:v>
      </x:c>
      <x:c r="M452" s="50" t="str">
        <x:v>https://github.com/ballacademy/NBA-head-to-head-/blob/5b1decfc31ffb645469c7ffbd01aaca4b18181bd/data/nba-stats/nba-player-stats-202526-regular-season-per-game.csv</x:v>
      </x:c>
    </x:row>
    <x:row r="453">
      <x:c r="A453" s="48" t="str">
        <x:v>Aziz Bandaogo</x:v>
      </x:c>
      <x:c r="B453" s="48" t="n">
        <x:v>448</x:v>
      </x:c>
      <x:c r="C453" s="48" t="str">
        <x:v>C</x:v>
      </x:c>
      <x:c r="D453" s="48" t="n">
        <x:v>0</x:v>
      </x:c>
      <x:c r="E453" s="48" t="n">
        <x:v>0</x:v>
      </x:c>
      <x:c r="F453" s="48" t="n">
        <x:v>3.5</x:v>
      </x:c>
      <x:c r="G453" s="48" t="str">
        <x:v>WATCH</x:v>
      </x:c>
      <x:c r="H453" s="48"/>
      <x:c r="I453" s="48"/>
      <x:c r="J453" s="48" t="str">
        <x:v>No reliable projection; camp/summer watch pool</x:v>
      </x:c>
      <x:c r="K453" s="50" t="str">
        <x:v>Camp/summer-depth watch entry; no reliable 2026-27 fantasy projection. Verify final NBA contract, roster status and role before draft use.</x:v>
      </x:c>
      <x:c r="L453" s="50" t="str">
        <x:v>https://github.com/A-V29/NBA.Rosters/blob/main/2026.Summer.League.json</x:v>
      </x:c>
      <x:c r="M453" s="50" t="str">
        <x:v>https://github.com/ballacademy/NBA-head-to-head-/blob/5b1decfc31ffb645469c7ffbd01aaca4b18181bd/data/nba-stats/nba-player-stats-202526-regular-season-per-game.csv</x:v>
      </x:c>
    </x:row>
    <x:row r="454">
      <x:c r="A454" s="48" t="str">
        <x:v>B.J. Edwards</x:v>
      </x:c>
      <x:c r="B454" s="48" t="n">
        <x:v>449</x:v>
      </x:c>
      <x:c r="C454" s="48" t="str">
        <x:v>PG</x:v>
      </x:c>
      <x:c r="D454" s="48" t="n">
        <x:v>0</x:v>
      </x:c>
      <x:c r="E454" s="48" t="n">
        <x:v>0</x:v>
      </x:c>
      <x:c r="F454" s="48" t="n">
        <x:v>3.5</x:v>
      </x:c>
      <x:c r="G454" s="48" t="str">
        <x:v>WATCH</x:v>
      </x:c>
      <x:c r="H454" s="48"/>
      <x:c r="I454" s="48"/>
      <x:c r="J454" s="48" t="str">
        <x:v>No reliable projection; camp/summer watch pool</x:v>
      </x:c>
      <x:c r="K454" s="50" t="str">
        <x:v>Camp/summer-depth watch entry; no reliable 2026-27 fantasy projection. Verify final NBA contract, roster status and role before draft use.</x:v>
      </x:c>
      <x:c r="L454" s="50" t="str">
        <x:v>https://github.com/A-V29/NBA.Rosters/blob/main/2026.Summer.League.json</x:v>
      </x:c>
      <x:c r="M454" s="50" t="str">
        <x:v>https://github.com/ballacademy/NBA-head-to-head-/blob/5b1decfc31ffb645469c7ffbd01aaca4b18181bd/data/nba-stats/nba-player-stats-202526-regular-season-per-game.csv</x:v>
      </x:c>
    </x:row>
    <x:row r="455">
      <x:c r="A455" s="48" t="str">
        <x:v>Barry Evans</x:v>
      </x:c>
      <x:c r="B455" s="48" t="n">
        <x:v>450</x:v>
      </x:c>
      <x:c r="C455" s="48" t="str">
        <x:v>PF</x:v>
      </x:c>
      <x:c r="D455" s="48" t="n">
        <x:v>0</x:v>
      </x:c>
      <x:c r="E455" s="48" t="n">
        <x:v>0</x:v>
      </x:c>
      <x:c r="F455" s="48" t="n">
        <x:v>3.5</x:v>
      </x:c>
      <x:c r="G455" s="48" t="str">
        <x:v>WATCH</x:v>
      </x:c>
      <x:c r="H455" s="48"/>
      <x:c r="I455" s="48"/>
      <x:c r="J455" s="48" t="str">
        <x:v>No reliable projection; camp/summer watch pool</x:v>
      </x:c>
      <x:c r="K455" s="50" t="str">
        <x:v>Camp/summer-depth watch entry; no reliable 2026-27 fantasy projection. Verify final NBA contract, roster status and role before draft use.</x:v>
      </x:c>
      <x:c r="L455" s="50" t="str">
        <x:v>https://github.com/A-V29/NBA.Rosters/blob/main/2026.Summer.League.json</x:v>
      </x:c>
      <x:c r="M455" s="50" t="str">
        <x:v>https://github.com/ballacademy/NBA-head-to-head-/blob/5b1decfc31ffb645469c7ffbd01aaca4b18181bd/data/nba-stats/nba-player-stats-202526-regular-season-per-game.csv</x:v>
      </x:c>
    </x:row>
    <x:row r="456">
      <x:c r="A456" s="48" t="str">
        <x:v>Basheer Jihad</x:v>
      </x:c>
      <x:c r="B456" s="48" t="n">
        <x:v>451</x:v>
      </x:c>
      <x:c r="C456" s="48" t="str">
        <x:v>C</x:v>
      </x:c>
      <x:c r="D456" s="48" t="n">
        <x:v>0</x:v>
      </x:c>
      <x:c r="E456" s="48" t="n">
        <x:v>0</x:v>
      </x:c>
      <x:c r="F456" s="48" t="n">
        <x:v>3.5</x:v>
      </x:c>
      <x:c r="G456" s="48" t="str">
        <x:v>WATCH</x:v>
      </x:c>
      <x:c r="H456" s="48"/>
      <x:c r="I456" s="48"/>
      <x:c r="J456" s="48" t="str">
        <x:v>No reliable projection; camp/summer watch pool</x:v>
      </x:c>
      <x:c r="K456" s="50" t="str">
        <x:v>Camp/summer-depth watch entry; no reliable 2026-27 fantasy projection. Verify final NBA contract, roster status and role before draft use.</x:v>
      </x:c>
      <x:c r="L456" s="50" t="str">
        <x:v>https://github.com/A-V29/NBA.Rosters/blob/main/2026.Summer.League.json</x:v>
      </x:c>
      <x:c r="M456" s="50" t="str">
        <x:v>https://github.com/ballacademy/NBA-head-to-head-/blob/5b1decfc31ffb645469c7ffbd01aaca4b18181bd/data/nba-stats/nba-player-stats-202526-regular-season-per-game.csv</x:v>
      </x:c>
    </x:row>
    <x:row r="457">
      <x:c r="A457" s="48" t="str">
        <x:v>Ben Humrichous</x:v>
      </x:c>
      <x:c r="B457" s="48" t="n">
        <x:v>452</x:v>
      </x:c>
      <x:c r="C457" s="48" t="str">
        <x:v>PF</x:v>
      </x:c>
      <x:c r="D457" s="48" t="n">
        <x:v>0</x:v>
      </x:c>
      <x:c r="E457" s="48" t="n">
        <x:v>0</x:v>
      </x:c>
      <x:c r="F457" s="48" t="n">
        <x:v>3.5</x:v>
      </x:c>
      <x:c r="G457" s="48" t="str">
        <x:v>WATCH</x:v>
      </x:c>
      <x:c r="H457" s="48"/>
      <x:c r="I457" s="48"/>
      <x:c r="J457" s="48" t="str">
        <x:v>No reliable projection; camp/summer watch pool</x:v>
      </x:c>
      <x:c r="K457" s="50" t="str">
        <x:v>Camp/summer-depth watch entry; no reliable 2026-27 fantasy projection. Verify final NBA contract, roster status and role before draft use.</x:v>
      </x:c>
      <x:c r="L457" s="50" t="str">
        <x:v>https://github.com/A-V29/NBA.Rosters/blob/main/2026.Summer.League.json</x:v>
      </x:c>
      <x:c r="M457" s="50" t="str">
        <x:v>https://github.com/ballacademy/NBA-head-to-head-/blob/5b1decfc31ffb645469c7ffbd01aaca4b18181bd/data/nba-stats/nba-player-stats-202526-regular-season-per-game.csv</x:v>
      </x:c>
    </x:row>
    <x:row r="458">
      <x:c r="A458" s="48" t="str">
        <x:v>Ben Middlebrooks</x:v>
      </x:c>
      <x:c r="B458" s="48" t="n">
        <x:v>453</x:v>
      </x:c>
      <x:c r="C458" s="48" t="str">
        <x:v>C</x:v>
      </x:c>
      <x:c r="D458" s="48" t="n">
        <x:v>0</x:v>
      </x:c>
      <x:c r="E458" s="48" t="n">
        <x:v>0</x:v>
      </x:c>
      <x:c r="F458" s="48" t="n">
        <x:v>3.5</x:v>
      </x:c>
      <x:c r="G458" s="48" t="str">
        <x:v>WATCH</x:v>
      </x:c>
      <x:c r="H458" s="48"/>
      <x:c r="I458" s="48"/>
      <x:c r="J458" s="48" t="str">
        <x:v>No reliable projection; camp/summer watch pool</x:v>
      </x:c>
      <x:c r="K458" s="50" t="str">
        <x:v>Camp/summer-depth watch entry; no reliable 2026-27 fantasy projection. Verify final NBA contract, roster status and role before draft use.</x:v>
      </x:c>
      <x:c r="L458" s="50" t="str">
        <x:v>https://github.com/A-V29/NBA.Rosters/blob/main/2026.Summer.League.json</x:v>
      </x:c>
      <x:c r="M458" s="50" t="str">
        <x:v>https://github.com/ballacademy/NBA-head-to-head-/blob/5b1decfc31ffb645469c7ffbd01aaca4b18181bd/data/nba-stats/nba-player-stats-202526-regular-season-per-game.csv</x:v>
      </x:c>
    </x:row>
    <x:row r="459">
      <x:c r="A459" s="48" t="str">
        <x:v>Boo Buie</x:v>
      </x:c>
      <x:c r="B459" s="48" t="n">
        <x:v>454</x:v>
      </x:c>
      <x:c r="C459" s="48" t="str">
        <x:v>PG</x:v>
      </x:c>
      <x:c r="D459" s="48" t="n">
        <x:v>0</x:v>
      </x:c>
      <x:c r="E459" s="48" t="n">
        <x:v>0</x:v>
      </x:c>
      <x:c r="F459" s="48" t="n">
        <x:v>3.5</x:v>
      </x:c>
      <x:c r="G459" s="48" t="str">
        <x:v>WATCH</x:v>
      </x:c>
      <x:c r="H459" s="48"/>
      <x:c r="I459" s="48"/>
      <x:c r="J459" s="48" t="str">
        <x:v>No reliable projection; camp/summer watch pool</x:v>
      </x:c>
      <x:c r="K459" s="50" t="str">
        <x:v>Camp/summer-depth watch entry; no reliable 2026-27 fantasy projection. Verify final NBA contract, roster status and role before draft use.</x:v>
      </x:c>
      <x:c r="L459" s="50" t="str">
        <x:v>https://github.com/A-V29/NBA.Rosters/blob/main/2026.Summer.League.json</x:v>
      </x:c>
      <x:c r="M459" s="50" t="str">
        <x:v>https://github.com/ballacademy/NBA-head-to-head-/blob/5b1decfc31ffb645469c7ffbd01aaca4b18181bd/data/nba-stats/nba-player-stats-202526-regular-season-per-game.csv</x:v>
      </x:c>
    </x:row>
    <x:row r="460">
      <x:c r="A460" s="48" t="str">
        <x:v>Boopie Miller</x:v>
      </x:c>
      <x:c r="B460" s="48" t="n">
        <x:v>455</x:v>
      </x:c>
      <x:c r="C460" s="48" t="str">
        <x:v>PG</x:v>
      </x:c>
      <x:c r="D460" s="48" t="n">
        <x:v>0</x:v>
      </x:c>
      <x:c r="E460" s="48" t="n">
        <x:v>0</x:v>
      </x:c>
      <x:c r="F460" s="48" t="n">
        <x:v>3.5</x:v>
      </x:c>
      <x:c r="G460" s="48" t="str">
        <x:v>WATCH</x:v>
      </x:c>
      <x:c r="H460" s="48"/>
      <x:c r="I460" s="48"/>
      <x:c r="J460" s="48" t="str">
        <x:v>No reliable projection; camp/summer watch pool</x:v>
      </x:c>
      <x:c r="K460" s="50" t="str">
        <x:v>Camp/summer-depth watch entry; no reliable 2026-27 fantasy projection. Verify final NBA contract, roster status and role before draft use.</x:v>
      </x:c>
      <x:c r="L460" s="50" t="str">
        <x:v>https://github.com/A-V29/NBA.Rosters/blob/main/2026.Summer.League.json</x:v>
      </x:c>
      <x:c r="M460" s="50" t="str">
        <x:v>https://github.com/ballacademy/NBA-head-to-head-/blob/5b1decfc31ffb645469c7ffbd01aaca4b18181bd/data/nba-stats/nba-player-stats-202526-regular-season-per-game.csv</x:v>
      </x:c>
    </x:row>
    <x:row r="461">
      <x:c r="A461" s="48" t="str">
        <x:v>Braden Smith</x:v>
      </x:c>
      <x:c r="B461" s="48" t="n">
        <x:v>456</x:v>
      </x:c>
      <x:c r="C461" s="48" t="str">
        <x:v>PG</x:v>
      </x:c>
      <x:c r="D461" s="48" t="n">
        <x:v>0</x:v>
      </x:c>
      <x:c r="E461" s="48" t="n">
        <x:v>0</x:v>
      </x:c>
      <x:c r="F461" s="48" t="n">
        <x:v>3.5</x:v>
      </x:c>
      <x:c r="G461" s="48" t="str">
        <x:v>WATCH</x:v>
      </x:c>
      <x:c r="H461" s="48"/>
      <x:c r="I461" s="48"/>
      <x:c r="J461" s="48" t="str">
        <x:v>No reliable projection; camp/summer watch pool</x:v>
      </x:c>
      <x:c r="K461" s="50" t="str">
        <x:v>Camp/summer-depth watch entry; no reliable 2026-27 fantasy projection. Verify final NBA contract, roster status and role before draft use.</x:v>
      </x:c>
      <x:c r="L461" s="50" t="str">
        <x:v>https://github.com/A-V29/NBA.Rosters/blob/main/2026.Summer.League.json</x:v>
      </x:c>
      <x:c r="M461" s="50" t="str">
        <x:v>https://github.com/ballacademy/NBA-head-to-head-/blob/5b1decfc31ffb645469c7ffbd01aaca4b18181bd/data/nba-stats/nba-player-stats-202526-regular-season-per-game.csv</x:v>
      </x:c>
    </x:row>
    <x:row r="462">
      <x:c r="A462" s="48" t="str">
        <x:v>Brandon Angel</x:v>
      </x:c>
      <x:c r="B462" s="48" t="n">
        <x:v>457</x:v>
      </x:c>
      <x:c r="C462" s="48" t="str">
        <x:v>PF</x:v>
      </x:c>
      <x:c r="D462" s="48" t="n">
        <x:v>0</x:v>
      </x:c>
      <x:c r="E462" s="48" t="n">
        <x:v>0</x:v>
      </x:c>
      <x:c r="F462" s="48" t="n">
        <x:v>3.5</x:v>
      </x:c>
      <x:c r="G462" s="48" t="str">
        <x:v>WATCH</x:v>
      </x:c>
      <x:c r="H462" s="48"/>
      <x:c r="I462" s="48"/>
      <x:c r="J462" s="48" t="str">
        <x:v>No reliable projection; camp/summer watch pool</x:v>
      </x:c>
      <x:c r="K462" s="50" t="str">
        <x:v>Camp/summer-depth watch entry; no reliable 2026-27 fantasy projection. Verify final NBA contract, roster status and role before draft use.</x:v>
      </x:c>
      <x:c r="L462" s="50" t="str">
        <x:v>https://github.com/A-V29/NBA.Rosters/blob/main/2026.Summer.League.json</x:v>
      </x:c>
      <x:c r="M462" s="50" t="str">
        <x:v>https://github.com/ballacademy/NBA-head-to-head-/blob/5b1decfc31ffb645469c7ffbd01aaca4b18181bd/data/nba-stats/nba-player-stats-202526-regular-season-per-game.csv</x:v>
      </x:c>
    </x:row>
    <x:row r="463">
      <x:c r="A463" s="48" t="str">
        <x:v>Brendan Hausen</x:v>
      </x:c>
      <x:c r="B463" s="48" t="n">
        <x:v>458</x:v>
      </x:c>
      <x:c r="C463" s="48" t="str">
        <x:v>SG</x:v>
      </x:c>
      <x:c r="D463" s="48" t="n">
        <x:v>0</x:v>
      </x:c>
      <x:c r="E463" s="48" t="n">
        <x:v>0</x:v>
      </x:c>
      <x:c r="F463" s="48" t="n">
        <x:v>3.5</x:v>
      </x:c>
      <x:c r="G463" s="48" t="str">
        <x:v>WATCH</x:v>
      </x:c>
      <x:c r="H463" s="48"/>
      <x:c r="I463" s="48"/>
      <x:c r="J463" s="48" t="str">
        <x:v>No reliable projection; camp/summer watch pool</x:v>
      </x:c>
      <x:c r="K463" s="50" t="str">
        <x:v>Camp/summer-depth watch entry; no reliable 2026-27 fantasy projection. Verify final NBA contract, roster status and role before draft use.</x:v>
      </x:c>
      <x:c r="L463" s="50" t="str">
        <x:v>https://github.com/A-V29/NBA.Rosters/blob/main/2026.Summer.League.json</x:v>
      </x:c>
      <x:c r="M463" s="50" t="str">
        <x:v>https://github.com/ballacademy/NBA-head-to-head-/blob/5b1decfc31ffb645469c7ffbd01aaca4b18181bd/data/nba-stats/nba-player-stats-202526-regular-season-per-game.csv</x:v>
      </x:c>
    </x:row>
    <x:row r="464">
      <x:c r="A464" s="48" t="str">
        <x:v>Bryce Harris</x:v>
      </x:c>
      <x:c r="B464" s="48" t="n">
        <x:v>459</x:v>
      </x:c>
      <x:c r="C464" s="48" t="str">
        <x:v>SF</x:v>
      </x:c>
      <x:c r="D464" s="48" t="n">
        <x:v>0</x:v>
      </x:c>
      <x:c r="E464" s="48" t="n">
        <x:v>0</x:v>
      </x:c>
      <x:c r="F464" s="48" t="n">
        <x:v>3.5</x:v>
      </x:c>
      <x:c r="G464" s="48" t="str">
        <x:v>WATCH</x:v>
      </x:c>
      <x:c r="H464" s="48"/>
      <x:c r="I464" s="48"/>
      <x:c r="J464" s="48" t="str">
        <x:v>No reliable projection; camp/summer watch pool</x:v>
      </x:c>
      <x:c r="K464" s="50" t="str">
        <x:v>Camp/summer-depth watch entry; no reliable 2026-27 fantasy projection. Verify final NBA contract, roster status and role before draft use.</x:v>
      </x:c>
      <x:c r="L464" s="50" t="str">
        <x:v>https://github.com/A-V29/NBA.Rosters/blob/main/2026.Summer.League.json</x:v>
      </x:c>
      <x:c r="M464" s="50" t="str">
        <x:v>https://github.com/ballacademy/NBA-head-to-head-/blob/5b1decfc31ffb645469c7ffbd01aaca4b18181bd/data/nba-stats/nba-player-stats-202526-regular-season-per-game.csv</x:v>
      </x:c>
    </x:row>
    <x:row r="465">
      <x:c r="A465" s="48" t="str">
        <x:v>Bryce Hopkins</x:v>
      </x:c>
      <x:c r="B465" s="48" t="n">
        <x:v>460</x:v>
      </x:c>
      <x:c r="C465" s="48" t="str">
        <x:v>PF</x:v>
      </x:c>
      <x:c r="D465" s="48" t="n">
        <x:v>0</x:v>
      </x:c>
      <x:c r="E465" s="48" t="n">
        <x:v>0</x:v>
      </x:c>
      <x:c r="F465" s="48" t="n">
        <x:v>3.5</x:v>
      </x:c>
      <x:c r="G465" s="48" t="str">
        <x:v>WATCH</x:v>
      </x:c>
      <x:c r="H465" s="48"/>
      <x:c r="I465" s="48"/>
      <x:c r="J465" s="48" t="str">
        <x:v>No reliable projection; camp/summer watch pool</x:v>
      </x:c>
      <x:c r="K465" s="50" t="str">
        <x:v>Camp/summer-depth watch entry; no reliable 2026-27 fantasy projection. Verify final NBA contract, roster status and role before draft use.</x:v>
      </x:c>
      <x:c r="L465" s="50" t="str">
        <x:v>https://github.com/A-V29/NBA.Rosters/blob/main/2026.Summer.League.json</x:v>
      </x:c>
      <x:c r="M465" s="50" t="str">
        <x:v>https://github.com/ballacademy/NBA-head-to-head-/blob/5b1decfc31ffb645469c7ffbd01aaca4b18181bd/data/nba-stats/nba-player-stats-202526-regular-season-per-game.csv</x:v>
      </x:c>
    </x:row>
    <x:row r="466">
      <x:c r="A466" s="48" t="str">
        <x:v>Bryce Thompson</x:v>
      </x:c>
      <x:c r="B466" s="48" t="n">
        <x:v>461</x:v>
      </x:c>
      <x:c r="C466" s="48" t="str">
        <x:v>SF</x:v>
      </x:c>
      <x:c r="D466" s="48" t="n">
        <x:v>0</x:v>
      </x:c>
      <x:c r="E466" s="48" t="n">
        <x:v>0</x:v>
      </x:c>
      <x:c r="F466" s="48" t="n">
        <x:v>3.5</x:v>
      </x:c>
      <x:c r="G466" s="48" t="str">
        <x:v>WATCH</x:v>
      </x:c>
      <x:c r="H466" s="48"/>
      <x:c r="I466" s="48"/>
      <x:c r="J466" s="48" t="str">
        <x:v>No reliable projection; camp/summer watch pool</x:v>
      </x:c>
      <x:c r="K466" s="50" t="str">
        <x:v>Camp/summer-depth watch entry; no reliable 2026-27 fantasy projection. Verify final NBA contract, roster status and role before draft use.</x:v>
      </x:c>
      <x:c r="L466" s="50" t="str">
        <x:v>https://github.com/A-V29/NBA.Rosters/blob/main/2026.Summer.League.json</x:v>
      </x:c>
      <x:c r="M466" s="50" t="str">
        <x:v>https://github.com/ballacademy/NBA-head-to-head-/blob/5b1decfc31ffb645469c7ffbd01aaca4b18181bd/data/nba-stats/nba-player-stats-202526-regular-season-per-game.csv</x:v>
      </x:c>
    </x:row>
    <x:row r="467">
      <x:c r="A467" s="48" t="str">
        <x:v>C.J. Elleby</x:v>
      </x:c>
      <x:c r="B467" s="48" t="n">
        <x:v>462</x:v>
      </x:c>
      <x:c r="C467" s="48" t="str">
        <x:v>SF</x:v>
      </x:c>
      <x:c r="D467" s="48" t="n">
        <x:v>0</x:v>
      </x:c>
      <x:c r="E467" s="48" t="n">
        <x:v>0</x:v>
      </x:c>
      <x:c r="F467" s="48" t="n">
        <x:v>3.5</x:v>
      </x:c>
      <x:c r="G467" s="48" t="str">
        <x:v>WATCH</x:v>
      </x:c>
      <x:c r="H467" s="48"/>
      <x:c r="I467" s="48"/>
      <x:c r="J467" s="48" t="str">
        <x:v>No reliable projection; camp/summer watch pool</x:v>
      </x:c>
      <x:c r="K467" s="50" t="str">
        <x:v>Camp/summer-depth watch entry; no reliable 2026-27 fantasy projection. Verify final NBA contract, roster status and role before draft use.</x:v>
      </x:c>
      <x:c r="L467" s="50" t="str">
        <x:v>https://github.com/A-V29/NBA.Rosters/blob/main/2026.Summer.League.json</x:v>
      </x:c>
      <x:c r="M467" s="50" t="str">
        <x:v>https://github.com/ballacademy/NBA-head-to-head-/blob/5b1decfc31ffb645469c7ffbd01aaca4b18181bd/data/nba-stats/nba-player-stats-202526-regular-season-per-game.csv</x:v>
      </x:c>
    </x:row>
    <x:row r="468">
      <x:c r="A468" s="48" t="str">
        <x:v>C.J. Gunn</x:v>
      </x:c>
      <x:c r="B468" s="48" t="n">
        <x:v>463</x:v>
      </x:c>
      <x:c r="C468" s="48" t="str">
        <x:v>SF</x:v>
      </x:c>
      <x:c r="D468" s="48" t="n">
        <x:v>0</x:v>
      </x:c>
      <x:c r="E468" s="48" t="n">
        <x:v>0</x:v>
      </x:c>
      <x:c r="F468" s="48" t="n">
        <x:v>3.5</x:v>
      </x:c>
      <x:c r="G468" s="48" t="str">
        <x:v>WATCH</x:v>
      </x:c>
      <x:c r="H468" s="48"/>
      <x:c r="I468" s="48"/>
      <x:c r="J468" s="48" t="str">
        <x:v>No reliable projection; camp/summer watch pool</x:v>
      </x:c>
      <x:c r="K468" s="50" t="str">
        <x:v>Camp/summer-depth watch entry; no reliable 2026-27 fantasy projection. Verify final NBA contract, roster status and role before draft use.</x:v>
      </x:c>
      <x:c r="L468" s="50" t="str">
        <x:v>https://github.com/A-V29/NBA.Rosters/blob/main/2026.Summer.League.json</x:v>
      </x:c>
      <x:c r="M468" s="50" t="str">
        <x:v>https://github.com/ballacademy/NBA-head-to-head-/blob/5b1decfc31ffb645469c7ffbd01aaca4b18181bd/data/nba-stats/nba-player-stats-202526-regular-season-per-game.csv</x:v>
      </x:c>
    </x:row>
    <x:row r="469">
      <x:c r="A469" s="48" t="str">
        <x:v>Caleb Grill</x:v>
      </x:c>
      <x:c r="B469" s="48" t="n">
        <x:v>464</x:v>
      </x:c>
      <x:c r="C469" s="48" t="str">
        <x:v>SG</x:v>
      </x:c>
      <x:c r="D469" s="48" t="n">
        <x:v>0</x:v>
      </x:c>
      <x:c r="E469" s="48" t="n">
        <x:v>0</x:v>
      </x:c>
      <x:c r="F469" s="48" t="n">
        <x:v>3.5</x:v>
      </x:c>
      <x:c r="G469" s="48" t="str">
        <x:v>WATCH</x:v>
      </x:c>
      <x:c r="H469" s="48"/>
      <x:c r="I469" s="48"/>
      <x:c r="J469" s="48" t="str">
        <x:v>No reliable projection; camp/summer watch pool</x:v>
      </x:c>
      <x:c r="K469" s="50" t="str">
        <x:v>Camp/summer-depth watch entry; no reliable 2026-27 fantasy projection. Verify final NBA contract, roster status and role before draft use.</x:v>
      </x:c>
      <x:c r="L469" s="50" t="str">
        <x:v>https://github.com/A-V29/NBA.Rosters/blob/main/2026.Summer.League.json</x:v>
      </x:c>
      <x:c r="M469" s="50" t="str">
        <x:v>https://github.com/ballacademy/NBA-head-to-head-/blob/5b1decfc31ffb645469c7ffbd01aaca4b18181bd/data/nba-stats/nba-player-stats-202526-regular-season-per-game.csv</x:v>
      </x:c>
    </x:row>
    <x:row r="470">
      <x:c r="A470" s="48" t="str">
        <x:v>Cam Carter</x:v>
      </x:c>
      <x:c r="B470" s="48" t="n">
        <x:v>465</x:v>
      </x:c>
      <x:c r="C470" s="48" t="str">
        <x:v>PG</x:v>
      </x:c>
      <x:c r="D470" s="48" t="n">
        <x:v>0</x:v>
      </x:c>
      <x:c r="E470" s="48" t="n">
        <x:v>0</x:v>
      </x:c>
      <x:c r="F470" s="48" t="n">
        <x:v>3.5</x:v>
      </x:c>
      <x:c r="G470" s="48" t="str">
        <x:v>WATCH</x:v>
      </x:c>
      <x:c r="H470" s="48"/>
      <x:c r="I470" s="48"/>
      <x:c r="J470" s="48" t="str">
        <x:v>No reliable projection; camp/summer watch pool</x:v>
      </x:c>
      <x:c r="K470" s="50" t="str">
        <x:v>Camp/summer-depth watch entry; no reliable 2026-27 fantasy projection. Verify final NBA contract, roster status and role before draft use.</x:v>
      </x:c>
      <x:c r="L470" s="50" t="str">
        <x:v>https://github.com/A-V29/NBA.Rosters/blob/main/2026.Summer.League.json</x:v>
      </x:c>
      <x:c r="M470" s="50" t="str">
        <x:v>https://github.com/ballacademy/NBA-head-to-head-/blob/5b1decfc31ffb645469c7ffbd01aaca4b18181bd/data/nba-stats/nba-player-stats-202526-regular-season-per-game.csv</x:v>
      </x:c>
    </x:row>
    <x:row r="471">
      <x:c r="A471" s="48" t="str">
        <x:v>Cam Reddish</x:v>
      </x:c>
      <x:c r="B471" s="48" t="n">
        <x:v>466</x:v>
      </x:c>
      <x:c r="C471" s="48" t="str">
        <x:v>SF</x:v>
      </x:c>
      <x:c r="D471" s="48" t="n">
        <x:v>0</x:v>
      </x:c>
      <x:c r="E471" s="48" t="n">
        <x:v>0</x:v>
      </x:c>
      <x:c r="F471" s="48" t="n">
        <x:v>3.5</x:v>
      </x:c>
      <x:c r="G471" s="48" t="str">
        <x:v>WATCH</x:v>
      </x:c>
      <x:c r="H471" s="48"/>
      <x:c r="I471" s="48"/>
      <x:c r="J471" s="48" t="str">
        <x:v>No reliable projection; camp/summer watch pool</x:v>
      </x:c>
      <x:c r="K471" s="50" t="str">
        <x:v>Camp/summer-depth watch entry; no reliable 2026-27 fantasy projection. Verify final NBA contract, roster status and role before draft use.</x:v>
      </x:c>
      <x:c r="L471" s="50" t="str">
        <x:v>https://github.com/A-V29/NBA.Rosters/blob/main/2026.Summer.League.json</x:v>
      </x:c>
      <x:c r="M471" s="50" t="str">
        <x:v>https://github.com/ballacademy/NBA-head-to-head-/blob/5b1decfc31ffb645469c7ffbd01aaca4b18181bd/data/nba-stats/nba-player-stats-202526-regular-season-per-game.csv</x:v>
      </x:c>
    </x:row>
    <x:row r="472">
      <x:c r="A472" s="48" t="str">
        <x:v>Cameron Corhen</x:v>
      </x:c>
      <x:c r="B472" s="48" t="n">
        <x:v>467</x:v>
      </x:c>
      <x:c r="C472" s="48" t="str">
        <x:v>C</x:v>
      </x:c>
      <x:c r="D472" s="48" t="n">
        <x:v>0</x:v>
      </x:c>
      <x:c r="E472" s="48" t="n">
        <x:v>0</x:v>
      </x:c>
      <x:c r="F472" s="48" t="n">
        <x:v>3.5</x:v>
      </x:c>
      <x:c r="G472" s="48" t="str">
        <x:v>WATCH</x:v>
      </x:c>
      <x:c r="H472" s="48"/>
      <x:c r="I472" s="48"/>
      <x:c r="J472" s="48" t="str">
        <x:v>No reliable projection; camp/summer watch pool</x:v>
      </x:c>
      <x:c r="K472" s="50" t="str">
        <x:v>Camp/summer-depth watch entry; no reliable 2026-27 fantasy projection. Verify final NBA contract, roster status and role before draft use.</x:v>
      </x:c>
      <x:c r="L472" s="50" t="str">
        <x:v>https://github.com/A-V29/NBA.Rosters/blob/main/2026.Summer.League.json</x:v>
      </x:c>
      <x:c r="M472" s="50" t="str">
        <x:v>https://github.com/ballacademy/NBA-head-to-head-/blob/5b1decfc31ffb645469c7ffbd01aaca4b18181bd/data/nba-stats/nba-player-stats-202526-regular-season-per-game.csv</x:v>
      </x:c>
    </x:row>
    <x:row r="473">
      <x:c r="A473" s="48" t="str">
        <x:v>Cameron Hildreth</x:v>
      </x:c>
      <x:c r="B473" s="48" t="n">
        <x:v>468</x:v>
      </x:c>
      <x:c r="C473" s="48" t="str">
        <x:v>PG</x:v>
      </x:c>
      <x:c r="D473" s="48" t="n">
        <x:v>0</x:v>
      </x:c>
      <x:c r="E473" s="48" t="n">
        <x:v>0</x:v>
      </x:c>
      <x:c r="F473" s="48" t="n">
        <x:v>3.5</x:v>
      </x:c>
      <x:c r="G473" s="48" t="str">
        <x:v>WATCH</x:v>
      </x:c>
      <x:c r="H473" s="48"/>
      <x:c r="I473" s="48"/>
      <x:c r="J473" s="48" t="str">
        <x:v>No reliable projection; camp/summer watch pool</x:v>
      </x:c>
      <x:c r="K473" s="50" t="str">
        <x:v>Camp/summer-depth watch entry; no reliable 2026-27 fantasy projection. Verify final NBA contract, roster status and role before draft use.</x:v>
      </x:c>
      <x:c r="L473" s="50" t="str">
        <x:v>https://github.com/A-V29/NBA.Rosters/blob/main/2026.Summer.League.json</x:v>
      </x:c>
      <x:c r="M473" s="50" t="str">
        <x:v>https://github.com/ballacademy/NBA-head-to-head-/blob/5b1decfc31ffb645469c7ffbd01aaca4b18181bd/data/nba-stats/nba-player-stats-202526-regular-season-per-game.csv</x:v>
      </x:c>
    </x:row>
    <x:row r="474">
      <x:c r="A474" s="48" t="str">
        <x:v>Cameron Matthews</x:v>
      </x:c>
      <x:c r="B474" s="48" t="n">
        <x:v>469</x:v>
      </x:c>
      <x:c r="C474" s="48" t="str">
        <x:v>PF</x:v>
      </x:c>
      <x:c r="D474" s="48" t="n">
        <x:v>0</x:v>
      </x:c>
      <x:c r="E474" s="48" t="n">
        <x:v>0</x:v>
      </x:c>
      <x:c r="F474" s="48" t="n">
        <x:v>3.5</x:v>
      </x:c>
      <x:c r="G474" s="48" t="str">
        <x:v>WATCH</x:v>
      </x:c>
      <x:c r="H474" s="48"/>
      <x:c r="I474" s="48"/>
      <x:c r="J474" s="48" t="str">
        <x:v>No reliable projection; camp/summer watch pool</x:v>
      </x:c>
      <x:c r="K474" s="50" t="str">
        <x:v>Camp/summer-depth watch entry; no reliable 2026-27 fantasy projection. Verify final NBA contract, roster status and role before draft use.</x:v>
      </x:c>
      <x:c r="L474" s="50" t="str">
        <x:v>https://github.com/A-V29/NBA.Rosters/blob/main/2026.Summer.League.json</x:v>
      </x:c>
      <x:c r="M474" s="50" t="str">
        <x:v>https://github.com/ballacademy/NBA-head-to-head-/blob/5b1decfc31ffb645469c7ffbd01aaca4b18181bd/data/nba-stats/nba-player-stats-202526-regular-season-per-game.csv</x:v>
      </x:c>
    </x:row>
    <x:row r="475">
      <x:c r="A475" s="48" t="str">
        <x:v>Cameron Tyson</x:v>
      </x:c>
      <x:c r="B475" s="48" t="n">
        <x:v>470</x:v>
      </x:c>
      <x:c r="C475" s="48" t="str">
        <x:v>SG</x:v>
      </x:c>
      <x:c r="D475" s="48" t="n">
        <x:v>0</x:v>
      </x:c>
      <x:c r="E475" s="48" t="n">
        <x:v>0</x:v>
      </x:c>
      <x:c r="F475" s="48" t="n">
        <x:v>3.5</x:v>
      </x:c>
      <x:c r="G475" s="48" t="str">
        <x:v>WATCH</x:v>
      </x:c>
      <x:c r="H475" s="48"/>
      <x:c r="I475" s="48"/>
      <x:c r="J475" s="48" t="str">
        <x:v>No reliable projection; camp/summer watch pool</x:v>
      </x:c>
      <x:c r="K475" s="50" t="str">
        <x:v>Camp/summer-depth watch entry; no reliable 2026-27 fantasy projection. Verify final NBA contract, roster status and role before draft use.</x:v>
      </x:c>
      <x:c r="L475" s="50" t="str">
        <x:v>https://github.com/A-V29/NBA.Rosters/blob/main/2026.Summer.League.json</x:v>
      </x:c>
      <x:c r="M475" s="50" t="str">
        <x:v>https://github.com/ballacademy/NBA-head-to-head-/blob/5b1decfc31ffb645469c7ffbd01aaca4b18181bd/data/nba-stats/nba-player-stats-202526-regular-season-per-game.csv</x:v>
      </x:c>
    </x:row>
    <x:row r="476">
      <x:c r="A476" s="48" t="str">
        <x:v>Carson Cooper</x:v>
      </x:c>
      <x:c r="B476" s="48" t="n">
        <x:v>471</x:v>
      </x:c>
      <x:c r="C476" s="48" t="str">
        <x:v>C</x:v>
      </x:c>
      <x:c r="D476" s="48" t="n">
        <x:v>0</x:v>
      </x:c>
      <x:c r="E476" s="48" t="n">
        <x:v>0</x:v>
      </x:c>
      <x:c r="F476" s="48" t="n">
        <x:v>3.5</x:v>
      </x:c>
      <x:c r="G476" s="48" t="str">
        <x:v>WATCH</x:v>
      </x:c>
      <x:c r="H476" s="48"/>
      <x:c r="I476" s="48"/>
      <x:c r="J476" s="48" t="str">
        <x:v>No reliable projection; camp/summer watch pool</x:v>
      </x:c>
      <x:c r="K476" s="50" t="str">
        <x:v>Camp/summer-depth watch entry; no reliable 2026-27 fantasy projection. Verify final NBA contract, roster status and role before draft use.</x:v>
      </x:c>
      <x:c r="L476" s="50" t="str">
        <x:v>https://github.com/A-V29/NBA.Rosters/blob/main/2026.Summer.League.json</x:v>
      </x:c>
      <x:c r="M476" s="50" t="str">
        <x:v>https://github.com/ballacademy/NBA-head-to-head-/blob/5b1decfc31ffb645469c7ffbd01aaca4b18181bd/data/nba-stats/nba-player-stats-202526-regular-season-per-game.csv</x:v>
      </x:c>
    </x:row>
    <x:row r="477">
      <x:c r="A477" s="48" t="str">
        <x:v>Chance McMillian</x:v>
      </x:c>
      <x:c r="B477" s="48" t="n">
        <x:v>472</x:v>
      </x:c>
      <x:c r="C477" s="48" t="str">
        <x:v>PG</x:v>
      </x:c>
      <x:c r="D477" s="48" t="n">
        <x:v>0</x:v>
      </x:c>
      <x:c r="E477" s="48" t="n">
        <x:v>0</x:v>
      </x:c>
      <x:c r="F477" s="48" t="n">
        <x:v>3.5</x:v>
      </x:c>
      <x:c r="G477" s="48" t="str">
        <x:v>WATCH</x:v>
      </x:c>
      <x:c r="H477" s="48"/>
      <x:c r="I477" s="48"/>
      <x:c r="J477" s="48" t="str">
        <x:v>No reliable projection; camp/summer watch pool</x:v>
      </x:c>
      <x:c r="K477" s="50" t="str">
        <x:v>Camp/summer-depth watch entry; no reliable 2026-27 fantasy projection. Verify final NBA contract, roster status and role before draft use.</x:v>
      </x:c>
      <x:c r="L477" s="50" t="str">
        <x:v>https://github.com/A-V29/NBA.Rosters/blob/main/2026.Summer.League.json</x:v>
      </x:c>
      <x:c r="M477" s="50" t="str">
        <x:v>https://github.com/ballacademy/NBA-head-to-head-/blob/5b1decfc31ffb645469c7ffbd01aaca4b18181bd/data/nba-stats/nba-player-stats-202526-regular-season-per-game.csv</x:v>
      </x:c>
    </x:row>
    <x:row r="478">
      <x:c r="A478" s="48" t="str">
        <x:v>Charles Bediako</x:v>
      </x:c>
      <x:c r="B478" s="48" t="n">
        <x:v>473</x:v>
      </x:c>
      <x:c r="C478" s="48" t="str">
        <x:v>C</x:v>
      </x:c>
      <x:c r="D478" s="48" t="n">
        <x:v>0</x:v>
      </x:c>
      <x:c r="E478" s="48" t="n">
        <x:v>0</x:v>
      </x:c>
      <x:c r="F478" s="48" t="n">
        <x:v>3.5</x:v>
      </x:c>
      <x:c r="G478" s="48" t="str">
        <x:v>WATCH</x:v>
      </x:c>
      <x:c r="H478" s="48"/>
      <x:c r="I478" s="48"/>
      <x:c r="J478" s="48" t="str">
        <x:v>No reliable projection; camp/summer watch pool</x:v>
      </x:c>
      <x:c r="K478" s="50" t="str">
        <x:v>Camp/summer-depth watch entry; no reliable 2026-27 fantasy projection. Verify final NBA contract, roster status and role before draft use.</x:v>
      </x:c>
      <x:c r="L478" s="50" t="str">
        <x:v>https://github.com/A-V29/NBA.Rosters/blob/main/2026.Summer.League.json</x:v>
      </x:c>
      <x:c r="M478" s="50" t="str">
        <x:v>https://github.com/ballacademy/NBA-head-to-head-/blob/5b1decfc31ffb645469c7ffbd01aaca4b18181bd/data/nba-stats/nba-player-stats-202526-regular-season-per-game.csv</x:v>
      </x:c>
    </x:row>
    <x:row r="479">
      <x:c r="A479" s="48" t="str">
        <x:v>Chase Hunter</x:v>
      </x:c>
      <x:c r="B479" s="48" t="n">
        <x:v>474</x:v>
      </x:c>
      <x:c r="C479" s="48" t="str">
        <x:v>PG</x:v>
      </x:c>
      <x:c r="D479" s="48" t="n">
        <x:v>0</x:v>
      </x:c>
      <x:c r="E479" s="48" t="n">
        <x:v>0</x:v>
      </x:c>
      <x:c r="F479" s="48" t="n">
        <x:v>3.5</x:v>
      </x:c>
      <x:c r="G479" s="48" t="str">
        <x:v>WATCH</x:v>
      </x:c>
      <x:c r="H479" s="48"/>
      <x:c r="I479" s="48"/>
      <x:c r="J479" s="48" t="str">
        <x:v>No reliable projection; camp/summer watch pool</x:v>
      </x:c>
      <x:c r="K479" s="50" t="str">
        <x:v>Camp/summer-depth watch entry; no reliable 2026-27 fantasy projection. Verify final NBA contract, roster status and role before draft use.</x:v>
      </x:c>
      <x:c r="L479" s="50" t="str">
        <x:v>https://github.com/A-V29/NBA.Rosters/blob/main/2026.Summer.League.json</x:v>
      </x:c>
      <x:c r="M479" s="50" t="str">
        <x:v>https://github.com/ballacademy/NBA-head-to-head-/blob/5b1decfc31ffb645469c7ffbd01aaca4b18181bd/data/nba-stats/nba-player-stats-202526-regular-season-per-game.csv</x:v>
      </x:c>
    </x:row>
    <x:row r="480">
      <x:c r="A480" s="48" t="str">
        <x:v>Chase Ross</x:v>
      </x:c>
      <x:c r="B480" s="48" t="n">
        <x:v>475</x:v>
      </x:c>
      <x:c r="C480" s="48" t="str">
        <x:v>PG</x:v>
      </x:c>
      <x:c r="D480" s="48" t="n">
        <x:v>0</x:v>
      </x:c>
      <x:c r="E480" s="48" t="n">
        <x:v>0</x:v>
      </x:c>
      <x:c r="F480" s="48" t="n">
        <x:v>3.5</x:v>
      </x:c>
      <x:c r="G480" s="48" t="str">
        <x:v>WATCH</x:v>
      </x:c>
      <x:c r="H480" s="48"/>
      <x:c r="I480" s="48"/>
      <x:c r="J480" s="48" t="str">
        <x:v>No reliable projection; camp/summer watch pool</x:v>
      </x:c>
      <x:c r="K480" s="50" t="str">
        <x:v>Camp/summer-depth watch entry; no reliable 2026-27 fantasy projection. Verify final NBA contract, roster status and role before draft use.</x:v>
      </x:c>
      <x:c r="L480" s="50" t="str">
        <x:v>https://github.com/A-V29/NBA.Rosters/blob/main/2026.Summer.League.json</x:v>
      </x:c>
      <x:c r="M480" s="50" t="str">
        <x:v>https://github.com/ballacademy/NBA-head-to-head-/blob/5b1decfc31ffb645469c7ffbd01aaca4b18181bd/data/nba-stats/nba-player-stats-202526-regular-season-per-game.csv</x:v>
      </x:c>
    </x:row>
    <x:row r="481">
      <x:c r="A481" s="48" t="str">
        <x:v>Chauncey Wiggins</x:v>
      </x:c>
      <x:c r="B481" s="48" t="n">
        <x:v>476</x:v>
      </x:c>
      <x:c r="C481" s="48" t="str">
        <x:v>PF</x:v>
      </x:c>
      <x:c r="D481" s="48" t="n">
        <x:v>0</x:v>
      </x:c>
      <x:c r="E481" s="48" t="n">
        <x:v>0</x:v>
      </x:c>
      <x:c r="F481" s="48" t="n">
        <x:v>3.5</x:v>
      </x:c>
      <x:c r="G481" s="48" t="str">
        <x:v>WATCH</x:v>
      </x:c>
      <x:c r="H481" s="48"/>
      <x:c r="I481" s="48"/>
      <x:c r="J481" s="48" t="str">
        <x:v>No reliable projection; camp/summer watch pool</x:v>
      </x:c>
      <x:c r="K481" s="50" t="str">
        <x:v>Camp/summer-depth watch entry; no reliable 2026-27 fantasy projection. Verify final NBA contract, roster status and role before draft use.</x:v>
      </x:c>
      <x:c r="L481" s="50" t="str">
        <x:v>https://github.com/A-V29/NBA.Rosters/blob/main/2026.Summer.League.json</x:v>
      </x:c>
      <x:c r="M481" s="50" t="str">
        <x:v>https://github.com/ballacademy/NBA-head-to-head-/blob/5b1decfc31ffb645469c7ffbd01aaca4b18181bd/data/nba-stats/nba-player-stats-202526-regular-season-per-game.csv</x:v>
      </x:c>
    </x:row>
    <x:row r="482">
      <x:c r="A482" s="48" t="str">
        <x:v>Chris Bell</x:v>
      </x:c>
      <x:c r="B482" s="48" t="n">
        <x:v>477</x:v>
      </x:c>
      <x:c r="C482" s="48" t="str">
        <x:v>SF</x:v>
      </x:c>
      <x:c r="D482" s="48" t="n">
        <x:v>0</x:v>
      </x:c>
      <x:c r="E482" s="48" t="n">
        <x:v>0</x:v>
      </x:c>
      <x:c r="F482" s="48" t="n">
        <x:v>3.5</x:v>
      </x:c>
      <x:c r="G482" s="48" t="str">
        <x:v>WATCH</x:v>
      </x:c>
      <x:c r="H482" s="48"/>
      <x:c r="I482" s="48"/>
      <x:c r="J482" s="48" t="str">
        <x:v>No reliable projection; camp/summer watch pool</x:v>
      </x:c>
      <x:c r="K482" s="50" t="str">
        <x:v>Camp/summer-depth watch entry; no reliable 2026-27 fantasy projection. Verify final NBA contract, roster status and role before draft use.</x:v>
      </x:c>
      <x:c r="L482" s="50" t="str">
        <x:v>https://github.com/A-V29/NBA.Rosters/blob/main/2026.Summer.League.json</x:v>
      </x:c>
      <x:c r="M482" s="50" t="str">
        <x:v>https://github.com/ballacademy/NBA-head-to-head-/blob/5b1decfc31ffb645469c7ffbd01aaca4b18181bd/data/nba-stats/nba-player-stats-202526-regular-season-per-game.csv</x:v>
      </x:c>
    </x:row>
    <x:row r="483">
      <x:c r="A483" s="48" t="str">
        <x:v>Chris Ledlum</x:v>
      </x:c>
      <x:c r="B483" s="48" t="n">
        <x:v>478</x:v>
      </x:c>
      <x:c r="C483" s="48" t="str">
        <x:v>SF</x:v>
      </x:c>
      <x:c r="D483" s="48" t="n">
        <x:v>0</x:v>
      </x:c>
      <x:c r="E483" s="48" t="n">
        <x:v>0</x:v>
      </x:c>
      <x:c r="F483" s="48" t="n">
        <x:v>3.5</x:v>
      </x:c>
      <x:c r="G483" s="48" t="str">
        <x:v>WATCH</x:v>
      </x:c>
      <x:c r="H483" s="48"/>
      <x:c r="I483" s="48"/>
      <x:c r="J483" s="48" t="str">
        <x:v>No reliable projection; camp/summer watch pool</x:v>
      </x:c>
      <x:c r="K483" s="50" t="str">
        <x:v>Camp/summer-depth watch entry; no reliable 2026-27 fantasy projection. Verify final NBA contract, roster status and role before draft use.</x:v>
      </x:c>
      <x:c r="L483" s="50" t="str">
        <x:v>https://github.com/A-V29/NBA.Rosters/blob/main/2026.Summer.League.json</x:v>
      </x:c>
      <x:c r="M483" s="50" t="str">
        <x:v>https://github.com/ballacademy/NBA-head-to-head-/blob/5b1decfc31ffb645469c7ffbd01aaca4b18181bd/data/nba-stats/nba-player-stats-202526-regular-season-per-game.csv</x:v>
      </x:c>
    </x:row>
    <x:row r="484">
      <x:c r="A484" s="48" t="str">
        <x:v>Christian Shumate</x:v>
      </x:c>
      <x:c r="B484" s="48" t="n">
        <x:v>479</x:v>
      </x:c>
      <x:c r="C484" s="48" t="str">
        <x:v>PF</x:v>
      </x:c>
      <x:c r="D484" s="48" t="n">
        <x:v>0</x:v>
      </x:c>
      <x:c r="E484" s="48" t="n">
        <x:v>0</x:v>
      </x:c>
      <x:c r="F484" s="48" t="n">
        <x:v>3.5</x:v>
      </x:c>
      <x:c r="G484" s="48" t="str">
        <x:v>WATCH</x:v>
      </x:c>
      <x:c r="H484" s="48"/>
      <x:c r="I484" s="48"/>
      <x:c r="J484" s="48" t="str">
        <x:v>No reliable projection; camp/summer watch pool</x:v>
      </x:c>
      <x:c r="K484" s="50" t="str">
        <x:v>Camp/summer-depth watch entry; no reliable 2026-27 fantasy projection. Verify final NBA contract, roster status and role before draft use.</x:v>
      </x:c>
      <x:c r="L484" s="50" t="str">
        <x:v>https://github.com/A-V29/NBA.Rosters/blob/main/2026.Summer.League.json</x:v>
      </x:c>
      <x:c r="M484" s="50" t="str">
        <x:v>https://github.com/ballacademy/NBA-head-to-head-/blob/5b1decfc31ffb645469c7ffbd01aaca4b18181bd/data/nba-stats/nba-player-stats-202526-regular-season-per-game.csv</x:v>
      </x:c>
    </x:row>
    <x:row r="485">
      <x:c r="A485" s="48" t="str">
        <x:v>Christoph Tilly</x:v>
      </x:c>
      <x:c r="B485" s="48" t="n">
        <x:v>480</x:v>
      </x:c>
      <x:c r="C485" s="48" t="str">
        <x:v>C</x:v>
      </x:c>
      <x:c r="D485" s="48" t="n">
        <x:v>0</x:v>
      </x:c>
      <x:c r="E485" s="48" t="n">
        <x:v>0</x:v>
      </x:c>
      <x:c r="F485" s="48" t="n">
        <x:v>3.5</x:v>
      </x:c>
      <x:c r="G485" s="48" t="str">
        <x:v>WATCH</x:v>
      </x:c>
      <x:c r="H485" s="48"/>
      <x:c r="I485" s="48"/>
      <x:c r="J485" s="48" t="str">
        <x:v>No reliable projection; camp/summer watch pool</x:v>
      </x:c>
      <x:c r="K485" s="50" t="str">
        <x:v>Camp/summer-depth watch entry; no reliable 2026-27 fantasy projection. Verify final NBA contract, roster status and role before draft use.</x:v>
      </x:c>
      <x:c r="L485" s="50" t="str">
        <x:v>https://github.com/A-V29/NBA.Rosters/blob/main/2026.Summer.League.json</x:v>
      </x:c>
      <x:c r="M485" s="50" t="str">
        <x:v>https://github.com/ballacademy/NBA-head-to-head-/blob/5b1decfc31ffb645469c7ffbd01aaca4b18181bd/data/nba-stats/nba-player-stats-202526-regular-season-per-game.csv</x:v>
      </x:c>
    </x:row>
    <x:row r="486">
      <x:c r="A486" s="48" t="str">
        <x:v>Coleman Hawkins</x:v>
      </x:c>
      <x:c r="B486" s="48" t="n">
        <x:v>481</x:v>
      </x:c>
      <x:c r="C486" s="48" t="str">
        <x:v>C</x:v>
      </x:c>
      <x:c r="D486" s="48" t="n">
        <x:v>0</x:v>
      </x:c>
      <x:c r="E486" s="48" t="n">
        <x:v>0</x:v>
      </x:c>
      <x:c r="F486" s="48" t="n">
        <x:v>3.5</x:v>
      </x:c>
      <x:c r="G486" s="48" t="str">
        <x:v>WATCH</x:v>
      </x:c>
      <x:c r="H486" s="48"/>
      <x:c r="I486" s="48"/>
      <x:c r="J486" s="48" t="str">
        <x:v>No reliable projection; camp/summer watch pool</x:v>
      </x:c>
      <x:c r="K486" s="50" t="str">
        <x:v>Camp/summer-depth watch entry; no reliable 2026-27 fantasy projection. Verify final NBA contract, roster status and role before draft use.</x:v>
      </x:c>
      <x:c r="L486" s="50" t="str">
        <x:v>https://github.com/A-V29/NBA.Rosters/blob/main/2026.Summer.League.json</x:v>
      </x:c>
      <x:c r="M486" s="50" t="str">
        <x:v>https://github.com/ballacademy/NBA-head-to-head-/blob/5b1decfc31ffb645469c7ffbd01aaca4b18181bd/data/nba-stats/nba-player-stats-202526-regular-season-per-game.csv</x:v>
      </x:c>
    </x:row>
    <x:row r="487">
      <x:c r="A487" s="48" t="str">
        <x:v>Corey Stephenson</x:v>
      </x:c>
      <x:c r="B487" s="48" t="n">
        <x:v>482</x:v>
      </x:c>
      <x:c r="C487" s="48" t="str">
        <x:v>SF</x:v>
      </x:c>
      <x:c r="D487" s="48" t="n">
        <x:v>0</x:v>
      </x:c>
      <x:c r="E487" s="48" t="n">
        <x:v>0</x:v>
      </x:c>
      <x:c r="F487" s="48" t="n">
        <x:v>3.5</x:v>
      </x:c>
      <x:c r="G487" s="48" t="str">
        <x:v>WATCH</x:v>
      </x:c>
      <x:c r="H487" s="48"/>
      <x:c r="I487" s="48"/>
      <x:c r="J487" s="48" t="str">
        <x:v>No reliable projection; camp/summer watch pool</x:v>
      </x:c>
      <x:c r="K487" s="50" t="str">
        <x:v>Camp/summer-depth watch entry; no reliable 2026-27 fantasy projection. Verify final NBA contract, roster status and role before draft use.</x:v>
      </x:c>
      <x:c r="L487" s="50" t="str">
        <x:v>https://github.com/A-V29/NBA.Rosters/blob/main/2026.Summer.League.json</x:v>
      </x:c>
      <x:c r="M487" s="50" t="str">
        <x:v>https://github.com/ballacademy/NBA-head-to-head-/blob/5b1decfc31ffb645469c7ffbd01aaca4b18181bd/data/nba-stats/nba-player-stats-202526-regular-season-per-game.csv</x:v>
      </x:c>
    </x:row>
    <x:row r="488">
      <x:c r="A488" s="48" t="str">
        <x:v>D.J. Steward</x:v>
      </x:c>
      <x:c r="B488" s="48" t="n">
        <x:v>483</x:v>
      </x:c>
      <x:c r="C488" s="48" t="str">
        <x:v>SG</x:v>
      </x:c>
      <x:c r="D488" s="48" t="n">
        <x:v>0</x:v>
      </x:c>
      <x:c r="E488" s="48" t="n">
        <x:v>0</x:v>
      </x:c>
      <x:c r="F488" s="48" t="n">
        <x:v>3.5</x:v>
      </x:c>
      <x:c r="G488" s="48" t="str">
        <x:v>WATCH</x:v>
      </x:c>
      <x:c r="H488" s="48"/>
      <x:c r="I488" s="48"/>
      <x:c r="J488" s="48" t="str">
        <x:v>No reliable projection; camp/summer watch pool</x:v>
      </x:c>
      <x:c r="K488" s="50" t="str">
        <x:v>Camp/summer-depth watch entry; no reliable 2026-27 fantasy projection. Verify final NBA contract, roster status and role before draft use.</x:v>
      </x:c>
      <x:c r="L488" s="50" t="str">
        <x:v>https://github.com/A-V29/NBA.Rosters/blob/main/2026.Summer.League.json</x:v>
      </x:c>
      <x:c r="M488" s="50" t="str">
        <x:v>https://github.com/ballacademy/NBA-head-to-head-/blob/5b1decfc31ffb645469c7ffbd01aaca4b18181bd/data/nba-stats/nba-player-stats-202526-regular-season-per-game.csv</x:v>
      </x:c>
    </x:row>
    <x:row r="489">
      <x:c r="A489" s="48" t="str">
        <x:v>Daishen Nix</x:v>
      </x:c>
      <x:c r="B489" s="48" t="n">
        <x:v>484</x:v>
      </x:c>
      <x:c r="C489" s="48" t="str">
        <x:v>PG</x:v>
      </x:c>
      <x:c r="D489" s="48" t="n">
        <x:v>0</x:v>
      </x:c>
      <x:c r="E489" s="48" t="n">
        <x:v>0</x:v>
      </x:c>
      <x:c r="F489" s="48" t="n">
        <x:v>3.5</x:v>
      </x:c>
      <x:c r="G489" s="48" t="str">
        <x:v>WATCH</x:v>
      </x:c>
      <x:c r="H489" s="48"/>
      <x:c r="I489" s="48"/>
      <x:c r="J489" s="48" t="str">
        <x:v>No reliable projection; camp/summer watch pool</x:v>
      </x:c>
      <x:c r="K489" s="50" t="str">
        <x:v>Camp/summer-depth watch entry; no reliable 2026-27 fantasy projection. Verify final NBA contract, roster status and role before draft use.</x:v>
      </x:c>
      <x:c r="L489" s="50" t="str">
        <x:v>https://github.com/A-V29/NBA.Rosters/blob/main/2026.Summer.League.json</x:v>
      </x:c>
      <x:c r="M489" s="50" t="str">
        <x:v>https://github.com/ballacademy/NBA-head-to-head-/blob/5b1decfc31ffb645469c7ffbd01aaca4b18181bd/data/nba-stats/nba-player-stats-202526-regular-season-per-game.csv</x:v>
      </x:c>
    </x:row>
    <x:row r="490">
      <x:c r="A490" s="48" t="str">
        <x:v>Damari Monsanto</x:v>
      </x:c>
      <x:c r="B490" s="48" t="n">
        <x:v>485</x:v>
      </x:c>
      <x:c r="C490" s="48" t="str">
        <x:v>SF</x:v>
      </x:c>
      <x:c r="D490" s="48" t="n">
        <x:v>0</x:v>
      </x:c>
      <x:c r="E490" s="48" t="n">
        <x:v>0</x:v>
      </x:c>
      <x:c r="F490" s="48" t="n">
        <x:v>3.5</x:v>
      </x:c>
      <x:c r="G490" s="48" t="str">
        <x:v>WATCH</x:v>
      </x:c>
      <x:c r="H490" s="48"/>
      <x:c r="I490" s="48"/>
      <x:c r="J490" s="48" t="str">
        <x:v>No reliable projection; camp/summer watch pool</x:v>
      </x:c>
      <x:c r="K490" s="50" t="str">
        <x:v>Camp/summer-depth watch entry; no reliable 2026-27 fantasy projection. Verify final NBA contract, roster status and role before draft use.</x:v>
      </x:c>
      <x:c r="L490" s="50" t="str">
        <x:v>https://github.com/A-V29/NBA.Rosters/blob/main/2026.Summer.League.json</x:v>
      </x:c>
      <x:c r="M490" s="50" t="str">
        <x:v>https://github.com/ballacademy/NBA-head-to-head-/blob/5b1decfc31ffb645469c7ffbd01aaca4b18181bd/data/nba-stats/nba-player-stats-202526-regular-season-per-game.csv</x:v>
      </x:c>
    </x:row>
    <x:row r="491">
      <x:c r="A491" s="48" t="str">
        <x:v>Dane Goodwin</x:v>
      </x:c>
      <x:c r="B491" s="48" t="n">
        <x:v>486</x:v>
      </x:c>
      <x:c r="C491" s="48" t="str">
        <x:v>PG</x:v>
      </x:c>
      <x:c r="D491" s="48" t="n">
        <x:v>0</x:v>
      </x:c>
      <x:c r="E491" s="48" t="n">
        <x:v>0</x:v>
      </x:c>
      <x:c r="F491" s="48" t="n">
        <x:v>3.5</x:v>
      </x:c>
      <x:c r="G491" s="48" t="str">
        <x:v>WATCH</x:v>
      </x:c>
      <x:c r="H491" s="48"/>
      <x:c r="I491" s="48"/>
      <x:c r="J491" s="48" t="str">
        <x:v>No reliable projection; camp/summer watch pool</x:v>
      </x:c>
      <x:c r="K491" s="50" t="str">
        <x:v>Camp/summer-depth watch entry; no reliable 2026-27 fantasy projection. Verify final NBA contract, roster status and role before draft use.</x:v>
      </x:c>
      <x:c r="L491" s="50" t="str">
        <x:v>https://github.com/A-V29/NBA.Rosters/blob/main/2026.Summer.League.json</x:v>
      </x:c>
      <x:c r="M491" s="50" t="str">
        <x:v>https://github.com/ballacademy/NBA-head-to-head-/blob/5b1decfc31ffb645469c7ffbd01aaca4b18181bd/data/nba-stats/nba-player-stats-202526-regular-season-per-game.csv</x:v>
      </x:c>
    </x:row>
    <x:row r="492">
      <x:c r="A492" s="48" t="str">
        <x:v>David Green</x:v>
      </x:c>
      <x:c r="B492" s="48" t="n">
        <x:v>487</x:v>
      </x:c>
      <x:c r="C492" s="48" t="str">
        <x:v>PF</x:v>
      </x:c>
      <x:c r="D492" s="48" t="n">
        <x:v>0</x:v>
      </x:c>
      <x:c r="E492" s="48" t="n">
        <x:v>0</x:v>
      </x:c>
      <x:c r="F492" s="48" t="n">
        <x:v>3.5</x:v>
      </x:c>
      <x:c r="G492" s="48" t="str">
        <x:v>WATCH</x:v>
      </x:c>
      <x:c r="H492" s="48"/>
      <x:c r="I492" s="48"/>
      <x:c r="J492" s="48" t="str">
        <x:v>No reliable projection; camp/summer watch pool</x:v>
      </x:c>
      <x:c r="K492" s="50" t="str">
        <x:v>Camp/summer-depth watch entry; no reliable 2026-27 fantasy projection. Verify final NBA contract, roster status and role before draft use.</x:v>
      </x:c>
      <x:c r="L492" s="50" t="str">
        <x:v>https://github.com/A-V29/NBA.Rosters/blob/main/2026.Summer.League.json</x:v>
      </x:c>
      <x:c r="M492" s="50" t="str">
        <x:v>https://github.com/ballacademy/NBA-head-to-head-/blob/5b1decfc31ffb645469c7ffbd01aaca4b18181bd/data/nba-stats/nba-player-stats-202526-regular-season-per-game.csv</x:v>
      </x:c>
    </x:row>
    <x:row r="493">
      <x:c r="A493" s="48" t="str">
        <x:v>David Muoka</x:v>
      </x:c>
      <x:c r="B493" s="48" t="n">
        <x:v>488</x:v>
      </x:c>
      <x:c r="C493" s="48" t="str">
        <x:v>C</x:v>
      </x:c>
      <x:c r="D493" s="48" t="n">
        <x:v>0</x:v>
      </x:c>
      <x:c r="E493" s="48" t="n">
        <x:v>0</x:v>
      </x:c>
      <x:c r="F493" s="48" t="n">
        <x:v>3.5</x:v>
      </x:c>
      <x:c r="G493" s="48" t="str">
        <x:v>WATCH</x:v>
      </x:c>
      <x:c r="H493" s="48"/>
      <x:c r="I493" s="48"/>
      <x:c r="J493" s="48" t="str">
        <x:v>No reliable projection; camp/summer watch pool</x:v>
      </x:c>
      <x:c r="K493" s="50" t="str">
        <x:v>Camp/summer-depth watch entry; no reliable 2026-27 fantasy projection. Verify final NBA contract, roster status and role before draft use.</x:v>
      </x:c>
      <x:c r="L493" s="50" t="str">
        <x:v>https://github.com/A-V29/NBA.Rosters/blob/main/2026.Summer.League.json</x:v>
      </x:c>
      <x:c r="M493" s="50" t="str">
        <x:v>https://github.com/ballacademy/NBA-head-to-head-/blob/5b1decfc31ffb645469c7ffbd01aaca4b18181bd/data/nba-stats/nba-player-stats-202526-regular-season-per-game.csv</x:v>
      </x:c>
    </x:row>
    <x:row r="494">
      <x:c r="A494" s="48" t="str">
        <x:v>Davide Casarin</x:v>
      </x:c>
      <x:c r="B494" s="48" t="n">
        <x:v>489</x:v>
      </x:c>
      <x:c r="C494" s="48" t="str">
        <x:v>PG</x:v>
      </x:c>
      <x:c r="D494" s="48" t="n">
        <x:v>0</x:v>
      </x:c>
      <x:c r="E494" s="48" t="n">
        <x:v>0</x:v>
      </x:c>
      <x:c r="F494" s="48" t="n">
        <x:v>3.5</x:v>
      </x:c>
      <x:c r="G494" s="48" t="str">
        <x:v>WATCH</x:v>
      </x:c>
      <x:c r="H494" s="48"/>
      <x:c r="I494" s="48"/>
      <x:c r="J494" s="48" t="str">
        <x:v>No reliable projection; camp/summer watch pool</x:v>
      </x:c>
      <x:c r="K494" s="50" t="str">
        <x:v>Camp/summer-depth watch entry; no reliable 2026-27 fantasy projection. Verify final NBA contract, roster status and role before draft use.</x:v>
      </x:c>
      <x:c r="L494" s="50" t="str">
        <x:v>https://github.com/A-V29/NBA.Rosters/blob/main/2026.Summer.League.json</x:v>
      </x:c>
      <x:c r="M494" s="50" t="str">
        <x:v>https://github.com/ballacademy/NBA-head-to-head-/blob/5b1decfc31ffb645469c7ffbd01aaca4b18181bd/data/nba-stats/nba-player-stats-202526-regular-season-per-game.csv</x:v>
      </x:c>
    </x:row>
    <x:row r="495">
      <x:c r="A495" s="48" t="str">
        <x:v>Dawson Garcia</x:v>
      </x:c>
      <x:c r="B495" s="48" t="n">
        <x:v>490</x:v>
      </x:c>
      <x:c r="C495" s="48" t="str">
        <x:v>PF</x:v>
      </x:c>
      <x:c r="D495" s="48" t="n">
        <x:v>0</x:v>
      </x:c>
      <x:c r="E495" s="48" t="n">
        <x:v>0</x:v>
      </x:c>
      <x:c r="F495" s="48" t="n">
        <x:v>3.5</x:v>
      </x:c>
      <x:c r="G495" s="48" t="str">
        <x:v>WATCH</x:v>
      </x:c>
      <x:c r="H495" s="48"/>
      <x:c r="I495" s="48"/>
      <x:c r="J495" s="48" t="str">
        <x:v>No reliable projection; camp/summer watch pool</x:v>
      </x:c>
      <x:c r="K495" s="50" t="str">
        <x:v>Camp/summer-depth watch entry; no reliable 2026-27 fantasy projection. Verify final NBA contract, roster status and role before draft use.</x:v>
      </x:c>
      <x:c r="L495" s="50" t="str">
        <x:v>https://github.com/A-V29/NBA.Rosters/blob/main/2026.Summer.League.json</x:v>
      </x:c>
      <x:c r="M495" s="50" t="str">
        <x:v>https://github.com/ballacademy/NBA-head-to-head-/blob/5b1decfc31ffb645469c7ffbd01aaca4b18181bd/data/nba-stats/nba-player-stats-202526-regular-season-per-game.csv</x:v>
      </x:c>
    </x:row>
    <x:row r="496">
      <x:c r="A496" s="48" t="str">
        <x:v>Day-Day Thomas</x:v>
      </x:c>
      <x:c r="B496" s="48" t="n">
        <x:v>491</x:v>
      </x:c>
      <x:c r="C496" s="48" t="str">
        <x:v>PG</x:v>
      </x:c>
      <x:c r="D496" s="48" t="n">
        <x:v>0</x:v>
      </x:c>
      <x:c r="E496" s="48" t="n">
        <x:v>0</x:v>
      </x:c>
      <x:c r="F496" s="48" t="n">
        <x:v>3.5</x:v>
      </x:c>
      <x:c r="G496" s="48" t="str">
        <x:v>WATCH</x:v>
      </x:c>
      <x:c r="H496" s="48"/>
      <x:c r="I496" s="48"/>
      <x:c r="J496" s="48" t="str">
        <x:v>No reliable projection; camp/summer watch pool</x:v>
      </x:c>
      <x:c r="K496" s="50" t="str">
        <x:v>Camp/summer-depth watch entry; no reliable 2026-27 fantasy projection. Verify final NBA contract, roster status and role before draft use.</x:v>
      </x:c>
      <x:c r="L496" s="50" t="str">
        <x:v>https://github.com/A-V29/NBA.Rosters/blob/main/2026.Summer.League.json</x:v>
      </x:c>
      <x:c r="M496" s="50" t="str">
        <x:v>https://github.com/ballacademy/NBA-head-to-head-/blob/5b1decfc31ffb645469c7ffbd01aaca4b18181bd/data/nba-stats/nba-player-stats-202526-regular-season-per-game.csv</x:v>
      </x:c>
    </x:row>
    <x:row r="497">
      <x:c r="A497" s="48" t="str">
        <x:v>Deivon Smith</x:v>
      </x:c>
      <x:c r="B497" s="48" t="n">
        <x:v>492</x:v>
      </x:c>
      <x:c r="C497" s="48" t="str">
        <x:v>PG</x:v>
      </x:c>
      <x:c r="D497" s="48" t="n">
        <x:v>0</x:v>
      </x:c>
      <x:c r="E497" s="48" t="n">
        <x:v>0</x:v>
      </x:c>
      <x:c r="F497" s="48" t="n">
        <x:v>3.5</x:v>
      </x:c>
      <x:c r="G497" s="48" t="str">
        <x:v>WATCH</x:v>
      </x:c>
      <x:c r="H497" s="48"/>
      <x:c r="I497" s="48"/>
      <x:c r="J497" s="48" t="str">
        <x:v>No reliable projection; camp/summer watch pool</x:v>
      </x:c>
      <x:c r="K497" s="50" t="str">
        <x:v>Camp/summer-depth watch entry; no reliable 2026-27 fantasy projection. Verify final NBA contract, roster status and role before draft use.</x:v>
      </x:c>
      <x:c r="L497" s="50" t="str">
        <x:v>https://github.com/A-V29/NBA.Rosters/blob/main/2026.Summer.League.json</x:v>
      </x:c>
      <x:c r="M497" s="50" t="str">
        <x:v>https://github.com/ballacademy/NBA-head-to-head-/blob/5b1decfc31ffb645469c7ffbd01aaca4b18181bd/data/nba-stats/nba-player-stats-202526-regular-season-per-game.csv</x:v>
      </x:c>
    </x:row>
    <x:row r="498">
      <x:c r="A498" s="48" t="str">
        <x:v>Devin Askew</x:v>
      </x:c>
      <x:c r="B498" s="48" t="n">
        <x:v>493</x:v>
      </x:c>
      <x:c r="C498" s="48" t="str">
        <x:v>PG</x:v>
      </x:c>
      <x:c r="D498" s="48" t="n">
        <x:v>0</x:v>
      </x:c>
      <x:c r="E498" s="48" t="n">
        <x:v>0</x:v>
      </x:c>
      <x:c r="F498" s="48" t="n">
        <x:v>3.5</x:v>
      </x:c>
      <x:c r="G498" s="48" t="str">
        <x:v>WATCH</x:v>
      </x:c>
      <x:c r="H498" s="48"/>
      <x:c r="I498" s="48"/>
      <x:c r="J498" s="48" t="str">
        <x:v>No reliable projection; camp/summer watch pool</x:v>
      </x:c>
      <x:c r="K498" s="50" t="str">
        <x:v>Camp/summer-depth watch entry; no reliable 2026-27 fantasy projection. Verify final NBA contract, roster status and role before draft use.</x:v>
      </x:c>
      <x:c r="L498" s="50" t="str">
        <x:v>https://github.com/A-V29/NBA.Rosters/blob/main/2026.Summer.League.json</x:v>
      </x:c>
      <x:c r="M498" s="50" t="str">
        <x:v>https://github.com/ballacademy/NBA-head-to-head-/blob/5b1decfc31ffb645469c7ffbd01aaca4b18181bd/data/nba-stats/nba-player-stats-202526-regular-season-per-game.csv</x:v>
      </x:c>
    </x:row>
    <x:row r="499">
      <x:c r="A499" s="48" t="str">
        <x:v>Devin McGlockton</x:v>
      </x:c>
      <x:c r="B499" s="48" t="n">
        <x:v>494</x:v>
      </x:c>
      <x:c r="C499" s="48" t="str">
        <x:v>PF</x:v>
      </x:c>
      <x:c r="D499" s="48" t="n">
        <x:v>0</x:v>
      </x:c>
      <x:c r="E499" s="48" t="n">
        <x:v>0</x:v>
      </x:c>
      <x:c r="F499" s="48" t="n">
        <x:v>3.5</x:v>
      </x:c>
      <x:c r="G499" s="48" t="str">
        <x:v>WATCH</x:v>
      </x:c>
      <x:c r="H499" s="48"/>
      <x:c r="I499" s="48"/>
      <x:c r="J499" s="48" t="str">
        <x:v>No reliable projection; camp/summer watch pool</x:v>
      </x:c>
      <x:c r="K499" s="50" t="str">
        <x:v>Camp/summer-depth watch entry; no reliable 2026-27 fantasy projection. Verify final NBA contract, roster status and role before draft use.</x:v>
      </x:c>
      <x:c r="L499" s="50" t="str">
        <x:v>https://github.com/A-V29/NBA.Rosters/blob/main/2026.Summer.League.json</x:v>
      </x:c>
      <x:c r="M499" s="50" t="str">
        <x:v>https://github.com/ballacademy/NBA-head-to-head-/blob/5b1decfc31ffb645469c7ffbd01aaca4b18181bd/data/nba-stats/nba-player-stats-202526-regular-season-per-game.csv</x:v>
      </x:c>
    </x:row>
    <x:row r="500">
      <x:c r="A500" s="48" t="str">
        <x:v>Devon Higgs</x:v>
      </x:c>
      <x:c r="B500" s="48" t="n">
        <x:v>495</x:v>
      </x:c>
      <x:c r="C500" s="48" t="str">
        <x:v>SF</x:v>
      </x:c>
      <x:c r="D500" s="48" t="n">
        <x:v>0</x:v>
      </x:c>
      <x:c r="E500" s="48" t="n">
        <x:v>0</x:v>
      </x:c>
      <x:c r="F500" s="48" t="n">
        <x:v>3.5</x:v>
      </x:c>
      <x:c r="G500" s="48" t="str">
        <x:v>WATCH</x:v>
      </x:c>
      <x:c r="H500" s="48"/>
      <x:c r="I500" s="48"/>
      <x:c r="J500" s="48" t="str">
        <x:v>No reliable projection; camp/summer watch pool</x:v>
      </x:c>
      <x:c r="K500" s="50" t="str">
        <x:v>Camp/summer-depth watch entry; no reliable 2026-27 fantasy projection. Verify final NBA contract, roster status and role before draft use.</x:v>
      </x:c>
      <x:c r="L500" s="50" t="str">
        <x:v>https://github.com/A-V29/NBA.Rosters/blob/main/2026.Summer.League.json</x:v>
      </x:c>
      <x:c r="M500" s="50" t="str">
        <x:v>https://github.com/ballacademy/NBA-head-to-head-/blob/5b1decfc31ffb645469c7ffbd01aaca4b18181bd/data/nba-stats/nba-player-stats-202526-regular-season-per-game.csv</x:v>
      </x:c>
    </x:row>
    <x:row r="501">
      <x:c r="A501" s="48" t="str">
        <x:v>Dillon Mitchell</x:v>
      </x:c>
      <x:c r="B501" s="48" t="n">
        <x:v>496</x:v>
      </x:c>
      <x:c r="C501" s="48" t="str">
        <x:v>PF</x:v>
      </x:c>
      <x:c r="D501" s="48" t="n">
        <x:v>0</x:v>
      </x:c>
      <x:c r="E501" s="48" t="n">
        <x:v>0</x:v>
      </x:c>
      <x:c r="F501" s="48" t="n">
        <x:v>3.5</x:v>
      </x:c>
      <x:c r="G501" s="48" t="str">
        <x:v>WATCH</x:v>
      </x:c>
      <x:c r="H501" s="48"/>
      <x:c r="I501" s="48"/>
      <x:c r="J501" s="48" t="str">
        <x:v>No reliable projection; camp/summer watch pool</x:v>
      </x:c>
      <x:c r="K501" s="50" t="str">
        <x:v>Camp/summer-depth watch entry; no reliable 2026-27 fantasy projection. Verify final NBA contract, roster status and role before draft use.</x:v>
      </x:c>
      <x:c r="L501" s="50" t="str">
        <x:v>https://github.com/A-V29/NBA.Rosters/blob/main/2026.Summer.League.json</x:v>
      </x:c>
      <x:c r="M501" s="50" t="str">
        <x:v>https://github.com/ballacademy/NBA-head-to-head-/blob/5b1decfc31ffb645469c7ffbd01aaca4b18181bd/data/nba-stats/nba-player-stats-202526-regular-season-per-game.csv</x:v>
      </x:c>
    </x:row>
    <x:row r="502">
      <x:c r="A502" s="48" t="str">
        <x:v>Dion Brown</x:v>
      </x:c>
      <x:c r="B502" s="48" t="n">
        <x:v>497</x:v>
      </x:c>
      <x:c r="C502" s="48" t="str">
        <x:v>PG</x:v>
      </x:c>
      <x:c r="D502" s="48" t="n">
        <x:v>0</x:v>
      </x:c>
      <x:c r="E502" s="48" t="n">
        <x:v>0</x:v>
      </x:c>
      <x:c r="F502" s="48" t="n">
        <x:v>3.5</x:v>
      </x:c>
      <x:c r="G502" s="48" t="str">
        <x:v>WATCH</x:v>
      </x:c>
      <x:c r="H502" s="48"/>
      <x:c r="I502" s="48"/>
      <x:c r="J502" s="48" t="str">
        <x:v>No reliable projection; camp/summer watch pool</x:v>
      </x:c>
      <x:c r="K502" s="50" t="str">
        <x:v>Camp/summer-depth watch entry; no reliable 2026-27 fantasy projection. Verify final NBA contract, roster status and role before draft use.</x:v>
      </x:c>
      <x:c r="L502" s="50" t="str">
        <x:v>https://github.com/A-V29/NBA.Rosters/blob/main/2026.Summer.League.json</x:v>
      </x:c>
      <x:c r="M502" s="50" t="str">
        <x:v>https://github.com/ballacademy/NBA-head-to-head-/blob/5b1decfc31ffb645469c7ffbd01aaca4b18181bd/data/nba-stats/nba-player-stats-202526-regular-season-per-game.csv</x:v>
      </x:c>
    </x:row>
    <x:row r="503">
      <x:c r="A503" s="48" t="str">
        <x:v>Donovan Atwell</x:v>
      </x:c>
      <x:c r="B503" s="48" t="n">
        <x:v>498</x:v>
      </x:c>
      <x:c r="C503" s="48" t="str">
        <x:v>SG</x:v>
      </x:c>
      <x:c r="D503" s="48" t="n">
        <x:v>0</x:v>
      </x:c>
      <x:c r="E503" s="48" t="n">
        <x:v>0</x:v>
      </x:c>
      <x:c r="F503" s="48" t="n">
        <x:v>3.5</x:v>
      </x:c>
      <x:c r="G503" s="48" t="str">
        <x:v>WATCH</x:v>
      </x:c>
      <x:c r="H503" s="48"/>
      <x:c r="I503" s="48"/>
      <x:c r="J503" s="48" t="str">
        <x:v>No reliable projection; camp/summer watch pool</x:v>
      </x:c>
      <x:c r="K503" s="50" t="str">
        <x:v>Camp/summer-depth watch entry; no reliable 2026-27 fantasy projection. Verify final NBA contract, roster status and role before draft use.</x:v>
      </x:c>
      <x:c r="L503" s="50" t="str">
        <x:v>https://github.com/A-V29/NBA.Rosters/blob/main/2026.Summer.League.json</x:v>
      </x:c>
      <x:c r="M503" s="50" t="str">
        <x:v>https://github.com/ballacademy/NBA-head-to-head-/blob/5b1decfc31ffb645469c7ffbd01aaca4b18181bd/data/nba-stats/nba-player-stats-202526-regular-season-per-game.csv</x:v>
      </x:c>
    </x:row>
    <x:row r="504">
      <x:c r="A504" s="48" t="str">
        <x:v>Drake Allen</x:v>
      </x:c>
      <x:c r="B504" s="48" t="n">
        <x:v>499</x:v>
      </x:c>
      <x:c r="C504" s="48" t="str">
        <x:v>PG</x:v>
      </x:c>
      <x:c r="D504" s="48" t="n">
        <x:v>0</x:v>
      </x:c>
      <x:c r="E504" s="48" t="n">
        <x:v>0</x:v>
      </x:c>
      <x:c r="F504" s="48" t="n">
        <x:v>3.5</x:v>
      </x:c>
      <x:c r="G504" s="48" t="str">
        <x:v>WATCH</x:v>
      </x:c>
      <x:c r="H504" s="48"/>
      <x:c r="I504" s="48"/>
      <x:c r="J504" s="48" t="str">
        <x:v>No reliable projection; camp/summer watch pool</x:v>
      </x:c>
      <x:c r="K504" s="50" t="str">
        <x:v>Camp/summer-depth watch entry; no reliable 2026-27 fantasy projection. Verify final NBA contract, roster status and role before draft use.</x:v>
      </x:c>
      <x:c r="L504" s="50" t="str">
        <x:v>https://github.com/A-V29/NBA.Rosters/blob/main/2026.Summer.League.json</x:v>
      </x:c>
      <x:c r="M504" s="50" t="str">
        <x:v>https://github.com/ballacademy/NBA-head-to-head-/blob/5b1decfc31ffb645469c7ffbd01aaca4b18181bd/data/nba-stats/nba-player-stats-202526-regular-season-per-game.csv</x:v>
      </x:c>
    </x:row>
    <x:row r="505">
      <x:c r="A505" s="48" t="str">
        <x:v>Drew Cisse</x:v>
      </x:c>
      <x:c r="B505" s="48" t="n">
        <x:v>500</x:v>
      </x:c>
      <x:c r="C505" s="48" t="str">
        <x:v>C</x:v>
      </x:c>
      <x:c r="D505" s="48" t="n">
        <x:v>0</x:v>
      </x:c>
      <x:c r="E505" s="48" t="n">
        <x:v>0</x:v>
      </x:c>
      <x:c r="F505" s="48" t="n">
        <x:v>3.5</x:v>
      </x:c>
      <x:c r="G505" s="48" t="str">
        <x:v>WATCH</x:v>
      </x:c>
      <x:c r="H505" s="48"/>
      <x:c r="I505" s="48"/>
      <x:c r="J505" s="48" t="str">
        <x:v>No reliable projection; camp/summer watch pool</x:v>
      </x:c>
      <x:c r="K505" s="50" t="str">
        <x:v>Camp/summer-depth watch entry; no reliable 2026-27 fantasy projection. Verify final NBA contract, roster status and role before draft use.</x:v>
      </x:c>
      <x:c r="L505" s="50" t="str">
        <x:v>https://github.com/A-V29/NBA.Rosters/blob/main/2026.Summer.League.json</x:v>
      </x:c>
      <x:c r="M505" s="50" t="str">
        <x:v>https://github.com/ballacademy/NBA-head-to-head-/blob/5b1decfc31ffb645469c7ffbd01aaca4b18181bd/data/nba-stats/nba-player-stats-202526-regular-season-per-game.csv</x:v>
      </x:c>
    </x:row>
    <x:row r="506">
      <x:c r="A506" s="48" t="str">
        <x:v>Duke Brennan</x:v>
      </x:c>
      <x:c r="B506" s="48" t="n">
        <x:v>501</x:v>
      </x:c>
      <x:c r="C506" s="48" t="str">
        <x:v>C</x:v>
      </x:c>
      <x:c r="D506" s="48" t="n">
        <x:v>0</x:v>
      </x:c>
      <x:c r="E506" s="48" t="n">
        <x:v>0</x:v>
      </x:c>
      <x:c r="F506" s="48" t="n">
        <x:v>3.5</x:v>
      </x:c>
      <x:c r="G506" s="48" t="str">
        <x:v>WATCH</x:v>
      </x:c>
      <x:c r="H506" s="48"/>
      <x:c r="I506" s="48"/>
      <x:c r="J506" s="48" t="str">
        <x:v>No reliable projection; camp/summer watch pool</x:v>
      </x:c>
      <x:c r="K506" s="50" t="str">
        <x:v>Camp/summer-depth watch entry; no reliable 2026-27 fantasy projection. Verify final NBA contract, roster status and role before draft use.</x:v>
      </x:c>
      <x:c r="L506" s="50" t="str">
        <x:v>https://github.com/A-V29/NBA.Rosters/blob/main/2026.Summer.League.json</x:v>
      </x:c>
      <x:c r="M506" s="50" t="str">
        <x:v>https://github.com/ballacademy/NBA-head-to-head-/blob/5b1decfc31ffb645469c7ffbd01aaca4b18181bd/data/nba-stats/nba-player-stats-202526-regular-season-per-game.csv</x:v>
      </x:c>
    </x:row>
    <x:row r="507">
      <x:c r="A507" s="48" t="str">
        <x:v>Duke Miles</x:v>
      </x:c>
      <x:c r="B507" s="48" t="n">
        <x:v>502</x:v>
      </x:c>
      <x:c r="C507" s="48" t="str">
        <x:v>PG</x:v>
      </x:c>
      <x:c r="D507" s="48" t="n">
        <x:v>0</x:v>
      </x:c>
      <x:c r="E507" s="48" t="n">
        <x:v>0</x:v>
      </x:c>
      <x:c r="F507" s="48" t="n">
        <x:v>3.5</x:v>
      </x:c>
      <x:c r="G507" s="48" t="str">
        <x:v>WATCH</x:v>
      </x:c>
      <x:c r="H507" s="48"/>
      <x:c r="I507" s="48"/>
      <x:c r="J507" s="48" t="str">
        <x:v>No reliable projection; camp/summer watch pool</x:v>
      </x:c>
      <x:c r="K507" s="50" t="str">
        <x:v>Camp/summer-depth watch entry; no reliable 2026-27 fantasy projection. Verify final NBA contract, roster status and role before draft use.</x:v>
      </x:c>
      <x:c r="L507" s="50" t="str">
        <x:v>https://github.com/A-V29/NBA.Rosters/blob/main/2026.Summer.League.json</x:v>
      </x:c>
      <x:c r="M507" s="50" t="str">
        <x:v>https://github.com/ballacademy/NBA-head-to-head-/blob/5b1decfc31ffb645469c7ffbd01aaca4b18181bd/data/nba-stats/nba-player-stats-202526-regular-season-per-game.csv</x:v>
      </x:c>
    </x:row>
    <x:row r="508">
      <x:c r="A508" s="48" t="str">
        <x:v>EJ Anosike</x:v>
      </x:c>
      <x:c r="B508" s="48" t="n">
        <x:v>503</x:v>
      </x:c>
      <x:c r="C508" s="48" t="str">
        <x:v>PF</x:v>
      </x:c>
      <x:c r="D508" s="48" t="n">
        <x:v>0</x:v>
      </x:c>
      <x:c r="E508" s="48" t="n">
        <x:v>0</x:v>
      </x:c>
      <x:c r="F508" s="48" t="n">
        <x:v>3.5</x:v>
      </x:c>
      <x:c r="G508" s="48" t="str">
        <x:v>WATCH</x:v>
      </x:c>
      <x:c r="H508" s="48"/>
      <x:c r="I508" s="48"/>
      <x:c r="J508" s="48" t="str">
        <x:v>No reliable projection; camp/summer watch pool</x:v>
      </x:c>
      <x:c r="K508" s="50" t="str">
        <x:v>Camp/summer-depth watch entry; no reliable 2026-27 fantasy projection. Verify final NBA contract, roster status and role before draft use.</x:v>
      </x:c>
      <x:c r="L508" s="50" t="str">
        <x:v>https://github.com/A-V29/NBA.Rosters/blob/main/2026.Summer.League.json</x:v>
      </x:c>
      <x:c r="M508" s="50" t="str">
        <x:v>https://github.com/ballacademy/NBA-head-to-head-/blob/5b1decfc31ffb645469c7ffbd01aaca4b18181bd/data/nba-stats/nba-player-stats-202526-regular-season-per-game.csv</x:v>
      </x:c>
    </x:row>
    <x:row r="509">
      <x:c r="A509" s="48" t="str">
        <x:v>Efe Abogidi</x:v>
      </x:c>
      <x:c r="B509" s="48" t="n">
        <x:v>504</x:v>
      </x:c>
      <x:c r="C509" s="48" t="str">
        <x:v>C</x:v>
      </x:c>
      <x:c r="D509" s="48" t="n">
        <x:v>0</x:v>
      </x:c>
      <x:c r="E509" s="48" t="n">
        <x:v>0</x:v>
      </x:c>
      <x:c r="F509" s="48" t="n">
        <x:v>3.5</x:v>
      </x:c>
      <x:c r="G509" s="48" t="str">
        <x:v>WATCH</x:v>
      </x:c>
      <x:c r="H509" s="48"/>
      <x:c r="I509" s="48"/>
      <x:c r="J509" s="48" t="str">
        <x:v>No reliable projection; camp/summer watch pool</x:v>
      </x:c>
      <x:c r="K509" s="50" t="str">
        <x:v>Camp/summer-depth watch entry; no reliable 2026-27 fantasy projection. Verify final NBA contract, roster status and role before draft use.</x:v>
      </x:c>
      <x:c r="L509" s="50" t="str">
        <x:v>https://github.com/A-V29/NBA.Rosters/blob/main/2026.Summer.League.json</x:v>
      </x:c>
      <x:c r="M509" s="50" t="str">
        <x:v>https://github.com/ballacademy/NBA-head-to-head-/blob/5b1decfc31ffb645469c7ffbd01aaca4b18181bd/data/nba-stats/nba-player-stats-202526-regular-season-per-game.csv</x:v>
      </x:c>
    </x:row>
    <x:row r="510">
      <x:c r="A510" s="48" t="str">
        <x:v>Elias Ralph</x:v>
      </x:c>
      <x:c r="B510" s="48" t="n">
        <x:v>505</x:v>
      </x:c>
      <x:c r="C510" s="48" t="str">
        <x:v>PF</x:v>
      </x:c>
      <x:c r="D510" s="48" t="n">
        <x:v>0</x:v>
      </x:c>
      <x:c r="E510" s="48" t="n">
        <x:v>0</x:v>
      </x:c>
      <x:c r="F510" s="48" t="n">
        <x:v>3.5</x:v>
      </x:c>
      <x:c r="G510" s="48" t="str">
        <x:v>WATCH</x:v>
      </x:c>
      <x:c r="H510" s="48"/>
      <x:c r="I510" s="48"/>
      <x:c r="J510" s="48" t="str">
        <x:v>No reliable projection; camp/summer watch pool</x:v>
      </x:c>
      <x:c r="K510" s="50" t="str">
        <x:v>Camp/summer-depth watch entry; no reliable 2026-27 fantasy projection. Verify final NBA contract, roster status and role before draft use.</x:v>
      </x:c>
      <x:c r="L510" s="50" t="str">
        <x:v>https://github.com/A-V29/NBA.Rosters/blob/main/2026.Summer.League.json</x:v>
      </x:c>
      <x:c r="M510" s="50" t="str">
        <x:v>https://github.com/ballacademy/NBA-head-to-head-/blob/5b1decfc31ffb645469c7ffbd01aaca4b18181bd/data/nba-stats/nba-player-stats-202526-regular-season-per-game.csv</x:v>
      </x:c>
    </x:row>
    <x:row r="511">
      <x:c r="A511" s="48" t="str">
        <x:v>Elijah Mahi</x:v>
      </x:c>
      <x:c r="B511" s="48" t="n">
        <x:v>506</x:v>
      </x:c>
      <x:c r="C511" s="48" t="str">
        <x:v>SF</x:v>
      </x:c>
      <x:c r="D511" s="48" t="n">
        <x:v>0</x:v>
      </x:c>
      <x:c r="E511" s="48" t="n">
        <x:v>0</x:v>
      </x:c>
      <x:c r="F511" s="48" t="n">
        <x:v>3.5</x:v>
      </x:c>
      <x:c r="G511" s="48" t="str">
        <x:v>WATCH</x:v>
      </x:c>
      <x:c r="H511" s="48"/>
      <x:c r="I511" s="48"/>
      <x:c r="J511" s="48" t="str">
        <x:v>No reliable projection; camp/summer watch pool</x:v>
      </x:c>
      <x:c r="K511" s="50" t="str">
        <x:v>Camp/summer-depth watch entry; no reliable 2026-27 fantasy projection. Verify final NBA contract, roster status and role before draft use.</x:v>
      </x:c>
      <x:c r="L511" s="50" t="str">
        <x:v>https://github.com/A-V29/NBA.Rosters/blob/main/2026.Summer.League.json</x:v>
      </x:c>
      <x:c r="M511" s="50" t="str">
        <x:v>https://github.com/ballacademy/NBA-head-to-head-/blob/5b1decfc31ffb645469c7ffbd01aaca4b18181bd/data/nba-stats/nba-player-stats-202526-regular-season-per-game.csv</x:v>
      </x:c>
    </x:row>
    <x:row r="512">
      <x:c r="A512" s="48" t="str">
        <x:v>Eric Dixon</x:v>
      </x:c>
      <x:c r="B512" s="48" t="n">
        <x:v>507</x:v>
      </x:c>
      <x:c r="C512" s="48" t="str">
        <x:v>PF</x:v>
      </x:c>
      <x:c r="D512" s="48" t="n">
        <x:v>0</x:v>
      </x:c>
      <x:c r="E512" s="48" t="n">
        <x:v>0</x:v>
      </x:c>
      <x:c r="F512" s="48" t="n">
        <x:v>3.5</x:v>
      </x:c>
      <x:c r="G512" s="48" t="str">
        <x:v>WATCH</x:v>
      </x:c>
      <x:c r="H512" s="48"/>
      <x:c r="I512" s="48"/>
      <x:c r="J512" s="48" t="str">
        <x:v>No reliable projection; camp/summer watch pool</x:v>
      </x:c>
      <x:c r="K512" s="50" t="str">
        <x:v>Camp/summer-depth watch entry; no reliable 2026-27 fantasy projection. Verify final NBA contract, roster status and role before draft use.</x:v>
      </x:c>
      <x:c r="L512" s="50" t="str">
        <x:v>https://github.com/A-V29/NBA.Rosters/blob/main/2026.Summer.League.json</x:v>
      </x:c>
      <x:c r="M512" s="50" t="str">
        <x:v>https://github.com/ballacademy/NBA-head-to-head-/blob/5b1decfc31ffb645469c7ffbd01aaca4b18181bd/data/nba-stats/nba-player-stats-202526-regular-season-per-game.csv</x:v>
      </x:c>
    </x:row>
    <x:row r="513">
      <x:c r="A513" s="48" t="str">
        <x:v>Erik Stevenson</x:v>
      </x:c>
      <x:c r="B513" s="48" t="n">
        <x:v>508</x:v>
      </x:c>
      <x:c r="C513" s="48" t="str">
        <x:v>PG</x:v>
      </x:c>
      <x:c r="D513" s="48" t="n">
        <x:v>0</x:v>
      </x:c>
      <x:c r="E513" s="48" t="n">
        <x:v>0</x:v>
      </x:c>
      <x:c r="F513" s="48" t="n">
        <x:v>3.5</x:v>
      </x:c>
      <x:c r="G513" s="48" t="str">
        <x:v>WATCH</x:v>
      </x:c>
      <x:c r="H513" s="48"/>
      <x:c r="I513" s="48"/>
      <x:c r="J513" s="48" t="str">
        <x:v>No reliable projection; camp/summer watch pool</x:v>
      </x:c>
      <x:c r="K513" s="50" t="str">
        <x:v>Camp/summer-depth watch entry; no reliable 2026-27 fantasy projection. Verify final NBA contract, roster status and role before draft use.</x:v>
      </x:c>
      <x:c r="L513" s="50" t="str">
        <x:v>https://github.com/A-V29/NBA.Rosters/blob/main/2026.Summer.League.json</x:v>
      </x:c>
      <x:c r="M513" s="50" t="str">
        <x:v>https://github.com/ballacademy/NBA-head-to-head-/blob/5b1decfc31ffb645469c7ffbd01aaca4b18181bd/data/nba-stats/nba-player-stats-202526-regular-season-per-game.csv</x:v>
      </x:c>
    </x:row>
    <x:row r="514">
      <x:c r="A514" s="48" t="str">
        <x:v>Ezra Ausar</x:v>
      </x:c>
      <x:c r="B514" s="48" t="n">
        <x:v>509</x:v>
      </x:c>
      <x:c r="C514" s="48" t="str">
        <x:v>PF</x:v>
      </x:c>
      <x:c r="D514" s="48" t="n">
        <x:v>0</x:v>
      </x:c>
      <x:c r="E514" s="48" t="n">
        <x:v>0</x:v>
      </x:c>
      <x:c r="F514" s="48" t="n">
        <x:v>3.5</x:v>
      </x:c>
      <x:c r="G514" s="48" t="str">
        <x:v>WATCH</x:v>
      </x:c>
      <x:c r="H514" s="48"/>
      <x:c r="I514" s="48"/>
      <x:c r="J514" s="48" t="str">
        <x:v>No reliable projection; camp/summer watch pool</x:v>
      </x:c>
      <x:c r="K514" s="50" t="str">
        <x:v>Camp/summer-depth watch entry; no reliable 2026-27 fantasy projection. Verify final NBA contract, roster status and role before draft use.</x:v>
      </x:c>
      <x:c r="L514" s="50" t="str">
        <x:v>https://github.com/A-V29/NBA.Rosters/blob/main/2026.Summer.League.json</x:v>
      </x:c>
      <x:c r="M514" s="50" t="str">
        <x:v>https://github.com/ballacademy/NBA-head-to-head-/blob/5b1decfc31ffb645469c7ffbd01aaca4b18181bd/data/nba-stats/nba-player-stats-202526-regular-season-per-game.csv</x:v>
      </x:c>
    </x:row>
    <x:row r="515">
      <x:c r="A515" s="48" t="str">
        <x:v>Felix Okpara</x:v>
      </x:c>
      <x:c r="B515" s="48" t="n">
        <x:v>510</x:v>
      </x:c>
      <x:c r="C515" s="48" t="str">
        <x:v>C</x:v>
      </x:c>
      <x:c r="D515" s="48" t="n">
        <x:v>0</x:v>
      </x:c>
      <x:c r="E515" s="48" t="n">
        <x:v>0</x:v>
      </x:c>
      <x:c r="F515" s="48" t="n">
        <x:v>3.5</x:v>
      </x:c>
      <x:c r="G515" s="48" t="str">
        <x:v>WATCH</x:v>
      </x:c>
      <x:c r="H515" s="48"/>
      <x:c r="I515" s="48"/>
      <x:c r="J515" s="48" t="str">
        <x:v>No reliable projection; camp/summer watch pool</x:v>
      </x:c>
      <x:c r="K515" s="50" t="str">
        <x:v>Camp/summer-depth watch entry; no reliable 2026-27 fantasy projection. Verify final NBA contract, roster status and role before draft use.</x:v>
      </x:c>
      <x:c r="L515" s="50" t="str">
        <x:v>https://github.com/A-V29/NBA.Rosters/blob/main/2026.Summer.League.json</x:v>
      </x:c>
      <x:c r="M515" s="50" t="str">
        <x:v>https://github.com/ballacademy/NBA-head-to-head-/blob/5b1decfc31ffb645469c7ffbd01aaca4b18181bd/data/nba-stats/nba-player-stats-202526-regular-season-per-game.csv</x:v>
      </x:c>
    </x:row>
    <x:row r="516">
      <x:c r="A516" s="48" t="str">
        <x:v>Fletcher Loyer</x:v>
      </x:c>
      <x:c r="B516" s="48" t="n">
        <x:v>511</x:v>
      </x:c>
      <x:c r="C516" s="48" t="str">
        <x:v>SG</x:v>
      </x:c>
      <x:c r="D516" s="48" t="n">
        <x:v>0</x:v>
      </x:c>
      <x:c r="E516" s="48" t="n">
        <x:v>0</x:v>
      </x:c>
      <x:c r="F516" s="48" t="n">
        <x:v>3.5</x:v>
      </x:c>
      <x:c r="G516" s="48" t="str">
        <x:v>WATCH</x:v>
      </x:c>
      <x:c r="H516" s="48"/>
      <x:c r="I516" s="48"/>
      <x:c r="J516" s="48" t="str">
        <x:v>No reliable projection; camp/summer watch pool</x:v>
      </x:c>
      <x:c r="K516" s="50" t="str">
        <x:v>Camp/summer-depth watch entry; no reliable 2026-27 fantasy projection. Verify final NBA contract, roster status and role before draft use.</x:v>
      </x:c>
      <x:c r="L516" s="50" t="str">
        <x:v>https://github.com/A-V29/NBA.Rosters/blob/main/2026.Summer.League.json</x:v>
      </x:c>
      <x:c r="M516" s="50" t="str">
        <x:v>https://github.com/ballacademy/NBA-head-to-head-/blob/5b1decfc31ffb645469c7ffbd01aaca4b18181bd/data/nba-stats/nba-player-stats-202526-regular-season-per-game.csv</x:v>
      </x:c>
    </x:row>
    <x:row r="517">
      <x:c r="A517" s="48" t="str">
        <x:v>Flynn Cameron</x:v>
      </x:c>
      <x:c r="B517" s="48" t="n">
        <x:v>512</x:v>
      </x:c>
      <x:c r="C517" s="48" t="str">
        <x:v>PG</x:v>
      </x:c>
      <x:c r="D517" s="48" t="n">
        <x:v>0</x:v>
      </x:c>
      <x:c r="E517" s="48" t="n">
        <x:v>0</x:v>
      </x:c>
      <x:c r="F517" s="48" t="n">
        <x:v>3.5</x:v>
      </x:c>
      <x:c r="G517" s="48" t="str">
        <x:v>WATCH</x:v>
      </x:c>
      <x:c r="H517" s="48"/>
      <x:c r="I517" s="48"/>
      <x:c r="J517" s="48" t="str">
        <x:v>No reliable projection; camp/summer watch pool</x:v>
      </x:c>
      <x:c r="K517" s="50" t="str">
        <x:v>Camp/summer-depth watch entry; no reliable 2026-27 fantasy projection. Verify final NBA contract, roster status and role before draft use.</x:v>
      </x:c>
      <x:c r="L517" s="50" t="str">
        <x:v>https://github.com/A-V29/NBA.Rosters/blob/main/2026.Summer.League.json</x:v>
      </x:c>
      <x:c r="M517" s="50" t="str">
        <x:v>https://github.com/ballacademy/NBA-head-to-head-/blob/5b1decfc31ffb645469c7ffbd01aaca4b18181bd/data/nba-stats/nba-player-stats-202526-regular-season-per-game.csv</x:v>
      </x:c>
    </x:row>
    <x:row r="518">
      <x:c r="A518" s="48" t="str">
        <x:v>Frankie Fidler</x:v>
      </x:c>
      <x:c r="B518" s="48" t="n">
        <x:v>513</x:v>
      </x:c>
      <x:c r="C518" s="48" t="str">
        <x:v>SF</x:v>
      </x:c>
      <x:c r="D518" s="48" t="n">
        <x:v>0</x:v>
      </x:c>
      <x:c r="E518" s="48" t="n">
        <x:v>0</x:v>
      </x:c>
      <x:c r="F518" s="48" t="n">
        <x:v>3.5</x:v>
      </x:c>
      <x:c r="G518" s="48" t="str">
        <x:v>WATCH</x:v>
      </x:c>
      <x:c r="H518" s="48"/>
      <x:c r="I518" s="48"/>
      <x:c r="J518" s="48" t="str">
        <x:v>No reliable projection; camp/summer watch pool</x:v>
      </x:c>
      <x:c r="K518" s="50" t="str">
        <x:v>Camp/summer-depth watch entry; no reliable 2026-27 fantasy projection. Verify final NBA contract, roster status and role before draft use.</x:v>
      </x:c>
      <x:c r="L518" s="50" t="str">
        <x:v>https://github.com/A-V29/NBA.Rosters/blob/main/2026.Summer.League.json</x:v>
      </x:c>
      <x:c r="M518" s="50" t="str">
        <x:v>https://github.com/ballacademy/NBA-head-to-head-/blob/5b1decfc31ffb645469c7ffbd01aaca4b18181bd/data/nba-stats/nba-player-stats-202526-regular-season-per-game.csv</x:v>
      </x:c>
    </x:row>
    <x:row r="519">
      <x:c r="A519" s="48" t="str">
        <x:v>Gabe Madsen</x:v>
      </x:c>
      <x:c r="B519" s="48" t="n">
        <x:v>514</x:v>
      </x:c>
      <x:c r="C519" s="48" t="str">
        <x:v>PG</x:v>
      </x:c>
      <x:c r="D519" s="48" t="n">
        <x:v>0</x:v>
      </x:c>
      <x:c r="E519" s="48" t="n">
        <x:v>0</x:v>
      </x:c>
      <x:c r="F519" s="48" t="n">
        <x:v>3.5</x:v>
      </x:c>
      <x:c r="G519" s="48" t="str">
        <x:v>WATCH</x:v>
      </x:c>
      <x:c r="H519" s="48"/>
      <x:c r="I519" s="48"/>
      <x:c r="J519" s="48" t="str">
        <x:v>No reliable projection; camp/summer watch pool</x:v>
      </x:c>
      <x:c r="K519" s="50" t="str">
        <x:v>Camp/summer-depth watch entry; no reliable 2026-27 fantasy projection. Verify final NBA contract, roster status and role before draft use.</x:v>
      </x:c>
      <x:c r="L519" s="50" t="str">
        <x:v>https://github.com/A-V29/NBA.Rosters/blob/main/2026.Summer.League.json</x:v>
      </x:c>
      <x:c r="M519" s="50" t="str">
        <x:v>https://github.com/ballacademy/NBA-head-to-head-/blob/5b1decfc31ffb645469c7ffbd01aaca4b18181bd/data/nba-stats/nba-player-stats-202526-regular-season-per-game.csv</x:v>
      </x:c>
    </x:row>
    <x:row r="520">
      <x:c r="A520" s="48" t="str">
        <x:v>Gabe McGlothan</x:v>
      </x:c>
      <x:c r="B520" s="48" t="n">
        <x:v>515</x:v>
      </x:c>
      <x:c r="C520" s="48" t="str">
        <x:v>PF</x:v>
      </x:c>
      <x:c r="D520" s="48" t="n">
        <x:v>0</x:v>
      </x:c>
      <x:c r="E520" s="48" t="n">
        <x:v>0</x:v>
      </x:c>
      <x:c r="F520" s="48" t="n">
        <x:v>3.5</x:v>
      </x:c>
      <x:c r="G520" s="48" t="str">
        <x:v>WATCH</x:v>
      </x:c>
      <x:c r="H520" s="48"/>
      <x:c r="I520" s="48"/>
      <x:c r="J520" s="48" t="str">
        <x:v>No reliable projection; camp/summer watch pool</x:v>
      </x:c>
      <x:c r="K520" s="50" t="str">
        <x:v>Camp/summer-depth watch entry; no reliable 2026-27 fantasy projection. Verify final NBA contract, roster status and role before draft use.</x:v>
      </x:c>
      <x:c r="L520" s="50" t="str">
        <x:v>https://github.com/A-V29/NBA.Rosters/blob/main/2026.Summer.League.json</x:v>
      </x:c>
      <x:c r="M520" s="50" t="str">
        <x:v>https://github.com/ballacademy/NBA-head-to-head-/blob/5b1decfc31ffb645469c7ffbd01aaca4b18181bd/data/nba-stats/nba-player-stats-202526-regular-season-per-game.csv</x:v>
      </x:c>
    </x:row>
    <x:row r="521">
      <x:c r="A521" s="48" t="str">
        <x:v>Giovanni Emejuru</x:v>
      </x:c>
      <x:c r="B521" s="48" t="n">
        <x:v>516</x:v>
      </x:c>
      <x:c r="C521" s="48" t="str">
        <x:v>C</x:v>
      </x:c>
      <x:c r="D521" s="48" t="n">
        <x:v>0</x:v>
      </x:c>
      <x:c r="E521" s="48" t="n">
        <x:v>0</x:v>
      </x:c>
      <x:c r="F521" s="48" t="n">
        <x:v>3.5</x:v>
      </x:c>
      <x:c r="G521" s="48" t="str">
        <x:v>WATCH</x:v>
      </x:c>
      <x:c r="H521" s="48"/>
      <x:c r="I521" s="48"/>
      <x:c r="J521" s="48" t="str">
        <x:v>No reliable projection; camp/summer watch pool</x:v>
      </x:c>
      <x:c r="K521" s="50" t="str">
        <x:v>Camp/summer-depth watch entry; no reliable 2026-27 fantasy projection. Verify final NBA contract, roster status and role before draft use.</x:v>
      </x:c>
      <x:c r="L521" s="50" t="str">
        <x:v>https://github.com/A-V29/NBA.Rosters/blob/main/2026.Summer.League.json</x:v>
      </x:c>
      <x:c r="M521" s="50" t="str">
        <x:v>https://github.com/ballacademy/NBA-head-to-head-/blob/5b1decfc31ffb645469c7ffbd01aaca4b18181bd/data/nba-stats/nba-player-stats-202526-regular-season-per-game.csv</x:v>
      </x:c>
    </x:row>
    <x:row r="522">
      <x:c r="A522" s="48" t="str">
        <x:v>Graham Ike</x:v>
      </x:c>
      <x:c r="B522" s="48" t="n">
        <x:v>517</x:v>
      </x:c>
      <x:c r="C522" s="48" t="str">
        <x:v>C</x:v>
      </x:c>
      <x:c r="D522" s="48" t="n">
        <x:v>0</x:v>
      </x:c>
      <x:c r="E522" s="48" t="n">
        <x:v>0</x:v>
      </x:c>
      <x:c r="F522" s="48" t="n">
        <x:v>3.5</x:v>
      </x:c>
      <x:c r="G522" s="48" t="str">
        <x:v>WATCH</x:v>
      </x:c>
      <x:c r="H522" s="48"/>
      <x:c r="I522" s="48"/>
      <x:c r="J522" s="48" t="str">
        <x:v>No reliable projection; camp/summer watch pool</x:v>
      </x:c>
      <x:c r="K522" s="50" t="str">
        <x:v>Camp/summer-depth watch entry; no reliable 2026-27 fantasy projection. Verify final NBA contract, roster status and role before draft use.</x:v>
      </x:c>
      <x:c r="L522" s="50" t="str">
        <x:v>https://github.com/A-V29/NBA.Rosters/blob/main/2026.Summer.League.json</x:v>
      </x:c>
      <x:c r="M522" s="50" t="str">
        <x:v>https://github.com/ballacademy/NBA-head-to-head-/blob/5b1decfc31ffb645469c7ffbd01aaca4b18181bd/data/nba-stats/nba-player-stats-202526-regular-season-per-game.csv</x:v>
      </x:c>
    </x:row>
    <x:row r="523">
      <x:c r="A523" s="48" t="str">
        <x:v>Grant Newell</x:v>
      </x:c>
      <x:c r="B523" s="48" t="n">
        <x:v>518</x:v>
      </x:c>
      <x:c r="C523" s="48" t="str">
        <x:v>PF</x:v>
      </x:c>
      <x:c r="D523" s="48" t="n">
        <x:v>0</x:v>
      </x:c>
      <x:c r="E523" s="48" t="n">
        <x:v>0</x:v>
      </x:c>
      <x:c r="F523" s="48" t="n">
        <x:v>3.5</x:v>
      </x:c>
      <x:c r="G523" s="48" t="str">
        <x:v>WATCH</x:v>
      </x:c>
      <x:c r="H523" s="48"/>
      <x:c r="I523" s="48"/>
      <x:c r="J523" s="48" t="str">
        <x:v>No reliable projection; camp/summer watch pool</x:v>
      </x:c>
      <x:c r="K523" s="50" t="str">
        <x:v>Camp/summer-depth watch entry; no reliable 2026-27 fantasy projection. Verify final NBA contract, roster status and role before draft use.</x:v>
      </x:c>
      <x:c r="L523" s="50" t="str">
        <x:v>https://github.com/A-V29/NBA.Rosters/blob/main/2026.Summer.League.json</x:v>
      </x:c>
      <x:c r="M523" s="50" t="str">
        <x:v>https://github.com/ballacademy/NBA-head-to-head-/blob/5b1decfc31ffb645469c7ffbd01aaca4b18181bd/data/nba-stats/nba-player-stats-202526-regular-season-per-game.csv</x:v>
      </x:c>
    </x:row>
    <x:row r="524">
      <x:c r="A524" s="48" t="str">
        <x:v>Hank Morgan</x:v>
      </x:c>
      <x:c r="B524" s="48" t="n">
        <x:v>519</x:v>
      </x:c>
      <x:c r="C524" s="48" t="str">
        <x:v>SF</x:v>
      </x:c>
      <x:c r="D524" s="48" t="n">
        <x:v>0</x:v>
      </x:c>
      <x:c r="E524" s="48" t="n">
        <x:v>0</x:v>
      </x:c>
      <x:c r="F524" s="48" t="n">
        <x:v>3.5</x:v>
      </x:c>
      <x:c r="G524" s="48" t="str">
        <x:v>WATCH</x:v>
      </x:c>
      <x:c r="H524" s="48"/>
      <x:c r="I524" s="48"/>
      <x:c r="J524" s="48" t="str">
        <x:v>No reliable projection; camp/summer watch pool</x:v>
      </x:c>
      <x:c r="K524" s="50" t="str">
        <x:v>Camp/summer-depth watch entry; no reliable 2026-27 fantasy projection. Verify final NBA contract, roster status and role before draft use.</x:v>
      </x:c>
      <x:c r="L524" s="50" t="str">
        <x:v>https://github.com/A-V29/NBA.Rosters/blob/main/2026.Summer.League.json</x:v>
      </x:c>
      <x:c r="M524" s="50" t="str">
        <x:v>https://github.com/ballacademy/NBA-head-to-head-/blob/5b1decfc31ffb645469c7ffbd01aaca4b18181bd/data/nba-stats/nba-player-stats-202526-regular-season-per-game.csv</x:v>
      </x:c>
    </x:row>
    <x:row r="525">
      <x:c r="A525" s="48" t="str">
        <x:v>Hansen Yang</x:v>
      </x:c>
      <x:c r="B525" s="48" t="n">
        <x:v>520</x:v>
      </x:c>
      <x:c r="C525" s="48" t="str">
        <x:v>C</x:v>
      </x:c>
      <x:c r="D525" s="48" t="n">
        <x:v>0</x:v>
      </x:c>
      <x:c r="E525" s="48" t="n">
        <x:v>0</x:v>
      </x:c>
      <x:c r="F525" s="48" t="n">
        <x:v>3.5</x:v>
      </x:c>
      <x:c r="G525" s="48" t="str">
        <x:v>WATCH</x:v>
      </x:c>
      <x:c r="H525" s="48"/>
      <x:c r="I525" s="48"/>
      <x:c r="J525" s="48" t="str">
        <x:v>No reliable projection; camp/summer watch pool</x:v>
      </x:c>
      <x:c r="K525" s="50" t="str">
        <x:v>Camp/summer-depth watch entry; no reliable 2026-27 fantasy projection. Verify final NBA contract, roster status and role before draft use.</x:v>
      </x:c>
      <x:c r="L525" s="50" t="str">
        <x:v>https://github.com/A-V29/NBA.Rosters/blob/main/2026.Summer.League.json</x:v>
      </x:c>
      <x:c r="M525" s="50" t="str">
        <x:v>https://github.com/ballacademy/NBA-head-to-head-/blob/5b1decfc31ffb645469c7ffbd01aaca4b18181bd/data/nba-stats/nba-player-stats-202526-regular-season-per-game.csv</x:v>
      </x:c>
    </x:row>
    <x:row r="526">
      <x:c r="A526" s="48" t="str">
        <x:v>Harry Wessels</x:v>
      </x:c>
      <x:c r="B526" s="48" t="n">
        <x:v>521</x:v>
      </x:c>
      <x:c r="C526" s="48" t="str">
        <x:v>C</x:v>
      </x:c>
      <x:c r="D526" s="48" t="n">
        <x:v>0</x:v>
      </x:c>
      <x:c r="E526" s="48" t="n">
        <x:v>0</x:v>
      </x:c>
      <x:c r="F526" s="48" t="n">
        <x:v>3.5</x:v>
      </x:c>
      <x:c r="G526" s="48" t="str">
        <x:v>WATCH</x:v>
      </x:c>
      <x:c r="H526" s="48"/>
      <x:c r="I526" s="48"/>
      <x:c r="J526" s="48" t="str">
        <x:v>No reliable projection; camp/summer watch pool</x:v>
      </x:c>
      <x:c r="K526" s="50" t="str">
        <x:v>Camp/summer-depth watch entry; no reliable 2026-27 fantasy projection. Verify final NBA contract, roster status and role before draft use.</x:v>
      </x:c>
      <x:c r="L526" s="50" t="str">
        <x:v>https://github.com/A-V29/NBA.Rosters/blob/main/2026.Summer.League.json</x:v>
      </x:c>
      <x:c r="M526" s="50" t="str">
        <x:v>https://github.com/ballacademy/NBA-head-to-head-/blob/5b1decfc31ffb645469c7ffbd01aaca4b18181bd/data/nba-stats/nba-player-stats-202526-regular-season-per-game.csv</x:v>
      </x:c>
    </x:row>
    <x:row r="527">
      <x:c r="A527" s="48" t="str">
        <x:v>Houston Mallette</x:v>
      </x:c>
      <x:c r="B527" s="48" t="n">
        <x:v>522</x:v>
      </x:c>
      <x:c r="C527" s="48" t="str">
        <x:v>PG</x:v>
      </x:c>
      <x:c r="D527" s="48" t="n">
        <x:v>0</x:v>
      </x:c>
      <x:c r="E527" s="48" t="n">
        <x:v>0</x:v>
      </x:c>
      <x:c r="F527" s="48" t="n">
        <x:v>3.5</x:v>
      </x:c>
      <x:c r="G527" s="48" t="str">
        <x:v>WATCH</x:v>
      </x:c>
      <x:c r="H527" s="48"/>
      <x:c r="I527" s="48"/>
      <x:c r="J527" s="48" t="str">
        <x:v>No reliable projection; camp/summer watch pool</x:v>
      </x:c>
      <x:c r="K527" s="50" t="str">
        <x:v>Camp/summer-depth watch entry; no reliable 2026-27 fantasy projection. Verify final NBA contract, roster status and role before draft use.</x:v>
      </x:c>
      <x:c r="L527" s="50" t="str">
        <x:v>https://github.com/A-V29/NBA.Rosters/blob/main/2026.Summer.League.json</x:v>
      </x:c>
      <x:c r="M527" s="50" t="str">
        <x:v>https://github.com/ballacademy/NBA-head-to-head-/blob/5b1decfc31ffb645469c7ffbd01aaca4b18181bd/data/nba-stats/nba-player-stats-202526-regular-season-per-game.csv</x:v>
      </x:c>
    </x:row>
    <x:row r="528">
      <x:c r="A528" s="48" t="str">
        <x:v>Hyunjung Lee</x:v>
      </x:c>
      <x:c r="B528" s="48" t="n">
        <x:v>523</x:v>
      </x:c>
      <x:c r="C528" s="48" t="str">
        <x:v>SF</x:v>
      </x:c>
      <x:c r="D528" s="48" t="n">
        <x:v>0</x:v>
      </x:c>
      <x:c r="E528" s="48" t="n">
        <x:v>0</x:v>
      </x:c>
      <x:c r="F528" s="48" t="n">
        <x:v>3.5</x:v>
      </x:c>
      <x:c r="G528" s="48" t="str">
        <x:v>WATCH</x:v>
      </x:c>
      <x:c r="H528" s="48"/>
      <x:c r="I528" s="48"/>
      <x:c r="J528" s="48" t="str">
        <x:v>No reliable projection; camp/summer watch pool</x:v>
      </x:c>
      <x:c r="K528" s="50" t="str">
        <x:v>Camp/summer-depth watch entry; no reliable 2026-27 fantasy projection. Verify final NBA contract, roster status and role before draft use.</x:v>
      </x:c>
      <x:c r="L528" s="50" t="str">
        <x:v>https://github.com/A-V29/NBA.Rosters/blob/main/2026.Summer.League.json</x:v>
      </x:c>
      <x:c r="M528" s="50" t="str">
        <x:v>https://github.com/ballacademy/NBA-head-to-head-/blob/5b1decfc31ffb645469c7ffbd01aaca4b18181bd/data/nba-stats/nba-player-stats-202526-regular-season-per-game.csv</x:v>
      </x:c>
    </x:row>
    <x:row r="529">
      <x:c r="A529" s="48" t="str">
        <x:v>Ian Martinez</x:v>
      </x:c>
      <x:c r="B529" s="48" t="n">
        <x:v>524</x:v>
      </x:c>
      <x:c r="C529" s="48" t="str">
        <x:v>PG</x:v>
      </x:c>
      <x:c r="D529" s="48" t="n">
        <x:v>0</x:v>
      </x:c>
      <x:c r="E529" s="48" t="n">
        <x:v>0</x:v>
      </x:c>
      <x:c r="F529" s="48" t="n">
        <x:v>3.5</x:v>
      </x:c>
      <x:c r="G529" s="48" t="str">
        <x:v>WATCH</x:v>
      </x:c>
      <x:c r="H529" s="48"/>
      <x:c r="I529" s="48"/>
      <x:c r="J529" s="48" t="str">
        <x:v>No reliable projection; camp/summer watch pool</x:v>
      </x:c>
      <x:c r="K529" s="50" t="str">
        <x:v>Camp/summer-depth watch entry; no reliable 2026-27 fantasy projection. Verify final NBA contract, roster status and role before draft use.</x:v>
      </x:c>
      <x:c r="L529" s="50" t="str">
        <x:v>https://github.com/A-V29/NBA.Rosters/blob/main/2026.Summer.League.json</x:v>
      </x:c>
      <x:c r="M529" s="50" t="str">
        <x:v>https://github.com/ballacademy/NBA-head-to-head-/blob/5b1decfc31ffb645469c7ffbd01aaca4b18181bd/data/nba-stats/nba-player-stats-202526-regular-season-per-game.csv</x:v>
      </x:c>
    </x:row>
    <x:row r="530">
      <x:c r="A530" s="48" t="str">
        <x:v>Ian Schieffelin</x:v>
      </x:c>
      <x:c r="B530" s="48" t="n">
        <x:v>525</x:v>
      </x:c>
      <x:c r="C530" s="48" t="str">
        <x:v>PF</x:v>
      </x:c>
      <x:c r="D530" s="48" t="n">
        <x:v>0</x:v>
      </x:c>
      <x:c r="E530" s="48" t="n">
        <x:v>0</x:v>
      </x:c>
      <x:c r="F530" s="48" t="n">
        <x:v>3.5</x:v>
      </x:c>
      <x:c r="G530" s="48" t="str">
        <x:v>WATCH</x:v>
      </x:c>
      <x:c r="H530" s="48"/>
      <x:c r="I530" s="48"/>
      <x:c r="J530" s="48" t="str">
        <x:v>No reliable projection; camp/summer watch pool</x:v>
      </x:c>
      <x:c r="K530" s="50" t="str">
        <x:v>Camp/summer-depth watch entry; no reliable 2026-27 fantasy projection. Verify final NBA contract, roster status and role before draft use.</x:v>
      </x:c>
      <x:c r="L530" s="50" t="str">
        <x:v>https://github.com/A-V29/NBA.Rosters/blob/main/2026.Summer.League.json</x:v>
      </x:c>
      <x:c r="M530" s="50" t="str">
        <x:v>https://github.com/ballacademy/NBA-head-to-head-/blob/5b1decfc31ffb645469c7ffbd01aaca4b18181bd/data/nba-stats/nba-player-stats-202526-regular-season-per-game.csv</x:v>
      </x:c>
    </x:row>
    <x:row r="531">
      <x:c r="A531" s="48" t="str">
        <x:v>Isaac Johnson</x:v>
      </x:c>
      <x:c r="B531" s="48" t="n">
        <x:v>526</x:v>
      </x:c>
      <x:c r="C531" s="48" t="str">
        <x:v>C</x:v>
      </x:c>
      <x:c r="D531" s="48" t="n">
        <x:v>0</x:v>
      </x:c>
      <x:c r="E531" s="48" t="n">
        <x:v>0</x:v>
      </x:c>
      <x:c r="F531" s="48" t="n">
        <x:v>3.5</x:v>
      </x:c>
      <x:c r="G531" s="48" t="str">
        <x:v>WATCH</x:v>
      </x:c>
      <x:c r="H531" s="48"/>
      <x:c r="I531" s="48"/>
      <x:c r="J531" s="48" t="str">
        <x:v>No reliable projection; camp/summer watch pool</x:v>
      </x:c>
      <x:c r="K531" s="50" t="str">
        <x:v>Camp/summer-depth watch entry; no reliable 2026-27 fantasy projection. Verify final NBA contract, roster status and role before draft use.</x:v>
      </x:c>
      <x:c r="L531" s="50" t="str">
        <x:v>https://github.com/A-V29/NBA.Rosters/blob/main/2026.Summer.League.json</x:v>
      </x:c>
      <x:c r="M531" s="50" t="str">
        <x:v>https://github.com/ballacademy/NBA-head-to-head-/blob/5b1decfc31ffb645469c7ffbd01aaca4b18181bd/data/nba-stats/nba-player-stats-202526-regular-season-per-game.csv</x:v>
      </x:c>
    </x:row>
    <x:row r="532">
      <x:c r="A532" s="48" t="str">
        <x:v>Isaac McKneely</x:v>
      </x:c>
      <x:c r="B532" s="48" t="n">
        <x:v>527</x:v>
      </x:c>
      <x:c r="C532" s="48" t="str">
        <x:v>SG</x:v>
      </x:c>
      <x:c r="D532" s="48" t="n">
        <x:v>0</x:v>
      </x:c>
      <x:c r="E532" s="48" t="n">
        <x:v>0</x:v>
      </x:c>
      <x:c r="F532" s="48" t="n">
        <x:v>3.5</x:v>
      </x:c>
      <x:c r="G532" s="48" t="str">
        <x:v>WATCH</x:v>
      </x:c>
      <x:c r="H532" s="48"/>
      <x:c r="I532" s="48"/>
      <x:c r="J532" s="48" t="str">
        <x:v>No reliable projection; camp/summer watch pool</x:v>
      </x:c>
      <x:c r="K532" s="50" t="str">
        <x:v>Camp/summer-depth watch entry; no reliable 2026-27 fantasy projection. Verify final NBA contract, roster status and role before draft use.</x:v>
      </x:c>
      <x:c r="L532" s="50" t="str">
        <x:v>https://github.com/A-V29/NBA.Rosters/blob/main/2026.Summer.League.json</x:v>
      </x:c>
      <x:c r="M532" s="50" t="str">
        <x:v>https://github.com/ballacademy/NBA-head-to-head-/blob/5b1decfc31ffb645469c7ffbd01aaca4b18181bd/data/nba-stats/nba-player-stats-202526-regular-season-per-game.csv</x:v>
      </x:c>
    </x:row>
    <x:row r="533">
      <x:c r="A533" s="48" t="str">
        <x:v>Isaiah Wong</x:v>
      </x:c>
      <x:c r="B533" s="48" t="n">
        <x:v>528</x:v>
      </x:c>
      <x:c r="C533" s="48" t="str">
        <x:v>PG</x:v>
      </x:c>
      <x:c r="D533" s="48" t="n">
        <x:v>0</x:v>
      </x:c>
      <x:c r="E533" s="48" t="n">
        <x:v>0</x:v>
      </x:c>
      <x:c r="F533" s="48" t="n">
        <x:v>3.5</x:v>
      </x:c>
      <x:c r="G533" s="48" t="str">
        <x:v>WATCH</x:v>
      </x:c>
      <x:c r="H533" s="48"/>
      <x:c r="I533" s="48"/>
      <x:c r="J533" s="48" t="str">
        <x:v>No reliable projection; camp/summer watch pool</x:v>
      </x:c>
      <x:c r="K533" s="50" t="str">
        <x:v>Camp/summer-depth watch entry; no reliable 2026-27 fantasy projection. Verify final NBA contract, roster status and role before draft use.</x:v>
      </x:c>
      <x:c r="L533" s="50" t="str">
        <x:v>https://github.com/A-V29/NBA.Rosters/blob/main/2026.Summer.League.json</x:v>
      </x:c>
      <x:c r="M533" s="50" t="str">
        <x:v>https://github.com/ballacademy/NBA-head-to-head-/blob/5b1decfc31ffb645469c7ffbd01aaca4b18181bd/data/nba-stats/nba-player-stats-202526-regular-season-per-game.csv</x:v>
      </x:c>
    </x:row>
    <x:row r="534">
      <x:c r="A534" s="48" t="str">
        <x:v>Izaiyah Nelson</x:v>
      </x:c>
      <x:c r="B534" s="48" t="n">
        <x:v>529</x:v>
      </x:c>
      <x:c r="C534" s="48" t="str">
        <x:v>C</x:v>
      </x:c>
      <x:c r="D534" s="48" t="n">
        <x:v>0</x:v>
      </x:c>
      <x:c r="E534" s="48" t="n">
        <x:v>0</x:v>
      </x:c>
      <x:c r="F534" s="48" t="n">
        <x:v>3.5</x:v>
      </x:c>
      <x:c r="G534" s="48" t="str">
        <x:v>WATCH</x:v>
      </x:c>
      <x:c r="H534" s="48"/>
      <x:c r="I534" s="48"/>
      <x:c r="J534" s="48" t="str">
        <x:v>No reliable projection; camp/summer watch pool</x:v>
      </x:c>
      <x:c r="K534" s="50" t="str">
        <x:v>Camp/summer-depth watch entry; no reliable 2026-27 fantasy projection. Verify final NBA contract, roster status and role before draft use.</x:v>
      </x:c>
      <x:c r="L534" s="50" t="str">
        <x:v>https://github.com/A-V29/NBA.Rosters/blob/main/2026.Summer.League.json</x:v>
      </x:c>
      <x:c r="M534" s="50" t="str">
        <x:v>https://github.com/ballacademy/NBA-head-to-head-/blob/5b1decfc31ffb645469c7ffbd01aaca4b18181bd/data/nba-stats/nba-player-stats-202526-regular-season-per-game.csv</x:v>
      </x:c>
    </x:row>
    <x:row r="535">
      <x:c r="A535" s="48" t="str">
        <x:v>J'Vonne Hadley</x:v>
      </x:c>
      <x:c r="B535" s="48" t="n">
        <x:v>530</x:v>
      </x:c>
      <x:c r="C535" s="48" t="str">
        <x:v>SF</x:v>
      </x:c>
      <x:c r="D535" s="48" t="n">
        <x:v>0</x:v>
      </x:c>
      <x:c r="E535" s="48" t="n">
        <x:v>0</x:v>
      </x:c>
      <x:c r="F535" s="48" t="n">
        <x:v>3.5</x:v>
      </x:c>
      <x:c r="G535" s="48" t="str">
        <x:v>WATCH</x:v>
      </x:c>
      <x:c r="H535" s="48"/>
      <x:c r="I535" s="48"/>
      <x:c r="J535" s="48" t="str">
        <x:v>No reliable projection; camp/summer watch pool</x:v>
      </x:c>
      <x:c r="K535" s="50" t="str">
        <x:v>Camp/summer-depth watch entry; no reliable 2026-27 fantasy projection. Verify final NBA contract, roster status and role before draft use.</x:v>
      </x:c>
      <x:c r="L535" s="50" t="str">
        <x:v>https://github.com/A-V29/NBA.Rosters/blob/main/2026.Summer.League.json</x:v>
      </x:c>
      <x:c r="M535" s="50" t="str">
        <x:v>https://github.com/ballacademy/NBA-head-to-head-/blob/5b1decfc31ffb645469c7ffbd01aaca4b18181bd/data/nba-stats/nba-player-stats-202526-regular-season-per-game.csv</x:v>
      </x:c>
    </x:row>
    <x:row r="536">
      <x:c r="A536" s="48" t="str">
        <x:v>JJ Harper</x:v>
      </x:c>
      <x:c r="B536" s="48" t="n">
        <x:v>531</x:v>
      </x:c>
      <x:c r="C536" s="48" t="str">
        <x:v>SF</x:v>
      </x:c>
      <x:c r="D536" s="48" t="n">
        <x:v>0</x:v>
      </x:c>
      <x:c r="E536" s="48" t="n">
        <x:v>0</x:v>
      </x:c>
      <x:c r="F536" s="48" t="n">
        <x:v>3.5</x:v>
      </x:c>
      <x:c r="G536" s="48" t="str">
        <x:v>WATCH</x:v>
      </x:c>
      <x:c r="H536" s="48"/>
      <x:c r="I536" s="48"/>
      <x:c r="J536" s="48" t="str">
        <x:v>No reliable projection; camp/summer watch pool</x:v>
      </x:c>
      <x:c r="K536" s="50" t="str">
        <x:v>Camp/summer-depth watch entry; no reliable 2026-27 fantasy projection. Verify final NBA contract, roster status and role before draft use.</x:v>
      </x:c>
      <x:c r="L536" s="50" t="str">
        <x:v>https://github.com/A-V29/NBA.Rosters/blob/main/2026.Summer.League.json</x:v>
      </x:c>
      <x:c r="M536" s="50" t="str">
        <x:v>https://github.com/ballacademy/NBA-head-to-head-/blob/5b1decfc31ffb645469c7ffbd01aaca4b18181bd/data/nba-stats/nba-player-stats-202526-regular-season-per-game.csv</x:v>
      </x:c>
    </x:row>
    <x:row r="537">
      <x:c r="A537" s="48" t="str">
        <x:v>Ja'Kobi Gillespie</x:v>
      </x:c>
      <x:c r="B537" s="48" t="n">
        <x:v>532</x:v>
      </x:c>
      <x:c r="C537" s="48" t="str">
        <x:v>PG</x:v>
      </x:c>
      <x:c r="D537" s="48" t="n">
        <x:v>0</x:v>
      </x:c>
      <x:c r="E537" s="48" t="n">
        <x:v>0</x:v>
      </x:c>
      <x:c r="F537" s="48" t="n">
        <x:v>3.5</x:v>
      </x:c>
      <x:c r="G537" s="48" t="str">
        <x:v>WATCH</x:v>
      </x:c>
      <x:c r="H537" s="48"/>
      <x:c r="I537" s="48"/>
      <x:c r="J537" s="48" t="str">
        <x:v>No reliable projection; camp/summer watch pool</x:v>
      </x:c>
      <x:c r="K537" s="50" t="str">
        <x:v>Camp/summer-depth watch entry; no reliable 2026-27 fantasy projection. Verify final NBA contract, roster status and role before draft use.</x:v>
      </x:c>
      <x:c r="L537" s="50" t="str">
        <x:v>https://github.com/A-V29/NBA.Rosters/blob/main/2026.Summer.League.json</x:v>
      </x:c>
      <x:c r="M537" s="50" t="str">
        <x:v>https://github.com/ballacademy/NBA-head-to-head-/blob/5b1decfc31ffb645469c7ffbd01aaca4b18181bd/data/nba-stats/nba-player-stats-202526-regular-season-per-game.csv</x:v>
      </x:c>
    </x:row>
    <x:row r="538">
      <x:c r="A538" s="48" t="str">
        <x:v>Ja'Vier Francis</x:v>
      </x:c>
      <x:c r="B538" s="48" t="n">
        <x:v>533</x:v>
      </x:c>
      <x:c r="C538" s="48" t="str">
        <x:v>C</x:v>
      </x:c>
      <x:c r="D538" s="48" t="n">
        <x:v>0</x:v>
      </x:c>
      <x:c r="E538" s="48" t="n">
        <x:v>0</x:v>
      </x:c>
      <x:c r="F538" s="48" t="n">
        <x:v>3.5</x:v>
      </x:c>
      <x:c r="G538" s="48" t="str">
        <x:v>WATCH</x:v>
      </x:c>
      <x:c r="H538" s="48"/>
      <x:c r="I538" s="48"/>
      <x:c r="J538" s="48" t="str">
        <x:v>No reliable projection; camp/summer watch pool</x:v>
      </x:c>
      <x:c r="K538" s="50" t="str">
        <x:v>Camp/summer-depth watch entry; no reliable 2026-27 fantasy projection. Verify final NBA contract, roster status and role before draft use.</x:v>
      </x:c>
      <x:c r="L538" s="50" t="str">
        <x:v>https://github.com/A-V29/NBA.Rosters/blob/main/2026.Summer.League.json</x:v>
      </x:c>
      <x:c r="M538" s="50" t="str">
        <x:v>https://github.com/ballacademy/NBA-head-to-head-/blob/5b1decfc31ffb645469c7ffbd01aaca4b18181bd/data/nba-stats/nba-player-stats-202526-regular-season-per-game.csv</x:v>
      </x:c>
    </x:row>
    <x:row r="539">
      <x:c r="A539" s="48" t="str">
        <x:v>Jabri Abdur-Rahim</x:v>
      </x:c>
      <x:c r="B539" s="48" t="n">
        <x:v>534</x:v>
      </x:c>
      <x:c r="C539" s="48" t="str">
        <x:v>SF</x:v>
      </x:c>
      <x:c r="D539" s="48" t="n">
        <x:v>0</x:v>
      </x:c>
      <x:c r="E539" s="48" t="n">
        <x:v>0</x:v>
      </x:c>
      <x:c r="F539" s="48" t="n">
        <x:v>3.5</x:v>
      </x:c>
      <x:c r="G539" s="48" t="str">
        <x:v>WATCH</x:v>
      </x:c>
      <x:c r="H539" s="48"/>
      <x:c r="I539" s="48"/>
      <x:c r="J539" s="48" t="str">
        <x:v>No reliable projection; camp/summer watch pool</x:v>
      </x:c>
      <x:c r="K539" s="50" t="str">
        <x:v>Camp/summer-depth watch entry; no reliable 2026-27 fantasy projection. Verify final NBA contract, roster status and role before draft use.</x:v>
      </x:c>
      <x:c r="L539" s="50" t="str">
        <x:v>https://github.com/A-V29/NBA.Rosters/blob/main/2026.Summer.League.json</x:v>
      </x:c>
      <x:c r="M539" s="50" t="str">
        <x:v>https://github.com/ballacademy/NBA-head-to-head-/blob/5b1decfc31ffb645469c7ffbd01aaca4b18181bd/data/nba-stats/nba-player-stats-202526-regular-season-per-game.csv</x:v>
      </x:c>
    </x:row>
    <x:row r="540">
      <x:c r="A540" s="48" t="str">
        <x:v>Jacari White</x:v>
      </x:c>
      <x:c r="B540" s="48" t="n">
        <x:v>535</x:v>
      </x:c>
      <x:c r="C540" s="48" t="str">
        <x:v>PG</x:v>
      </x:c>
      <x:c r="D540" s="48" t="n">
        <x:v>0</x:v>
      </x:c>
      <x:c r="E540" s="48" t="n">
        <x:v>0</x:v>
      </x:c>
      <x:c r="F540" s="48" t="n">
        <x:v>3.5</x:v>
      </x:c>
      <x:c r="G540" s="48" t="str">
        <x:v>WATCH</x:v>
      </x:c>
      <x:c r="H540" s="48"/>
      <x:c r="I540" s="48"/>
      <x:c r="J540" s="48" t="str">
        <x:v>No reliable projection; camp/summer watch pool</x:v>
      </x:c>
      <x:c r="K540" s="50" t="str">
        <x:v>Camp/summer-depth watch entry; no reliable 2026-27 fantasy projection. Verify final NBA contract, roster status and role before draft use.</x:v>
      </x:c>
      <x:c r="L540" s="50" t="str">
        <x:v>https://github.com/A-V29/NBA.Rosters/blob/main/2026.Summer.League.json</x:v>
      </x:c>
      <x:c r="M540" s="50" t="str">
        <x:v>https://github.com/ballacademy/NBA-head-to-head-/blob/5b1decfc31ffb645469c7ffbd01aaca4b18181bd/data/nba-stats/nba-player-stats-202526-regular-season-per-game.csv</x:v>
      </x:c>
    </x:row>
    <x:row r="541">
      <x:c r="A541" s="48" t="str">
        <x:v>Jack Clark</x:v>
      </x:c>
      <x:c r="B541" s="48" t="n">
        <x:v>536</x:v>
      </x:c>
      <x:c r="C541" s="48" t="str">
        <x:v>PF</x:v>
      </x:c>
      <x:c r="D541" s="48" t="n">
        <x:v>0</x:v>
      </x:c>
      <x:c r="E541" s="48" t="n">
        <x:v>0</x:v>
      </x:c>
      <x:c r="F541" s="48" t="n">
        <x:v>3.5</x:v>
      </x:c>
      <x:c r="G541" s="48" t="str">
        <x:v>WATCH</x:v>
      </x:c>
      <x:c r="H541" s="48"/>
      <x:c r="I541" s="48"/>
      <x:c r="J541" s="48" t="str">
        <x:v>No reliable projection; camp/summer watch pool</x:v>
      </x:c>
      <x:c r="K541" s="50" t="str">
        <x:v>Camp/summer-depth watch entry; no reliable 2026-27 fantasy projection. Verify final NBA contract, roster status and role before draft use.</x:v>
      </x:c>
      <x:c r="L541" s="50" t="str">
        <x:v>https://github.com/A-V29/NBA.Rosters/blob/main/2026.Summer.League.json</x:v>
      </x:c>
      <x:c r="M541" s="50" t="str">
        <x:v>https://github.com/ballacademy/NBA-head-to-head-/blob/5b1decfc31ffb645469c7ffbd01aaca4b18181bd/data/nba-stats/nba-player-stats-202526-regular-season-per-game.csv</x:v>
      </x:c>
    </x:row>
    <x:row r="542">
      <x:c r="A542" s="48" t="str">
        <x:v>Jack Kayil</x:v>
      </x:c>
      <x:c r="B542" s="48" t="n">
        <x:v>537</x:v>
      </x:c>
      <x:c r="C542" s="48" t="str">
        <x:v>PG</x:v>
      </x:c>
      <x:c r="D542" s="48" t="n">
        <x:v>0</x:v>
      </x:c>
      <x:c r="E542" s="48" t="n">
        <x:v>0</x:v>
      </x:c>
      <x:c r="F542" s="48" t="n">
        <x:v>3.5</x:v>
      </x:c>
      <x:c r="G542" s="48" t="str">
        <x:v>WATCH</x:v>
      </x:c>
      <x:c r="H542" s="48"/>
      <x:c r="I542" s="48"/>
      <x:c r="J542" s="48" t="str">
        <x:v>No reliable projection; camp/summer watch pool</x:v>
      </x:c>
      <x:c r="K542" s="50" t="str">
        <x:v>Camp/summer-depth watch entry; no reliable 2026-27 fantasy projection. Verify final NBA contract, roster status and role before draft use.</x:v>
      </x:c>
      <x:c r="L542" s="50" t="str">
        <x:v>https://github.com/A-V29/NBA.Rosters/blob/main/2026.Summer.League.json</x:v>
      </x:c>
      <x:c r="M542" s="50" t="str">
        <x:v>https://github.com/ballacademy/NBA-head-to-head-/blob/5b1decfc31ffb645469c7ffbd01aaca4b18181bd/data/nba-stats/nba-player-stats-202526-regular-season-per-game.csv</x:v>
      </x:c>
    </x:row>
    <x:row r="543">
      <x:c r="A543" s="48" t="str">
        <x:v>Jacksen Moni</x:v>
      </x:c>
      <x:c r="B543" s="48" t="n">
        <x:v>538</x:v>
      </x:c>
      <x:c r="C543" s="48" t="str">
        <x:v>C</x:v>
      </x:c>
      <x:c r="D543" s="48" t="n">
        <x:v>0</x:v>
      </x:c>
      <x:c r="E543" s="48" t="n">
        <x:v>0</x:v>
      </x:c>
      <x:c r="F543" s="48" t="n">
        <x:v>3.5</x:v>
      </x:c>
      <x:c r="G543" s="48" t="str">
        <x:v>WATCH</x:v>
      </x:c>
      <x:c r="H543" s="48"/>
      <x:c r="I543" s="48"/>
      <x:c r="J543" s="48" t="str">
        <x:v>No reliable projection; camp/summer watch pool</x:v>
      </x:c>
      <x:c r="K543" s="50" t="str">
        <x:v>Camp/summer-depth watch entry; no reliable 2026-27 fantasy projection. Verify final NBA contract, roster status and role before draft use.</x:v>
      </x:c>
      <x:c r="L543" s="50" t="str">
        <x:v>https://github.com/A-V29/NBA.Rosters/blob/main/2026.Summer.League.json</x:v>
      </x:c>
      <x:c r="M543" s="50" t="str">
        <x:v>https://github.com/ballacademy/NBA-head-to-head-/blob/5b1decfc31ffb645469c7ffbd01aaca4b18181bd/data/nba-stats/nba-player-stats-202526-regular-season-per-game.csv</x:v>
      </x:c>
    </x:row>
    <x:row r="544">
      <x:c r="A544" s="48" t="str">
        <x:v>Jaden Akins</x:v>
      </x:c>
      <x:c r="B544" s="48" t="n">
        <x:v>539</x:v>
      </x:c>
      <x:c r="C544" s="48" t="str">
        <x:v>PG</x:v>
      </x:c>
      <x:c r="D544" s="48" t="n">
        <x:v>0</x:v>
      </x:c>
      <x:c r="E544" s="48" t="n">
        <x:v>0</x:v>
      </x:c>
      <x:c r="F544" s="48" t="n">
        <x:v>3.5</x:v>
      </x:c>
      <x:c r="G544" s="48" t="str">
        <x:v>WATCH</x:v>
      </x:c>
      <x:c r="H544" s="48"/>
      <x:c r="I544" s="48"/>
      <x:c r="J544" s="48" t="str">
        <x:v>No reliable projection; camp/summer watch pool</x:v>
      </x:c>
      <x:c r="K544" s="50" t="str">
        <x:v>Camp/summer-depth watch entry; no reliable 2026-27 fantasy projection. Verify final NBA contract, roster status and role before draft use.</x:v>
      </x:c>
      <x:c r="L544" s="50" t="str">
        <x:v>https://github.com/A-V29/NBA.Rosters/blob/main/2026.Summer.League.json</x:v>
      </x:c>
      <x:c r="M544" s="50" t="str">
        <x:v>https://github.com/ballacademy/NBA-head-to-head-/blob/5b1decfc31ffb645469c7ffbd01aaca4b18181bd/data/nba-stats/nba-player-stats-202526-regular-season-per-game.csv</x:v>
      </x:c>
    </x:row>
    <x:row r="545">
      <x:c r="A545" s="48" t="str">
        <x:v>Jaden Bradley</x:v>
      </x:c>
      <x:c r="B545" s="48" t="n">
        <x:v>540</x:v>
      </x:c>
      <x:c r="C545" s="48" t="str">
        <x:v>PG</x:v>
      </x:c>
      <x:c r="D545" s="48" t="n">
        <x:v>0</x:v>
      </x:c>
      <x:c r="E545" s="48" t="n">
        <x:v>0</x:v>
      </x:c>
      <x:c r="F545" s="48" t="n">
        <x:v>3.5</x:v>
      </x:c>
      <x:c r="G545" s="48" t="str">
        <x:v>WATCH</x:v>
      </x:c>
      <x:c r="H545" s="48"/>
      <x:c r="I545" s="48"/>
      <x:c r="J545" s="48" t="str">
        <x:v>No reliable projection; camp/summer watch pool</x:v>
      </x:c>
      <x:c r="K545" s="50" t="str">
        <x:v>Camp/summer-depth watch entry; no reliable 2026-27 fantasy projection. Verify final NBA contract, roster status and role before draft use.</x:v>
      </x:c>
      <x:c r="L545" s="50" t="str">
        <x:v>https://github.com/A-V29/NBA.Rosters/blob/main/2026.Summer.League.json</x:v>
      </x:c>
      <x:c r="M545" s="50" t="str">
        <x:v>https://github.com/ballacademy/NBA-head-to-head-/blob/5b1decfc31ffb645469c7ffbd01aaca4b18181bd/data/nba-stats/nba-player-stats-202526-regular-season-per-game.csv</x:v>
      </x:c>
    </x:row>
    <x:row r="546">
      <x:c r="A546" s="48" t="str">
        <x:v>Jaden Henley</x:v>
      </x:c>
      <x:c r="B546" s="48" t="n">
        <x:v>541</x:v>
      </x:c>
      <x:c r="C546" s="48" t="str">
        <x:v>SF</x:v>
      </x:c>
      <x:c r="D546" s="48" t="n">
        <x:v>0</x:v>
      </x:c>
      <x:c r="E546" s="48" t="n">
        <x:v>0</x:v>
      </x:c>
      <x:c r="F546" s="48" t="n">
        <x:v>3.5</x:v>
      </x:c>
      <x:c r="G546" s="48" t="str">
        <x:v>WATCH</x:v>
      </x:c>
      <x:c r="H546" s="48"/>
      <x:c r="I546" s="48"/>
      <x:c r="J546" s="48" t="str">
        <x:v>No reliable projection; camp/summer watch pool</x:v>
      </x:c>
      <x:c r="K546" s="50" t="str">
        <x:v>Camp/summer-depth watch entry; no reliable 2026-27 fantasy projection. Verify final NBA contract, roster status and role before draft use.</x:v>
      </x:c>
      <x:c r="L546" s="50" t="str">
        <x:v>https://github.com/A-V29/NBA.Rosters/blob/main/2026.Summer.League.json</x:v>
      </x:c>
      <x:c r="M546" s="50" t="str">
        <x:v>https://github.com/ballacademy/NBA-head-to-head-/blob/5b1decfc31ffb645469c7ffbd01aaca4b18181bd/data/nba-stats/nba-player-stats-202526-regular-season-per-game.csv</x:v>
      </x:c>
    </x:row>
    <x:row r="547">
      <x:c r="A547" s="48" t="str">
        <x:v>Jaden Springer</x:v>
      </x:c>
      <x:c r="B547" s="48" t="n">
        <x:v>542</x:v>
      </x:c>
      <x:c r="C547" s="48" t="str">
        <x:v>SG</x:v>
      </x:c>
      <x:c r="D547" s="48" t="n">
        <x:v>0</x:v>
      </x:c>
      <x:c r="E547" s="48" t="n">
        <x:v>0</x:v>
      </x:c>
      <x:c r="F547" s="48" t="n">
        <x:v>3.5</x:v>
      </x:c>
      <x:c r="G547" s="48" t="str">
        <x:v>WATCH</x:v>
      </x:c>
      <x:c r="H547" s="48"/>
      <x:c r="I547" s="48"/>
      <x:c r="J547" s="48" t="str">
        <x:v>No reliable projection; camp/summer watch pool</x:v>
      </x:c>
      <x:c r="K547" s="50" t="str">
        <x:v>Camp/summer-depth watch entry; no reliable 2026-27 fantasy projection. Verify final NBA contract, roster status and role before draft use.</x:v>
      </x:c>
      <x:c r="L547" s="50" t="str">
        <x:v>https://github.com/A-V29/NBA.Rosters/blob/main/2026.Summer.League.json</x:v>
      </x:c>
      <x:c r="M547" s="50" t="str">
        <x:v>https://github.com/ballacademy/NBA-head-to-head-/blob/5b1decfc31ffb645469c7ffbd01aaca4b18181bd/data/nba-stats/nba-player-stats-202526-regular-season-per-game.csv</x:v>
      </x:c>
    </x:row>
    <x:row r="548">
      <x:c r="A548" s="48" t="str">
        <x:v>Jahmi'us Ramsey</x:v>
      </x:c>
      <x:c r="B548" s="48" t="n">
        <x:v>543</x:v>
      </x:c>
      <x:c r="C548" s="48" t="str">
        <x:v>PG</x:v>
      </x:c>
      <x:c r="D548" s="48" t="n">
        <x:v>0</x:v>
      </x:c>
      <x:c r="E548" s="48" t="n">
        <x:v>0</x:v>
      </x:c>
      <x:c r="F548" s="48" t="n">
        <x:v>3.5</x:v>
      </x:c>
      <x:c r="G548" s="48" t="str">
        <x:v>WATCH</x:v>
      </x:c>
      <x:c r="H548" s="48"/>
      <x:c r="I548" s="48"/>
      <x:c r="J548" s="48" t="str">
        <x:v>No reliable projection; camp/summer watch pool</x:v>
      </x:c>
      <x:c r="K548" s="50" t="str">
        <x:v>Camp/summer-depth watch entry; no reliable 2026-27 fantasy projection. Verify final NBA contract, roster status and role before draft use.</x:v>
      </x:c>
      <x:c r="L548" s="50" t="str">
        <x:v>https://github.com/A-V29/NBA.Rosters/blob/main/2026.Summer.League.json</x:v>
      </x:c>
      <x:c r="M548" s="50" t="str">
        <x:v>https://github.com/ballacademy/NBA-head-to-head-/blob/5b1decfc31ffb645469c7ffbd01aaca4b18181bd/data/nba-stats/nba-player-stats-202526-regular-season-per-game.csv</x:v>
      </x:c>
    </x:row>
    <x:row r="549">
      <x:c r="A549" s="48" t="str">
        <x:v>Jake Stephens</x:v>
      </x:c>
      <x:c r="B549" s="48" t="n">
        <x:v>544</x:v>
      </x:c>
      <x:c r="C549" s="48" t="str">
        <x:v>C</x:v>
      </x:c>
      <x:c r="D549" s="48" t="n">
        <x:v>0</x:v>
      </x:c>
      <x:c r="E549" s="48" t="n">
        <x:v>0</x:v>
      </x:c>
      <x:c r="F549" s="48" t="n">
        <x:v>3.5</x:v>
      </x:c>
      <x:c r="G549" s="48" t="str">
        <x:v>WATCH</x:v>
      </x:c>
      <x:c r="H549" s="48"/>
      <x:c r="I549" s="48"/>
      <x:c r="J549" s="48" t="str">
        <x:v>No reliable projection; camp/summer watch pool</x:v>
      </x:c>
      <x:c r="K549" s="50" t="str">
        <x:v>Camp/summer-depth watch entry; no reliable 2026-27 fantasy projection. Verify final NBA contract, roster status and role before draft use.</x:v>
      </x:c>
      <x:c r="L549" s="50" t="str">
        <x:v>https://github.com/A-V29/NBA.Rosters/blob/main/2026.Summer.League.json</x:v>
      </x:c>
      <x:c r="M549" s="50" t="str">
        <x:v>https://github.com/ballacademy/NBA-head-to-head-/blob/5b1decfc31ffb645469c7ffbd01aaca4b18181bd/data/nba-stats/nba-player-stats-202526-regular-season-per-game.csv</x:v>
      </x:c>
    </x:row>
    <x:row r="550">
      <x:c r="A550" s="48" t="str">
        <x:v>Jalen Bridges</x:v>
      </x:c>
      <x:c r="B550" s="48" t="n">
        <x:v>545</x:v>
      </x:c>
      <x:c r="C550" s="48" t="str">
        <x:v>SF</x:v>
      </x:c>
      <x:c r="D550" s="48" t="n">
        <x:v>0</x:v>
      </x:c>
      <x:c r="E550" s="48" t="n">
        <x:v>0</x:v>
      </x:c>
      <x:c r="F550" s="48" t="n">
        <x:v>3.5</x:v>
      </x:c>
      <x:c r="G550" s="48" t="str">
        <x:v>WATCH</x:v>
      </x:c>
      <x:c r="H550" s="48"/>
      <x:c r="I550" s="48"/>
      <x:c r="J550" s="48" t="str">
        <x:v>No reliable projection; camp/summer watch pool</x:v>
      </x:c>
      <x:c r="K550" s="50" t="str">
        <x:v>Camp/summer-depth watch entry; no reliable 2026-27 fantasy projection. Verify final NBA contract, roster status and role before draft use.</x:v>
      </x:c>
      <x:c r="L550" s="50" t="str">
        <x:v>https://github.com/A-V29/NBA.Rosters/blob/main/2026.Summer.League.json</x:v>
      </x:c>
      <x:c r="M550" s="50" t="str">
        <x:v>https://github.com/ballacademy/NBA-head-to-head-/blob/5b1decfc31ffb645469c7ffbd01aaca4b18181bd/data/nba-stats/nba-player-stats-202526-regular-season-per-game.csv</x:v>
      </x:c>
    </x:row>
    <x:row r="551">
      <x:c r="A551" s="48" t="str">
        <x:v>Jalen Celestine</x:v>
      </x:c>
      <x:c r="B551" s="48" t="n">
        <x:v>546</x:v>
      </x:c>
      <x:c r="C551" s="48" t="str">
        <x:v>SF</x:v>
      </x:c>
      <x:c r="D551" s="48" t="n">
        <x:v>0</x:v>
      </x:c>
      <x:c r="E551" s="48" t="n">
        <x:v>0</x:v>
      </x:c>
      <x:c r="F551" s="48" t="n">
        <x:v>3.5</x:v>
      </x:c>
      <x:c r="G551" s="48" t="str">
        <x:v>WATCH</x:v>
      </x:c>
      <x:c r="H551" s="48"/>
      <x:c r="I551" s="48"/>
      <x:c r="J551" s="48" t="str">
        <x:v>No reliable projection; camp/summer watch pool</x:v>
      </x:c>
      <x:c r="K551" s="50" t="str">
        <x:v>Camp/summer-depth watch entry; no reliable 2026-27 fantasy projection. Verify final NBA contract, roster status and role before draft use.</x:v>
      </x:c>
      <x:c r="L551" s="50" t="str">
        <x:v>https://github.com/A-V29/NBA.Rosters/blob/main/2026.Summer.League.json</x:v>
      </x:c>
      <x:c r="M551" s="50" t="str">
        <x:v>https://github.com/ballacademy/NBA-head-to-head-/blob/5b1decfc31ffb645469c7ffbd01aaca4b18181bd/data/nba-stats/nba-player-stats-202526-regular-season-per-game.csv</x:v>
      </x:c>
    </x:row>
    <x:row r="552">
      <x:c r="A552" s="48" t="str">
        <x:v>Jalen Warley</x:v>
      </x:c>
      <x:c r="B552" s="48" t="n">
        <x:v>547</x:v>
      </x:c>
      <x:c r="C552" s="48" t="str">
        <x:v>PG</x:v>
      </x:c>
      <x:c r="D552" s="48" t="n">
        <x:v>0</x:v>
      </x:c>
      <x:c r="E552" s="48" t="n">
        <x:v>0</x:v>
      </x:c>
      <x:c r="F552" s="48" t="n">
        <x:v>3.5</x:v>
      </x:c>
      <x:c r="G552" s="48" t="str">
        <x:v>WATCH</x:v>
      </x:c>
      <x:c r="H552" s="48"/>
      <x:c r="I552" s="48"/>
      <x:c r="J552" s="48" t="str">
        <x:v>No reliable projection; camp/summer watch pool</x:v>
      </x:c>
      <x:c r="K552" s="50" t="str">
        <x:v>Camp/summer-depth watch entry; no reliable 2026-27 fantasy projection. Verify final NBA contract, roster status and role before draft use.</x:v>
      </x:c>
      <x:c r="L552" s="50" t="str">
        <x:v>https://github.com/A-V29/NBA.Rosters/blob/main/2026.Summer.League.json</x:v>
      </x:c>
      <x:c r="M552" s="50" t="str">
        <x:v>https://github.com/ballacademy/NBA-head-to-head-/blob/5b1decfc31ffb645469c7ffbd01aaca4b18181bd/data/nba-stats/nba-player-stats-202526-regular-season-per-game.csv</x:v>
      </x:c>
    </x:row>
    <x:row r="553">
      <x:c r="A553" s="48" t="str">
        <x:v>Jalen Washington</x:v>
      </x:c>
      <x:c r="B553" s="48" t="n">
        <x:v>548</x:v>
      </x:c>
      <x:c r="C553" s="48" t="str">
        <x:v>C</x:v>
      </x:c>
      <x:c r="D553" s="48" t="n">
        <x:v>0</x:v>
      </x:c>
      <x:c r="E553" s="48" t="n">
        <x:v>0</x:v>
      </x:c>
      <x:c r="F553" s="48" t="n">
        <x:v>3.5</x:v>
      </x:c>
      <x:c r="G553" s="48" t="str">
        <x:v>WATCH</x:v>
      </x:c>
      <x:c r="H553" s="48"/>
      <x:c r="I553" s="48"/>
      <x:c r="J553" s="48" t="str">
        <x:v>No reliable projection; camp/summer watch pool</x:v>
      </x:c>
      <x:c r="K553" s="50" t="str">
        <x:v>Camp/summer-depth watch entry; no reliable 2026-27 fantasy projection. Verify final NBA contract, roster status and role before draft use.</x:v>
      </x:c>
      <x:c r="L553" s="50" t="str">
        <x:v>https://github.com/A-V29/NBA.Rosters/blob/main/2026.Summer.League.json</x:v>
      </x:c>
      <x:c r="M553" s="50" t="str">
        <x:v>https://github.com/ballacademy/NBA-head-to-head-/blob/5b1decfc31ffb645469c7ffbd01aaca4b18181bd/data/nba-stats/nba-player-stats-202526-regular-season-per-game.csv</x:v>
      </x:c>
    </x:row>
    <x:row r="554">
      <x:c r="A554" s="48" t="str">
        <x:v>Jalon Moore</x:v>
      </x:c>
      <x:c r="B554" s="48" t="n">
        <x:v>549</x:v>
      </x:c>
      <x:c r="C554" s="48" t="str">
        <x:v>PF</x:v>
      </x:c>
      <x:c r="D554" s="48" t="n">
        <x:v>0</x:v>
      </x:c>
      <x:c r="E554" s="48" t="n">
        <x:v>0</x:v>
      </x:c>
      <x:c r="F554" s="48" t="n">
        <x:v>3.5</x:v>
      </x:c>
      <x:c r="G554" s="48" t="str">
        <x:v>WATCH</x:v>
      </x:c>
      <x:c r="H554" s="48"/>
      <x:c r="I554" s="48"/>
      <x:c r="J554" s="48" t="str">
        <x:v>No reliable projection; camp/summer watch pool</x:v>
      </x:c>
      <x:c r="K554" s="50" t="str">
        <x:v>Camp/summer-depth watch entry; no reliable 2026-27 fantasy projection. Verify final NBA contract, roster status and role before draft use.</x:v>
      </x:c>
      <x:c r="L554" s="50" t="str">
        <x:v>https://github.com/A-V29/NBA.Rosters/blob/main/2026.Summer.League.json</x:v>
      </x:c>
      <x:c r="M554" s="50" t="str">
        <x:v>https://github.com/ballacademy/NBA-head-to-head-/blob/5b1decfc31ffb645469c7ffbd01aaca4b18181bd/data/nba-stats/nba-player-stats-202526-regular-season-per-game.csv</x:v>
      </x:c>
    </x:row>
    <x:row r="555">
      <x:c r="A555" s="48" t="str">
        <x:v>Jamarion Sharp</x:v>
      </x:c>
      <x:c r="B555" s="48" t="n">
        <x:v>550</x:v>
      </x:c>
      <x:c r="C555" s="48" t="str">
        <x:v>C</x:v>
      </x:c>
      <x:c r="D555" s="48" t="n">
        <x:v>0</x:v>
      </x:c>
      <x:c r="E555" s="48" t="n">
        <x:v>0</x:v>
      </x:c>
      <x:c r="F555" s="48" t="n">
        <x:v>3.5</x:v>
      </x:c>
      <x:c r="G555" s="48" t="str">
        <x:v>WATCH</x:v>
      </x:c>
      <x:c r="H555" s="48"/>
      <x:c r="I555" s="48"/>
      <x:c r="J555" s="48" t="str">
        <x:v>No reliable projection; camp/summer watch pool</x:v>
      </x:c>
      <x:c r="K555" s="50" t="str">
        <x:v>Camp/summer-depth watch entry; no reliable 2026-27 fantasy projection. Verify final NBA contract, roster status and role before draft use.</x:v>
      </x:c>
      <x:c r="L555" s="50" t="str">
        <x:v>https://github.com/A-V29/NBA.Rosters/blob/main/2026.Summer.League.json</x:v>
      </x:c>
      <x:c r="M555" s="50" t="str">
        <x:v>https://github.com/ballacademy/NBA-head-to-head-/blob/5b1decfc31ffb645469c7ffbd01aaca4b18181bd/data/nba-stats/nba-player-stats-202526-regular-season-per-game.csv</x:v>
      </x:c>
    </x:row>
    <x:row r="556">
      <x:c r="A556" s="48" t="str">
        <x:v>Javontae Campbell</x:v>
      </x:c>
      <x:c r="B556" s="48" t="n">
        <x:v>551</x:v>
      </x:c>
      <x:c r="C556" s="48" t="str">
        <x:v>PG</x:v>
      </x:c>
      <x:c r="D556" s="48" t="n">
        <x:v>0</x:v>
      </x:c>
      <x:c r="E556" s="48" t="n">
        <x:v>0</x:v>
      </x:c>
      <x:c r="F556" s="48" t="n">
        <x:v>3.5</x:v>
      </x:c>
      <x:c r="G556" s="48" t="str">
        <x:v>WATCH</x:v>
      </x:c>
      <x:c r="H556" s="48"/>
      <x:c r="I556" s="48"/>
      <x:c r="J556" s="48" t="str">
        <x:v>No reliable projection; camp/summer watch pool</x:v>
      </x:c>
      <x:c r="K556" s="50" t="str">
        <x:v>Camp/summer-depth watch entry; no reliable 2026-27 fantasy projection. Verify final NBA contract, roster status and role before draft use.</x:v>
      </x:c>
      <x:c r="L556" s="50" t="str">
        <x:v>https://github.com/A-V29/NBA.Rosters/blob/main/2026.Summer.League.json</x:v>
      </x:c>
      <x:c r="M556" s="50" t="str">
        <x:v>https://github.com/ballacademy/NBA-head-to-head-/blob/5b1decfc31ffb645469c7ffbd01aaca4b18181bd/data/nba-stats/nba-player-stats-202526-regular-season-per-game.csv</x:v>
      </x:c>
    </x:row>
    <x:row r="557">
      <x:c r="A557" s="48" t="str">
        <x:v>Jaxon Kohler</x:v>
      </x:c>
      <x:c r="B557" s="48" t="n">
        <x:v>552</x:v>
      </x:c>
      <x:c r="C557" s="48" t="str">
        <x:v>PF</x:v>
      </x:c>
      <x:c r="D557" s="48" t="n">
        <x:v>0</x:v>
      </x:c>
      <x:c r="E557" s="48" t="n">
        <x:v>0</x:v>
      </x:c>
      <x:c r="F557" s="48" t="n">
        <x:v>3.5</x:v>
      </x:c>
      <x:c r="G557" s="48" t="str">
        <x:v>WATCH</x:v>
      </x:c>
      <x:c r="H557" s="48"/>
      <x:c r="I557" s="48"/>
      <x:c r="J557" s="48" t="str">
        <x:v>No reliable projection; camp/summer watch pool</x:v>
      </x:c>
      <x:c r="K557" s="50" t="str">
        <x:v>Camp/summer-depth watch entry; no reliable 2026-27 fantasy projection. Verify final NBA contract, roster status and role before draft use.</x:v>
      </x:c>
      <x:c r="L557" s="50" t="str">
        <x:v>https://github.com/A-V29/NBA.Rosters/blob/main/2026.Summer.League.json</x:v>
      </x:c>
      <x:c r="M557" s="50" t="str">
        <x:v>https://github.com/ballacademy/NBA-head-to-head-/blob/5b1decfc31ffb645469c7ffbd01aaca4b18181bd/data/nba-stats/nba-player-stats-202526-regular-season-per-game.csv</x:v>
      </x:c>
    </x:row>
    <x:row r="558">
      <x:c r="A558" s="48" t="str">
        <x:v>Jayden Nunn</x:v>
      </x:c>
      <x:c r="B558" s="48" t="n">
        <x:v>553</x:v>
      </x:c>
      <x:c r="C558" s="48" t="str">
        <x:v>PG</x:v>
      </x:c>
      <x:c r="D558" s="48" t="n">
        <x:v>0</x:v>
      </x:c>
      <x:c r="E558" s="48" t="n">
        <x:v>0</x:v>
      </x:c>
      <x:c r="F558" s="48" t="n">
        <x:v>3.5</x:v>
      </x:c>
      <x:c r="G558" s="48" t="str">
        <x:v>WATCH</x:v>
      </x:c>
      <x:c r="H558" s="48"/>
      <x:c r="I558" s="48"/>
      <x:c r="J558" s="48" t="str">
        <x:v>No reliable projection; camp/summer watch pool</x:v>
      </x:c>
      <x:c r="K558" s="50" t="str">
        <x:v>Camp/summer-depth watch entry; no reliable 2026-27 fantasy projection. Verify final NBA contract, roster status and role before draft use.</x:v>
      </x:c>
      <x:c r="L558" s="50" t="str">
        <x:v>https://github.com/A-V29/NBA.Rosters/blob/main/2026.Summer.League.json</x:v>
      </x:c>
      <x:c r="M558" s="50" t="str">
        <x:v>https://github.com/ballacademy/NBA-head-to-head-/blob/5b1decfc31ffb645469c7ffbd01aaca4b18181bd/data/nba-stats/nba-player-stats-202526-regular-season-per-game.csv</x:v>
      </x:c>
    </x:row>
    <x:row r="559">
      <x:c r="A559" s="48" t="str">
        <x:v>Jaylen Martin</x:v>
      </x:c>
      <x:c r="B559" s="48" t="n">
        <x:v>554</x:v>
      </x:c>
      <x:c r="C559" s="48" t="str">
        <x:v>SF</x:v>
      </x:c>
      <x:c r="D559" s="48" t="n">
        <x:v>0</x:v>
      </x:c>
      <x:c r="E559" s="48" t="n">
        <x:v>0</x:v>
      </x:c>
      <x:c r="F559" s="48" t="n">
        <x:v>3.5</x:v>
      </x:c>
      <x:c r="G559" s="48" t="str">
        <x:v>WATCH</x:v>
      </x:c>
      <x:c r="H559" s="48"/>
      <x:c r="I559" s="48"/>
      <x:c r="J559" s="48" t="str">
        <x:v>No reliable projection; camp/summer watch pool</x:v>
      </x:c>
      <x:c r="K559" s="50" t="str">
        <x:v>Camp/summer-depth watch entry; no reliable 2026-27 fantasy projection. Verify final NBA contract, roster status and role before draft use.</x:v>
      </x:c>
      <x:c r="L559" s="50" t="str">
        <x:v>https://github.com/A-V29/NBA.Rosters/blob/main/2026.Summer.League.json</x:v>
      </x:c>
      <x:c r="M559" s="50" t="str">
        <x:v>https://github.com/ballacademy/NBA-head-to-head-/blob/5b1decfc31ffb645469c7ffbd01aaca4b18181bd/data/nba-stats/nba-player-stats-202526-regular-season-per-game.csv</x:v>
      </x:c>
    </x:row>
    <x:row r="560">
      <x:c r="A560" s="48" t="str">
        <x:v>Jaylin Sellers</x:v>
      </x:c>
      <x:c r="B560" s="48" t="n">
        <x:v>555</x:v>
      </x:c>
      <x:c r="C560" s="48" t="str">
        <x:v>PG</x:v>
      </x:c>
      <x:c r="D560" s="48" t="n">
        <x:v>0</x:v>
      </x:c>
      <x:c r="E560" s="48" t="n">
        <x:v>0</x:v>
      </x:c>
      <x:c r="F560" s="48" t="n">
        <x:v>3.5</x:v>
      </x:c>
      <x:c r="G560" s="48" t="str">
        <x:v>WATCH</x:v>
      </x:c>
      <x:c r="H560" s="48"/>
      <x:c r="I560" s="48"/>
      <x:c r="J560" s="48" t="str">
        <x:v>No reliable projection; camp/summer watch pool</x:v>
      </x:c>
      <x:c r="K560" s="50" t="str">
        <x:v>Camp/summer-depth watch entry; no reliable 2026-27 fantasy projection. Verify final NBA contract, roster status and role before draft use.</x:v>
      </x:c>
      <x:c r="L560" s="50" t="str">
        <x:v>https://github.com/A-V29/NBA.Rosters/blob/main/2026.Summer.League.json</x:v>
      </x:c>
      <x:c r="M560" s="50" t="str">
        <x:v>https://github.com/ballacademy/NBA-head-to-head-/blob/5b1decfc31ffb645469c7ffbd01aaca4b18181bd/data/nba-stats/nba-player-stats-202526-regular-season-per-game.csv</x:v>
      </x:c>
    </x:row>
    <x:row r="561">
      <x:c r="A561" s="48" t="str">
        <x:v>Jesse Edwards</x:v>
      </x:c>
      <x:c r="B561" s="48" t="n">
        <x:v>556</x:v>
      </x:c>
      <x:c r="C561" s="48" t="str">
        <x:v>C</x:v>
      </x:c>
      <x:c r="D561" s="48" t="n">
        <x:v>0</x:v>
      </x:c>
      <x:c r="E561" s="48" t="n">
        <x:v>0</x:v>
      </x:c>
      <x:c r="F561" s="48" t="n">
        <x:v>3.5</x:v>
      </x:c>
      <x:c r="G561" s="48" t="str">
        <x:v>WATCH</x:v>
      </x:c>
      <x:c r="H561" s="48"/>
      <x:c r="I561" s="48"/>
      <x:c r="J561" s="48" t="str">
        <x:v>No reliable projection; camp/summer watch pool</x:v>
      </x:c>
      <x:c r="K561" s="50" t="str">
        <x:v>Camp/summer-depth watch entry; no reliable 2026-27 fantasy projection. Verify final NBA contract, roster status and role before draft use.</x:v>
      </x:c>
      <x:c r="L561" s="50" t="str">
        <x:v>https://github.com/A-V29/NBA.Rosters/blob/main/2026.Summer.League.json</x:v>
      </x:c>
      <x:c r="M561" s="50" t="str">
        <x:v>https://github.com/ballacademy/NBA-head-to-head-/blob/5b1decfc31ffb645469c7ffbd01aaca4b18181bd/data/nba-stats/nba-player-stats-202526-regular-season-per-game.csv</x:v>
      </x:c>
    </x:row>
    <x:row r="562">
      <x:c r="A562" s="48" t="str">
        <x:v>Jestin Porter</x:v>
      </x:c>
      <x:c r="B562" s="48" t="n">
        <x:v>557</x:v>
      </x:c>
      <x:c r="C562" s="48" t="str">
        <x:v>PG</x:v>
      </x:c>
      <x:c r="D562" s="48" t="n">
        <x:v>0</x:v>
      </x:c>
      <x:c r="E562" s="48" t="n">
        <x:v>0</x:v>
      </x:c>
      <x:c r="F562" s="48" t="n">
        <x:v>3.5</x:v>
      </x:c>
      <x:c r="G562" s="48" t="str">
        <x:v>WATCH</x:v>
      </x:c>
      <x:c r="H562" s="48"/>
      <x:c r="I562" s="48"/>
      <x:c r="J562" s="48" t="str">
        <x:v>No reliable projection; camp/summer watch pool</x:v>
      </x:c>
      <x:c r="K562" s="50" t="str">
        <x:v>Camp/summer-depth watch entry; no reliable 2026-27 fantasy projection. Verify final NBA contract, roster status and role before draft use.</x:v>
      </x:c>
      <x:c r="L562" s="50" t="str">
        <x:v>https://github.com/A-V29/NBA.Rosters/blob/main/2026.Summer.League.json</x:v>
      </x:c>
      <x:c r="M562" s="50" t="str">
        <x:v>https://github.com/ballacademy/NBA-head-to-head-/blob/5b1decfc31ffb645469c7ffbd01aaca4b18181bd/data/nba-stats/nba-player-stats-202526-regular-season-per-game.csv</x:v>
      </x:c>
    </x:row>
    <x:row r="563">
      <x:c r="A563" s="48" t="str">
        <x:v>John Camden</x:v>
      </x:c>
      <x:c r="B563" s="48" t="n">
        <x:v>558</x:v>
      </x:c>
      <x:c r="C563" s="48" t="str">
        <x:v>SG</x:v>
      </x:c>
      <x:c r="D563" s="48" t="n">
        <x:v>0</x:v>
      </x:c>
      <x:c r="E563" s="48" t="n">
        <x:v>0</x:v>
      </x:c>
      <x:c r="F563" s="48" t="n">
        <x:v>3.5</x:v>
      </x:c>
      <x:c r="G563" s="48" t="str">
        <x:v>WATCH</x:v>
      </x:c>
      <x:c r="H563" s="48"/>
      <x:c r="I563" s="48"/>
      <x:c r="J563" s="48" t="str">
        <x:v>No reliable projection; camp/summer watch pool</x:v>
      </x:c>
      <x:c r="K563" s="50" t="str">
        <x:v>Camp/summer-depth watch entry; no reliable 2026-27 fantasy projection. Verify final NBA contract, roster status and role before draft use.</x:v>
      </x:c>
      <x:c r="L563" s="50" t="str">
        <x:v>https://github.com/A-V29/NBA.Rosters/blob/main/2026.Summer.League.json</x:v>
      </x:c>
      <x:c r="M563" s="50" t="str">
        <x:v>https://github.com/ballacademy/NBA-head-to-head-/blob/5b1decfc31ffb645469c7ffbd01aaca4b18181bd/data/nba-stats/nba-player-stats-202526-regular-season-per-game.csv</x:v>
      </x:c>
    </x:row>
    <x:row r="564">
      <x:c r="A564" s="48" t="str">
        <x:v>John Ukomadu</x:v>
      </x:c>
      <x:c r="B564" s="48" t="n">
        <x:v>559</x:v>
      </x:c>
      <x:c r="C564" s="48" t="str">
        <x:v>SF</x:v>
      </x:c>
      <x:c r="D564" s="48" t="n">
        <x:v>0</x:v>
      </x:c>
      <x:c r="E564" s="48" t="n">
        <x:v>0</x:v>
      </x:c>
      <x:c r="F564" s="48" t="n">
        <x:v>3.5</x:v>
      </x:c>
      <x:c r="G564" s="48" t="str">
        <x:v>WATCH</x:v>
      </x:c>
      <x:c r="H564" s="48"/>
      <x:c r="I564" s="48"/>
      <x:c r="J564" s="48" t="str">
        <x:v>No reliable projection; camp/summer watch pool</x:v>
      </x:c>
      <x:c r="K564" s="50" t="str">
        <x:v>Camp/summer-depth watch entry; no reliable 2026-27 fantasy projection. Verify final NBA contract, roster status and role before draft use.</x:v>
      </x:c>
      <x:c r="L564" s="50" t="str">
        <x:v>https://github.com/A-V29/NBA.Rosters/blob/main/2026.Summer.League.json</x:v>
      </x:c>
      <x:c r="M564" s="50" t="str">
        <x:v>https://github.com/ballacademy/NBA-head-to-head-/blob/5b1decfc31ffb645469c7ffbd01aaca4b18181bd/data/nba-stats/nba-player-stats-202526-regular-season-per-game.csv</x:v>
      </x:c>
    </x:row>
    <x:row r="565">
      <x:c r="A565" s="48" t="str">
        <x:v>Johnell Davis</x:v>
      </x:c>
      <x:c r="B565" s="48" t="n">
        <x:v>560</x:v>
      </x:c>
      <x:c r="C565" s="48" t="str">
        <x:v>PG</x:v>
      </x:c>
      <x:c r="D565" s="48" t="n">
        <x:v>0</x:v>
      </x:c>
      <x:c r="E565" s="48" t="n">
        <x:v>0</x:v>
      </x:c>
      <x:c r="F565" s="48" t="n">
        <x:v>3.5</x:v>
      </x:c>
      <x:c r="G565" s="48" t="str">
        <x:v>WATCH</x:v>
      </x:c>
      <x:c r="H565" s="48"/>
      <x:c r="I565" s="48"/>
      <x:c r="J565" s="48" t="str">
        <x:v>No reliable projection; camp/summer watch pool</x:v>
      </x:c>
      <x:c r="K565" s="50" t="str">
        <x:v>Camp/summer-depth watch entry; no reliable 2026-27 fantasy projection. Verify final NBA contract, roster status and role before draft use.</x:v>
      </x:c>
      <x:c r="L565" s="50" t="str">
        <x:v>https://github.com/A-V29/NBA.Rosters/blob/main/2026.Summer.League.json</x:v>
      </x:c>
      <x:c r="M565" s="50" t="str">
        <x:v>https://github.com/ballacademy/NBA-head-to-head-/blob/5b1decfc31ffb645469c7ffbd01aaca4b18181bd/data/nba-stats/nba-player-stats-202526-regular-season-per-game.csv</x:v>
      </x:c>
    </x:row>
    <x:row r="566">
      <x:c r="A566" s="48" t="str">
        <x:v>Johnny O'Neil</x:v>
      </x:c>
      <x:c r="B566" s="48" t="n">
        <x:v>561</x:v>
      </x:c>
      <x:c r="C566" s="48" t="str">
        <x:v>PF</x:v>
      </x:c>
      <x:c r="D566" s="48" t="n">
        <x:v>0</x:v>
      </x:c>
      <x:c r="E566" s="48" t="n">
        <x:v>0</x:v>
      </x:c>
      <x:c r="F566" s="48" t="n">
        <x:v>3.5</x:v>
      </x:c>
      <x:c r="G566" s="48" t="str">
        <x:v>WATCH</x:v>
      </x:c>
      <x:c r="H566" s="48"/>
      <x:c r="I566" s="48"/>
      <x:c r="J566" s="48" t="str">
        <x:v>No reliable projection; camp/summer watch pool</x:v>
      </x:c>
      <x:c r="K566" s="50" t="str">
        <x:v>Camp/summer-depth watch entry; no reliable 2026-27 fantasy projection. Verify final NBA contract, roster status and role before draft use.</x:v>
      </x:c>
      <x:c r="L566" s="50" t="str">
        <x:v>https://github.com/A-V29/NBA.Rosters/blob/main/2026.Summer.League.json</x:v>
      </x:c>
      <x:c r="M566" s="50" t="str">
        <x:v>https://github.com/ballacademy/NBA-head-to-head-/blob/5b1decfc31ffb645469c7ffbd01aaca4b18181bd/data/nba-stats/nba-player-stats-202526-regular-season-per-game.csv</x:v>
      </x:c>
    </x:row>
    <x:row r="567">
      <x:c r="A567" s="48" t="str">
        <x:v>Jon Elmore</x:v>
      </x:c>
      <x:c r="B567" s="48" t="n">
        <x:v>562</x:v>
      </x:c>
      <x:c r="C567" s="48" t="str">
        <x:v>PG</x:v>
      </x:c>
      <x:c r="D567" s="48" t="n">
        <x:v>0</x:v>
      </x:c>
      <x:c r="E567" s="48" t="n">
        <x:v>0</x:v>
      </x:c>
      <x:c r="F567" s="48" t="n">
        <x:v>3.5</x:v>
      </x:c>
      <x:c r="G567" s="48" t="str">
        <x:v>WATCH</x:v>
      </x:c>
      <x:c r="H567" s="48"/>
      <x:c r="I567" s="48"/>
      <x:c r="J567" s="48" t="str">
        <x:v>No reliable projection; camp/summer watch pool</x:v>
      </x:c>
      <x:c r="K567" s="50" t="str">
        <x:v>Camp/summer-depth watch entry; no reliable 2026-27 fantasy projection. Verify final NBA contract, roster status and role before draft use.</x:v>
      </x:c>
      <x:c r="L567" s="50" t="str">
        <x:v>https://github.com/A-V29/NBA.Rosters/blob/main/2026.Summer.League.json</x:v>
      </x:c>
      <x:c r="M567" s="50" t="str">
        <x:v>https://github.com/ballacademy/NBA-head-to-head-/blob/5b1decfc31ffb645469c7ffbd01aaca4b18181bd/data/nba-stats/nba-player-stats-202526-regular-season-per-game.csv</x:v>
      </x:c>
    </x:row>
    <x:row r="568">
      <x:c r="A568" s="48" t="str">
        <x:v>Jonas Aidoo</x:v>
      </x:c>
      <x:c r="B568" s="48" t="n">
        <x:v>563</x:v>
      </x:c>
      <x:c r="C568" s="48" t="str">
        <x:v>C</x:v>
      </x:c>
      <x:c r="D568" s="48" t="n">
        <x:v>0</x:v>
      </x:c>
      <x:c r="E568" s="48" t="n">
        <x:v>0</x:v>
      </x:c>
      <x:c r="F568" s="48" t="n">
        <x:v>3.5</x:v>
      </x:c>
      <x:c r="G568" s="48" t="str">
        <x:v>WATCH</x:v>
      </x:c>
      <x:c r="H568" s="48"/>
      <x:c r="I568" s="48"/>
      <x:c r="J568" s="48" t="str">
        <x:v>No reliable projection; camp/summer watch pool</x:v>
      </x:c>
      <x:c r="K568" s="50" t="str">
        <x:v>Camp/summer-depth watch entry; no reliable 2026-27 fantasy projection. Verify final NBA contract, roster status and role before draft use.</x:v>
      </x:c>
      <x:c r="L568" s="50" t="str">
        <x:v>https://github.com/A-V29/NBA.Rosters/blob/main/2026.Summer.League.json</x:v>
      </x:c>
      <x:c r="M568" s="50" t="str">
        <x:v>https://github.com/ballacademy/NBA-head-to-head-/blob/5b1decfc31ffb645469c7ffbd01aaca4b18181bd/data/nba-stats/nba-player-stats-202526-regular-season-per-game.csv</x:v>
      </x:c>
    </x:row>
    <x:row r="569">
      <x:c r="A569" s="48" t="str">
        <x:v>Jordan Riley</x:v>
      </x:c>
      <x:c r="B569" s="48" t="n">
        <x:v>564</x:v>
      </x:c>
      <x:c r="C569" s="48" t="str">
        <x:v>SF</x:v>
      </x:c>
      <x:c r="D569" s="48" t="n">
        <x:v>0</x:v>
      </x:c>
      <x:c r="E569" s="48" t="n">
        <x:v>0</x:v>
      </x:c>
      <x:c r="F569" s="48" t="n">
        <x:v>3.5</x:v>
      </x:c>
      <x:c r="G569" s="48" t="str">
        <x:v>WATCH</x:v>
      </x:c>
      <x:c r="H569" s="48"/>
      <x:c r="I569" s="48"/>
      <x:c r="J569" s="48" t="str">
        <x:v>No reliable projection; camp/summer watch pool</x:v>
      </x:c>
      <x:c r="K569" s="50" t="str">
        <x:v>Camp/summer-depth watch entry; no reliable 2026-27 fantasy projection. Verify final NBA contract, roster status and role before draft use.</x:v>
      </x:c>
      <x:c r="L569" s="50" t="str">
        <x:v>https://github.com/A-V29/NBA.Rosters/blob/main/2026.Summer.League.json</x:v>
      </x:c>
      <x:c r="M569" s="50" t="str">
        <x:v>https://github.com/ballacademy/NBA-head-to-head-/blob/5b1decfc31ffb645469c7ffbd01aaca4b18181bd/data/nba-stats/nba-player-stats-202526-regular-season-per-game.csv</x:v>
      </x:c>
    </x:row>
    <x:row r="570">
      <x:c r="A570" s="48" t="str">
        <x:v>Josh Dix</x:v>
      </x:c>
      <x:c r="B570" s="48" t="n">
        <x:v>565</x:v>
      </x:c>
      <x:c r="C570" s="48" t="str">
        <x:v>SF</x:v>
      </x:c>
      <x:c r="D570" s="48" t="n">
        <x:v>0</x:v>
      </x:c>
      <x:c r="E570" s="48" t="n">
        <x:v>0</x:v>
      </x:c>
      <x:c r="F570" s="48" t="n">
        <x:v>3.5</x:v>
      </x:c>
      <x:c r="G570" s="48" t="str">
        <x:v>WATCH</x:v>
      </x:c>
      <x:c r="H570" s="48"/>
      <x:c r="I570" s="48"/>
      <x:c r="J570" s="48" t="str">
        <x:v>No reliable projection; camp/summer watch pool</x:v>
      </x:c>
      <x:c r="K570" s="50" t="str">
        <x:v>Camp/summer-depth watch entry; no reliable 2026-27 fantasy projection. Verify final NBA contract, roster status and role before draft use.</x:v>
      </x:c>
      <x:c r="L570" s="50" t="str">
        <x:v>https://github.com/A-V29/NBA.Rosters/blob/main/2026.Summer.League.json</x:v>
      </x:c>
      <x:c r="M570" s="50" t="str">
        <x:v>https://github.com/ballacademy/NBA-head-to-head-/blob/5b1decfc31ffb645469c7ffbd01aaca4b18181bd/data/nba-stats/nba-player-stats-202526-regular-season-per-game.csv</x:v>
      </x:c>
    </x:row>
    <x:row r="571">
      <x:c r="A571" s="48" t="str">
        <x:v>Josiah Allick</x:v>
      </x:c>
      <x:c r="B571" s="48" t="n">
        <x:v>566</x:v>
      </x:c>
      <x:c r="C571" s="48" t="str">
        <x:v>C</x:v>
      </x:c>
      <x:c r="D571" s="48" t="n">
        <x:v>0</x:v>
      </x:c>
      <x:c r="E571" s="48" t="n">
        <x:v>0</x:v>
      </x:c>
      <x:c r="F571" s="48" t="n">
        <x:v>3.5</x:v>
      </x:c>
      <x:c r="G571" s="48" t="str">
        <x:v>WATCH</x:v>
      </x:c>
      <x:c r="H571" s="48"/>
      <x:c r="I571" s="48"/>
      <x:c r="J571" s="48" t="str">
        <x:v>No reliable projection; camp/summer watch pool</x:v>
      </x:c>
      <x:c r="K571" s="50" t="str">
        <x:v>Camp/summer-depth watch entry; no reliable 2026-27 fantasy projection. Verify final NBA contract, roster status and role before draft use.</x:v>
      </x:c>
      <x:c r="L571" s="50" t="str">
        <x:v>https://github.com/A-V29/NBA.Rosters/blob/main/2026.Summer.League.json</x:v>
      </x:c>
      <x:c r="M571" s="50" t="str">
        <x:v>https://github.com/ballacademy/NBA-head-to-head-/blob/5b1decfc31ffb645469c7ffbd01aaca4b18181bd/data/nba-stats/nba-player-stats-202526-regular-season-per-game.csv</x:v>
      </x:c>
    </x:row>
    <x:row r="572">
      <x:c r="A572" s="48" t="str">
        <x:v>Justin Harmon</x:v>
      </x:c>
      <x:c r="B572" s="48" t="n">
        <x:v>567</x:v>
      </x:c>
      <x:c r="C572" s="48" t="str">
        <x:v>PG</x:v>
      </x:c>
      <x:c r="D572" s="48" t="n">
        <x:v>0</x:v>
      </x:c>
      <x:c r="E572" s="48" t="n">
        <x:v>0</x:v>
      </x:c>
      <x:c r="F572" s="48" t="n">
        <x:v>3.5</x:v>
      </x:c>
      <x:c r="G572" s="48" t="str">
        <x:v>WATCH</x:v>
      </x:c>
      <x:c r="H572" s="48"/>
      <x:c r="I572" s="48"/>
      <x:c r="J572" s="48" t="str">
        <x:v>No reliable projection; camp/summer watch pool</x:v>
      </x:c>
      <x:c r="K572" s="50" t="str">
        <x:v>Camp/summer-depth watch entry; no reliable 2026-27 fantasy projection. Verify final NBA contract, roster status and role before draft use.</x:v>
      </x:c>
      <x:c r="L572" s="50" t="str">
        <x:v>https://github.com/A-V29/NBA.Rosters/blob/main/2026.Summer.League.json</x:v>
      </x:c>
      <x:c r="M572" s="50" t="str">
        <x:v>https://github.com/ballacademy/NBA-head-to-head-/blob/5b1decfc31ffb645469c7ffbd01aaca4b18181bd/data/nba-stats/nba-player-stats-202526-regular-season-per-game.csv</x:v>
      </x:c>
    </x:row>
    <x:row r="573">
      <x:c r="A573" s="48" t="str">
        <x:v>Kaodirichi Akobundu-Ehiogu</x:v>
      </x:c>
      <x:c r="B573" s="48" t="n">
        <x:v>568</x:v>
      </x:c>
      <x:c r="C573" s="48" t="str">
        <x:v>C</x:v>
      </x:c>
      <x:c r="D573" s="48" t="n">
        <x:v>0</x:v>
      </x:c>
      <x:c r="E573" s="48" t="n">
        <x:v>0</x:v>
      </x:c>
      <x:c r="F573" s="48" t="n">
        <x:v>3.5</x:v>
      </x:c>
      <x:c r="G573" s="48" t="str">
        <x:v>WATCH</x:v>
      </x:c>
      <x:c r="H573" s="48"/>
      <x:c r="I573" s="48"/>
      <x:c r="J573" s="48" t="str">
        <x:v>No reliable projection; camp/summer watch pool</x:v>
      </x:c>
      <x:c r="K573" s="50" t="str">
        <x:v>Camp/summer-depth watch entry; no reliable 2026-27 fantasy projection. Verify final NBA contract, roster status and role before draft use.</x:v>
      </x:c>
      <x:c r="L573" s="50" t="str">
        <x:v>https://github.com/A-V29/NBA.Rosters/blob/main/2026.Summer.League.json</x:v>
      </x:c>
      <x:c r="M573" s="50" t="str">
        <x:v>https://github.com/ballacademy/NBA-head-to-head-/blob/5b1decfc31ffb645469c7ffbd01aaca4b18181bd/data/nba-stats/nba-player-stats-202526-regular-season-per-game.csv</x:v>
      </x:c>
    </x:row>
    <x:row r="574">
      <x:c r="A574" s="48" t="str">
        <x:v>Keba Keita</x:v>
      </x:c>
      <x:c r="B574" s="48" t="n">
        <x:v>569</x:v>
      </x:c>
      <x:c r="C574" s="48" t="str">
        <x:v>C</x:v>
      </x:c>
      <x:c r="D574" s="48" t="n">
        <x:v>0</x:v>
      </x:c>
      <x:c r="E574" s="48" t="n">
        <x:v>0</x:v>
      </x:c>
      <x:c r="F574" s="48" t="n">
        <x:v>3.5</x:v>
      </x:c>
      <x:c r="G574" s="48" t="str">
        <x:v>WATCH</x:v>
      </x:c>
      <x:c r="H574" s="48"/>
      <x:c r="I574" s="48"/>
      <x:c r="J574" s="48" t="str">
        <x:v>No reliable projection; camp/summer watch pool</x:v>
      </x:c>
      <x:c r="K574" s="50" t="str">
        <x:v>Camp/summer-depth watch entry; no reliable 2026-27 fantasy projection. Verify final NBA contract, roster status and role before draft use.</x:v>
      </x:c>
      <x:c r="L574" s="50" t="str">
        <x:v>https://github.com/A-V29/NBA.Rosters/blob/main/2026.Summer.League.json</x:v>
      </x:c>
      <x:c r="M574" s="50" t="str">
        <x:v>https://github.com/ballacademy/NBA-head-to-head-/blob/5b1decfc31ffb645469c7ffbd01aaca4b18181bd/data/nba-stats/nba-player-stats-202526-regular-season-per-game.csv</x:v>
      </x:c>
    </x:row>
    <x:row r="575">
      <x:c r="A575" s="48" t="str">
        <x:v>Kendall Brown</x:v>
      </x:c>
      <x:c r="B575" s="48" t="n">
        <x:v>570</x:v>
      </x:c>
      <x:c r="C575" s="48" t="str">
        <x:v>SF</x:v>
      </x:c>
      <x:c r="D575" s="48" t="n">
        <x:v>0</x:v>
      </x:c>
      <x:c r="E575" s="48" t="n">
        <x:v>0</x:v>
      </x:c>
      <x:c r="F575" s="48" t="n">
        <x:v>3.5</x:v>
      </x:c>
      <x:c r="G575" s="48" t="str">
        <x:v>WATCH</x:v>
      </x:c>
      <x:c r="H575" s="48"/>
      <x:c r="I575" s="48"/>
      <x:c r="J575" s="48" t="str">
        <x:v>No reliable projection; camp/summer watch pool</x:v>
      </x:c>
      <x:c r="K575" s="50" t="str">
        <x:v>Camp/summer-depth watch entry; no reliable 2026-27 fantasy projection. Verify final NBA contract, roster status and role before draft use.</x:v>
      </x:c>
      <x:c r="L575" s="50" t="str">
        <x:v>https://github.com/A-V29/NBA.Rosters/blob/main/2026.Summer.League.json</x:v>
      </x:c>
      <x:c r="M575" s="50" t="str">
        <x:v>https://github.com/ballacademy/NBA-head-to-head-/blob/5b1decfc31ffb645469c7ffbd01aaca4b18181bd/data/nba-stats/nba-player-stats-202526-regular-season-per-game.csv</x:v>
      </x:c>
    </x:row>
    <x:row r="576">
      <x:c r="A576" s="48" t="str">
        <x:v>Keon Johnson</x:v>
      </x:c>
      <x:c r="B576" s="48" t="n">
        <x:v>571</x:v>
      </x:c>
      <x:c r="C576" s="48" t="str">
        <x:v>SG</x:v>
      </x:c>
      <x:c r="D576" s="48" t="n">
        <x:v>0</x:v>
      </x:c>
      <x:c r="E576" s="48" t="n">
        <x:v>0</x:v>
      </x:c>
      <x:c r="F576" s="48" t="n">
        <x:v>3.5</x:v>
      </x:c>
      <x:c r="G576" s="48" t="str">
        <x:v>WATCH</x:v>
      </x:c>
      <x:c r="H576" s="48"/>
      <x:c r="I576" s="48"/>
      <x:c r="J576" s="48" t="str">
        <x:v>No reliable projection; camp/summer watch pool</x:v>
      </x:c>
      <x:c r="K576" s="50" t="str">
        <x:v>Camp/summer-depth watch entry; no reliable 2026-27 fantasy projection. Verify final NBA contract, roster status and role before draft use.</x:v>
      </x:c>
      <x:c r="L576" s="50" t="str">
        <x:v>https://github.com/A-V29/NBA.Rosters/blob/main/2026.Summer.League.json</x:v>
      </x:c>
      <x:c r="M576" s="50" t="str">
        <x:v>https://github.com/ballacademy/NBA-head-to-head-/blob/5b1decfc31ffb645469c7ffbd01aaca4b18181bd/data/nba-stats/nba-player-stats-202526-regular-season-per-game.csv</x:v>
      </x:c>
    </x:row>
    <x:row r="577">
      <x:c r="A577" s="48" t="str">
        <x:v>Keyshawn Bryant</x:v>
      </x:c>
      <x:c r="B577" s="48" t="n">
        <x:v>572</x:v>
      </x:c>
      <x:c r="C577" s="48" t="str">
        <x:v>PF</x:v>
      </x:c>
      <x:c r="D577" s="48" t="n">
        <x:v>0</x:v>
      </x:c>
      <x:c r="E577" s="48" t="n">
        <x:v>0</x:v>
      </x:c>
      <x:c r="F577" s="48" t="n">
        <x:v>3.5</x:v>
      </x:c>
      <x:c r="G577" s="48" t="str">
        <x:v>WATCH</x:v>
      </x:c>
      <x:c r="H577" s="48"/>
      <x:c r="I577" s="48"/>
      <x:c r="J577" s="48" t="str">
        <x:v>No reliable projection; camp/summer watch pool</x:v>
      </x:c>
      <x:c r="K577" s="50" t="str">
        <x:v>Camp/summer-depth watch entry; no reliable 2026-27 fantasy projection. Verify final NBA contract, roster status and role before draft use.</x:v>
      </x:c>
      <x:c r="L577" s="50" t="str">
        <x:v>https://github.com/A-V29/NBA.Rosters/blob/main/2026.Summer.League.json</x:v>
      </x:c>
      <x:c r="M577" s="50" t="str">
        <x:v>https://github.com/ballacademy/NBA-head-to-head-/blob/5b1decfc31ffb645469c7ffbd01aaca4b18181bd/data/nba-stats/nba-player-stats-202526-regular-season-per-game.csv</x:v>
      </x:c>
    </x:row>
    <x:row r="578">
      <x:c r="A578" s="48" t="str">
        <x:v>Keyshawn Hall</x:v>
      </x:c>
      <x:c r="B578" s="48" t="n">
        <x:v>573</x:v>
      </x:c>
      <x:c r="C578" s="48" t="str">
        <x:v>SF</x:v>
      </x:c>
      <x:c r="D578" s="48" t="n">
        <x:v>0</x:v>
      </x:c>
      <x:c r="E578" s="48" t="n">
        <x:v>0</x:v>
      </x:c>
      <x:c r="F578" s="48" t="n">
        <x:v>3.5</x:v>
      </x:c>
      <x:c r="G578" s="48" t="str">
        <x:v>WATCH</x:v>
      </x:c>
      <x:c r="H578" s="48"/>
      <x:c r="I578" s="48"/>
      <x:c r="J578" s="48" t="str">
        <x:v>No reliable projection; camp/summer watch pool</x:v>
      </x:c>
      <x:c r="K578" s="50" t="str">
        <x:v>Camp/summer-depth watch entry; no reliable 2026-27 fantasy projection. Verify final NBA contract, roster status and role before draft use.</x:v>
      </x:c>
      <x:c r="L578" s="50" t="str">
        <x:v>https://github.com/A-V29/NBA.Rosters/blob/main/2026.Summer.League.json</x:v>
      </x:c>
      <x:c r="M578" s="50" t="str">
        <x:v>https://github.com/ballacademy/NBA-head-to-head-/blob/5b1decfc31ffb645469c7ffbd01aaca4b18181bd/data/nba-stats/nba-player-stats-202526-regular-season-per-game.csv</x:v>
      </x:c>
    </x:row>
    <x:row r="579">
      <x:c r="A579" s="48" t="str">
        <x:v>Kobe Johnson</x:v>
      </x:c>
      <x:c r="B579" s="48" t="n">
        <x:v>574</x:v>
      </x:c>
      <x:c r="C579" s="48" t="str">
        <x:v>SG</x:v>
      </x:c>
      <x:c r="D579" s="48" t="n">
        <x:v>0</x:v>
      </x:c>
      <x:c r="E579" s="48" t="n">
        <x:v>0</x:v>
      </x:c>
      <x:c r="F579" s="48" t="n">
        <x:v>3.5</x:v>
      </x:c>
      <x:c r="G579" s="48" t="str">
        <x:v>WATCH</x:v>
      </x:c>
      <x:c r="H579" s="48"/>
      <x:c r="I579" s="48"/>
      <x:c r="J579" s="48" t="str">
        <x:v>No reliable projection; camp/summer watch pool</x:v>
      </x:c>
      <x:c r="K579" s="50" t="str">
        <x:v>Camp/summer-depth watch entry; no reliable 2026-27 fantasy projection. Verify final NBA contract, roster status and role before draft use.</x:v>
      </x:c>
      <x:c r="L579" s="50" t="str">
        <x:v>https://github.com/A-V29/NBA.Rosters/blob/main/2026.Summer.League.json</x:v>
      </x:c>
      <x:c r="M579" s="50" t="str">
        <x:v>https://github.com/ballacademy/NBA-head-to-head-/blob/5b1decfc31ffb645469c7ffbd01aaca4b18181bd/data/nba-stats/nba-player-stats-202526-regular-season-per-game.csv</x:v>
      </x:c>
    </x:row>
    <x:row r="580">
      <x:c r="A580" s="48" t="str">
        <x:v>Kobe Knox</x:v>
      </x:c>
      <x:c r="B580" s="48" t="n">
        <x:v>575</x:v>
      </x:c>
      <x:c r="C580" s="48" t="str">
        <x:v>SF</x:v>
      </x:c>
      <x:c r="D580" s="48" t="n">
        <x:v>0</x:v>
      </x:c>
      <x:c r="E580" s="48" t="n">
        <x:v>0</x:v>
      </x:c>
      <x:c r="F580" s="48" t="n">
        <x:v>3.5</x:v>
      </x:c>
      <x:c r="G580" s="48" t="str">
        <x:v>WATCH</x:v>
      </x:c>
      <x:c r="H580" s="48"/>
      <x:c r="I580" s="48"/>
      <x:c r="J580" s="48" t="str">
        <x:v>No reliable projection; camp/summer watch pool</x:v>
      </x:c>
      <x:c r="K580" s="50" t="str">
        <x:v>Camp/summer-depth watch entry; no reliable 2026-27 fantasy projection. Verify final NBA contract, roster status and role before draft use.</x:v>
      </x:c>
      <x:c r="L580" s="50" t="str">
        <x:v>https://github.com/A-V29/NBA.Rosters/blob/main/2026.Summer.League.json</x:v>
      </x:c>
      <x:c r="M580" s="50" t="str">
        <x:v>https://github.com/ballacademy/NBA-head-to-head-/blob/5b1decfc31ffb645469c7ffbd01aaca4b18181bd/data/nba-stats/nba-player-stats-202526-regular-season-per-game.csv</x:v>
      </x:c>
    </x:row>
    <x:row r="581">
      <x:c r="A581" s="48" t="str">
        <x:v>Kobe Stewart</x:v>
      </x:c>
      <x:c r="B581" s="48" t="n">
        <x:v>576</x:v>
      </x:c>
      <x:c r="C581" s="48" t="str">
        <x:v>SF</x:v>
      </x:c>
      <x:c r="D581" s="48" t="n">
        <x:v>0</x:v>
      </x:c>
      <x:c r="E581" s="48" t="n">
        <x:v>0</x:v>
      </x:c>
      <x:c r="F581" s="48" t="n">
        <x:v>3.5</x:v>
      </x:c>
      <x:c r="G581" s="48" t="str">
        <x:v>WATCH</x:v>
      </x:c>
      <x:c r="H581" s="48"/>
      <x:c r="I581" s="48"/>
      <x:c r="J581" s="48" t="str">
        <x:v>No reliable projection; camp/summer watch pool</x:v>
      </x:c>
      <x:c r="K581" s="50" t="str">
        <x:v>Camp/summer-depth watch entry; no reliable 2026-27 fantasy projection. Verify final NBA contract, roster status and role before draft use.</x:v>
      </x:c>
      <x:c r="L581" s="50" t="str">
        <x:v>https://github.com/A-V29/NBA.Rosters/blob/main/2026.Summer.League.json</x:v>
      </x:c>
      <x:c r="M581" s="50" t="str">
        <x:v>https://github.com/ballacademy/NBA-head-to-head-/blob/5b1decfc31ffb645469c7ffbd01aaca4b18181bd/data/nba-stats/nba-player-stats-202526-regular-season-per-game.csv</x:v>
      </x:c>
    </x:row>
    <x:row r="582">
      <x:c r="A582" s="48" t="str">
        <x:v>Kuany Kuany</x:v>
      </x:c>
      <x:c r="B582" s="48" t="n">
        <x:v>577</x:v>
      </x:c>
      <x:c r="C582" s="48" t="str">
        <x:v>PF</x:v>
      </x:c>
      <x:c r="D582" s="48" t="n">
        <x:v>0</x:v>
      </x:c>
      <x:c r="E582" s="48" t="n">
        <x:v>0</x:v>
      </x:c>
      <x:c r="F582" s="48" t="n">
        <x:v>3.5</x:v>
      </x:c>
      <x:c r="G582" s="48" t="str">
        <x:v>WATCH</x:v>
      </x:c>
      <x:c r="H582" s="48"/>
      <x:c r="I582" s="48"/>
      <x:c r="J582" s="48" t="str">
        <x:v>No reliable projection; camp/summer watch pool</x:v>
      </x:c>
      <x:c r="K582" s="50" t="str">
        <x:v>Camp/summer-depth watch entry; no reliable 2026-27 fantasy projection. Verify final NBA contract, roster status and role before draft use.</x:v>
      </x:c>
      <x:c r="L582" s="50" t="str">
        <x:v>https://github.com/A-V29/NBA.Rosters/blob/main/2026.Summer.League.json</x:v>
      </x:c>
      <x:c r="M582" s="50" t="str">
        <x:v>https://github.com/ballacademy/NBA-head-to-head-/blob/5b1decfc31ffb645469c7ffbd01aaca4b18181bd/data/nba-stats/nba-player-stats-202526-regular-season-per-game.csv</x:v>
      </x:c>
    </x:row>
    <x:row r="583">
      <x:c r="A583" s="48" t="str">
        <x:v>Kylan Boswell</x:v>
      </x:c>
      <x:c r="B583" s="48" t="n">
        <x:v>578</x:v>
      </x:c>
      <x:c r="C583" s="48" t="str">
        <x:v>PG</x:v>
      </x:c>
      <x:c r="D583" s="48" t="n">
        <x:v>0</x:v>
      </x:c>
      <x:c r="E583" s="48" t="n">
        <x:v>0</x:v>
      </x:c>
      <x:c r="F583" s="48" t="n">
        <x:v>3.5</x:v>
      </x:c>
      <x:c r="G583" s="48" t="str">
        <x:v>WATCH</x:v>
      </x:c>
      <x:c r="H583" s="48"/>
      <x:c r="I583" s="48"/>
      <x:c r="J583" s="48" t="str">
        <x:v>No reliable projection; camp/summer watch pool</x:v>
      </x:c>
      <x:c r="K583" s="50" t="str">
        <x:v>Camp/summer-depth watch entry; no reliable 2026-27 fantasy projection. Verify final NBA contract, roster status and role before draft use.</x:v>
      </x:c>
      <x:c r="L583" s="50" t="str">
        <x:v>https://github.com/A-V29/NBA.Rosters/blob/main/2026.Summer.League.json</x:v>
      </x:c>
      <x:c r="M583" s="50" t="str">
        <x:v>https://github.com/ballacademy/NBA-head-to-head-/blob/5b1decfc31ffb645469c7ffbd01aaca4b18181bd/data/nba-stats/nba-player-stats-202526-regular-season-per-game.csv</x:v>
      </x:c>
    </x:row>
    <x:row r="584">
      <x:c r="A584" s="48" t="str">
        <x:v>Kyle Mangas</x:v>
      </x:c>
      <x:c r="B584" s="48" t="n">
        <x:v>579</x:v>
      </x:c>
      <x:c r="C584" s="48" t="str">
        <x:v>PG</x:v>
      </x:c>
      <x:c r="D584" s="48" t="n">
        <x:v>0</x:v>
      </x:c>
      <x:c r="E584" s="48" t="n">
        <x:v>0</x:v>
      </x:c>
      <x:c r="F584" s="48" t="n">
        <x:v>3.5</x:v>
      </x:c>
      <x:c r="G584" s="48" t="str">
        <x:v>WATCH</x:v>
      </x:c>
      <x:c r="H584" s="48"/>
      <x:c r="I584" s="48"/>
      <x:c r="J584" s="48" t="str">
        <x:v>No reliable projection; camp/summer watch pool</x:v>
      </x:c>
      <x:c r="K584" s="50" t="str">
        <x:v>Camp/summer-depth watch entry; no reliable 2026-27 fantasy projection. Verify final NBA contract, roster status and role before draft use.</x:v>
      </x:c>
      <x:c r="L584" s="50" t="str">
        <x:v>https://github.com/A-V29/NBA.Rosters/blob/main/2026.Summer.League.json</x:v>
      </x:c>
      <x:c r="M584" s="50" t="str">
        <x:v>https://github.com/ballacademy/NBA-head-to-head-/blob/5b1decfc31ffb645469c7ffbd01aaca4b18181bd/data/nba-stats/nba-player-stats-202526-regular-season-per-game.csv</x:v>
      </x:c>
    </x:row>
    <x:row r="585">
      <x:c r="A585" s="48" t="str">
        <x:v>Kylor Kelley</x:v>
      </x:c>
      <x:c r="B585" s="48" t="n">
        <x:v>580</x:v>
      </x:c>
      <x:c r="C585" s="48" t="str">
        <x:v>C</x:v>
      </x:c>
      <x:c r="D585" s="48" t="n">
        <x:v>0</x:v>
      </x:c>
      <x:c r="E585" s="48" t="n">
        <x:v>0</x:v>
      </x:c>
      <x:c r="F585" s="48" t="n">
        <x:v>3.5</x:v>
      </x:c>
      <x:c r="G585" s="48" t="str">
        <x:v>WATCH</x:v>
      </x:c>
      <x:c r="H585" s="48"/>
      <x:c r="I585" s="48"/>
      <x:c r="J585" s="48" t="str">
        <x:v>No reliable projection; camp/summer watch pool</x:v>
      </x:c>
      <x:c r="K585" s="50" t="str">
        <x:v>Camp/summer-depth watch entry; no reliable 2026-27 fantasy projection. Verify final NBA contract, roster status and role before draft use.</x:v>
      </x:c>
      <x:c r="L585" s="50" t="str">
        <x:v>https://github.com/A-V29/NBA.Rosters/blob/main/2026.Summer.League.json</x:v>
      </x:c>
      <x:c r="M585" s="50" t="str">
        <x:v>https://github.com/ballacademy/NBA-head-to-head-/blob/5b1decfc31ffb645469c7ffbd01aaca4b18181bd/data/nba-stats/nba-player-stats-202526-regular-season-per-game.csv</x:v>
      </x:c>
    </x:row>
    <x:row r="586">
      <x:c r="A586" s="48" t="str">
        <x:v>Lajae Jones</x:v>
      </x:c>
      <x:c r="B586" s="48" t="n">
        <x:v>581</x:v>
      </x:c>
      <x:c r="C586" s="48" t="str">
        <x:v>SF</x:v>
      </x:c>
      <x:c r="D586" s="48" t="n">
        <x:v>0</x:v>
      </x:c>
      <x:c r="E586" s="48" t="n">
        <x:v>0</x:v>
      </x:c>
      <x:c r="F586" s="48" t="n">
        <x:v>3.5</x:v>
      </x:c>
      <x:c r="G586" s="48" t="str">
        <x:v>WATCH</x:v>
      </x:c>
      <x:c r="H586" s="48"/>
      <x:c r="I586" s="48"/>
      <x:c r="J586" s="48" t="str">
        <x:v>No reliable projection; camp/summer watch pool</x:v>
      </x:c>
      <x:c r="K586" s="50" t="str">
        <x:v>Camp/summer-depth watch entry; no reliable 2026-27 fantasy projection. Verify final NBA contract, roster status and role before draft use.</x:v>
      </x:c>
      <x:c r="L586" s="50" t="str">
        <x:v>https://github.com/A-V29/NBA.Rosters/blob/main/2026.Summer.League.json</x:v>
      </x:c>
      <x:c r="M586" s="50" t="str">
        <x:v>https://github.com/ballacademy/NBA-head-to-head-/blob/5b1decfc31ffb645469c7ffbd01aaca4b18181bd/data/nba-stats/nba-player-stats-202526-regular-season-per-game.csv</x:v>
      </x:c>
    </x:row>
    <x:row r="587">
      <x:c r="A587" s="48" t="str">
        <x:v>Lamar Wilkerson</x:v>
      </x:c>
      <x:c r="B587" s="48" t="n">
        <x:v>582</x:v>
      </x:c>
      <x:c r="C587" s="48" t="str">
        <x:v>SF</x:v>
      </x:c>
      <x:c r="D587" s="48" t="n">
        <x:v>0</x:v>
      </x:c>
      <x:c r="E587" s="48" t="n">
        <x:v>0</x:v>
      </x:c>
      <x:c r="F587" s="48" t="n">
        <x:v>3.5</x:v>
      </x:c>
      <x:c r="G587" s="48" t="str">
        <x:v>WATCH</x:v>
      </x:c>
      <x:c r="H587" s="48"/>
      <x:c r="I587" s="48"/>
      <x:c r="J587" s="48" t="str">
        <x:v>No reliable projection; camp/summer watch pool</x:v>
      </x:c>
      <x:c r="K587" s="50" t="str">
        <x:v>Camp/summer-depth watch entry; no reliable 2026-27 fantasy projection. Verify final NBA contract, roster status and role before draft use.</x:v>
      </x:c>
      <x:c r="L587" s="50" t="str">
        <x:v>https://github.com/A-V29/NBA.Rosters/blob/main/2026.Summer.League.json</x:v>
      </x:c>
      <x:c r="M587" s="50" t="str">
        <x:v>https://github.com/ballacademy/NBA-head-to-head-/blob/5b1decfc31ffb645469c7ffbd01aaca4b18181bd/data/nba-stats/nba-player-stats-202526-regular-season-per-game.csv</x:v>
      </x:c>
    </x:row>
    <x:row r="588">
      <x:c r="A588" s="48" t="str">
        <x:v>Lance Ware</x:v>
      </x:c>
      <x:c r="B588" s="48" t="n">
        <x:v>583</x:v>
      </x:c>
      <x:c r="C588" s="48" t="str">
        <x:v>PF</x:v>
      </x:c>
      <x:c r="D588" s="48" t="n">
        <x:v>0</x:v>
      </x:c>
      <x:c r="E588" s="48" t="n">
        <x:v>0</x:v>
      </x:c>
      <x:c r="F588" s="48" t="n">
        <x:v>3.5</x:v>
      </x:c>
      <x:c r="G588" s="48" t="str">
        <x:v>WATCH</x:v>
      </x:c>
      <x:c r="H588" s="48"/>
      <x:c r="I588" s="48"/>
      <x:c r="J588" s="48" t="str">
        <x:v>No reliable projection; camp/summer watch pool</x:v>
      </x:c>
      <x:c r="K588" s="50" t="str">
        <x:v>Camp/summer-depth watch entry; no reliable 2026-27 fantasy projection. Verify final NBA contract, roster status and role before draft use.</x:v>
      </x:c>
      <x:c r="L588" s="50" t="str">
        <x:v>https://github.com/A-V29/NBA.Rosters/blob/main/2026.Summer.League.json</x:v>
      </x:c>
      <x:c r="M588" s="50" t="str">
        <x:v>https://github.com/ballacademy/NBA-head-to-head-/blob/5b1decfc31ffb645469c7ffbd01aaca4b18181bd/data/nba-stats/nba-player-stats-202526-regular-season-per-game.csv</x:v>
      </x:c>
    </x:row>
    <x:row r="589">
      <x:c r="A589" s="48" t="str">
        <x:v>Langston Wilson</x:v>
      </x:c>
      <x:c r="B589" s="48" t="n">
        <x:v>584</x:v>
      </x:c>
      <x:c r="C589" s="48" t="str">
        <x:v>PF</x:v>
      </x:c>
      <x:c r="D589" s="48" t="n">
        <x:v>0</x:v>
      </x:c>
      <x:c r="E589" s="48" t="n">
        <x:v>0</x:v>
      </x:c>
      <x:c r="F589" s="48" t="n">
        <x:v>3.5</x:v>
      </x:c>
      <x:c r="G589" s="48" t="str">
        <x:v>WATCH</x:v>
      </x:c>
      <x:c r="H589" s="48"/>
      <x:c r="I589" s="48"/>
      <x:c r="J589" s="48" t="str">
        <x:v>No reliable projection; camp/summer watch pool</x:v>
      </x:c>
      <x:c r="K589" s="50" t="str">
        <x:v>Camp/summer-depth watch entry; no reliable 2026-27 fantasy projection. Verify final NBA contract, roster status and role before draft use.</x:v>
      </x:c>
      <x:c r="L589" s="50" t="str">
        <x:v>https://github.com/A-V29/NBA.Rosters/blob/main/2026.Summer.League.json</x:v>
      </x:c>
      <x:c r="M589" s="50" t="str">
        <x:v>https://github.com/ballacademy/NBA-head-to-head-/blob/5b1decfc31ffb645469c7ffbd01aaca4b18181bd/data/nba-stats/nba-player-stats-202526-regular-season-per-game.csv</x:v>
      </x:c>
    </x:row>
    <x:row r="590">
      <x:c r="A590" s="48" t="str">
        <x:v>Latavious Mitchell</x:v>
      </x:c>
      <x:c r="B590" s="48" t="n">
        <x:v>585</x:v>
      </x:c>
      <x:c r="C590" s="48" t="str">
        <x:v>PF</x:v>
      </x:c>
      <x:c r="D590" s="48" t="n">
        <x:v>0</x:v>
      </x:c>
      <x:c r="E590" s="48" t="n">
        <x:v>0</x:v>
      </x:c>
      <x:c r="F590" s="48" t="n">
        <x:v>3.5</x:v>
      </x:c>
      <x:c r="G590" s="48" t="str">
        <x:v>WATCH</x:v>
      </x:c>
      <x:c r="H590" s="48"/>
      <x:c r="I590" s="48"/>
      <x:c r="J590" s="48" t="str">
        <x:v>No reliable projection; camp/summer watch pool</x:v>
      </x:c>
      <x:c r="K590" s="50" t="str">
        <x:v>Camp/summer-depth watch entry; no reliable 2026-27 fantasy projection. Verify final NBA contract, roster status and role before draft use.</x:v>
      </x:c>
      <x:c r="L590" s="50" t="str">
        <x:v>https://github.com/A-V29/NBA.Rosters/blob/main/2026.Summer.League.json</x:v>
      </x:c>
      <x:c r="M590" s="50" t="str">
        <x:v>https://github.com/ballacademy/NBA-head-to-head-/blob/5b1decfc31ffb645469c7ffbd01aaca4b18181bd/data/nba-stats/nba-player-stats-202526-regular-season-per-game.csv</x:v>
      </x:c>
    </x:row>
    <x:row r="591">
      <x:c r="A591" s="48" t="str">
        <x:v>Lester Quinones</x:v>
      </x:c>
      <x:c r="B591" s="48" t="n">
        <x:v>586</x:v>
      </x:c>
      <x:c r="C591" s="48" t="str">
        <x:v>SG</x:v>
      </x:c>
      <x:c r="D591" s="48" t="n">
        <x:v>0</x:v>
      </x:c>
      <x:c r="E591" s="48" t="n">
        <x:v>0</x:v>
      </x:c>
      <x:c r="F591" s="48" t="n">
        <x:v>3.5</x:v>
      </x:c>
      <x:c r="G591" s="48" t="str">
        <x:v>WATCH</x:v>
      </x:c>
      <x:c r="H591" s="48"/>
      <x:c r="I591" s="48"/>
      <x:c r="J591" s="48" t="str">
        <x:v>No reliable projection; camp/summer watch pool</x:v>
      </x:c>
      <x:c r="K591" s="50" t="str">
        <x:v>Camp/summer-depth watch entry; no reliable 2026-27 fantasy projection. Verify final NBA contract, roster status and role before draft use.</x:v>
      </x:c>
      <x:c r="L591" s="50" t="str">
        <x:v>https://github.com/A-V29/NBA.Rosters/blob/main/2026.Summer.League.json</x:v>
      </x:c>
      <x:c r="M591" s="50" t="str">
        <x:v>https://github.com/ballacademy/NBA-head-to-head-/blob/5b1decfc31ffb645469c7ffbd01aaca4b18181bd/data/nba-stats/nba-player-stats-202526-regular-season-per-game.csv</x:v>
      </x:c>
    </x:row>
    <x:row r="592">
      <x:c r="A592" s="48" t="str">
        <x:v>Liam Robbins</x:v>
      </x:c>
      <x:c r="B592" s="48" t="n">
        <x:v>587</x:v>
      </x:c>
      <x:c r="C592" s="48" t="str">
        <x:v>C</x:v>
      </x:c>
      <x:c r="D592" s="48" t="n">
        <x:v>0</x:v>
      </x:c>
      <x:c r="E592" s="48" t="n">
        <x:v>0</x:v>
      </x:c>
      <x:c r="F592" s="48" t="n">
        <x:v>3.5</x:v>
      </x:c>
      <x:c r="G592" s="48" t="str">
        <x:v>WATCH</x:v>
      </x:c>
      <x:c r="H592" s="48"/>
      <x:c r="I592" s="48"/>
      <x:c r="J592" s="48" t="str">
        <x:v>No reliable projection; camp/summer watch pool</x:v>
      </x:c>
      <x:c r="K592" s="50" t="str">
        <x:v>Camp/summer-depth watch entry; no reliable 2026-27 fantasy projection. Verify final NBA contract, roster status and role before draft use.</x:v>
      </x:c>
      <x:c r="L592" s="50" t="str">
        <x:v>https://github.com/A-V29/NBA.Rosters/blob/main/2026.Summer.League.json</x:v>
      </x:c>
      <x:c r="M592" s="50" t="str">
        <x:v>https://github.com/ballacademy/NBA-head-to-head-/blob/5b1decfc31ffb645469c7ffbd01aaca4b18181bd/data/nba-stats/nba-player-stats-202526-regular-season-per-game.csv</x:v>
      </x:c>
    </x:row>
    <x:row r="593">
      <x:c r="A593" s="48" t="str">
        <x:v>Luke Goode</x:v>
      </x:c>
      <x:c r="B593" s="48" t="n">
        <x:v>588</x:v>
      </x:c>
      <x:c r="C593" s="48" t="str">
        <x:v>PF</x:v>
      </x:c>
      <x:c r="D593" s="48" t="n">
        <x:v>0</x:v>
      </x:c>
      <x:c r="E593" s="48" t="n">
        <x:v>0</x:v>
      </x:c>
      <x:c r="F593" s="48" t="n">
        <x:v>3.5</x:v>
      </x:c>
      <x:c r="G593" s="48" t="str">
        <x:v>WATCH</x:v>
      </x:c>
      <x:c r="H593" s="48"/>
      <x:c r="I593" s="48"/>
      <x:c r="J593" s="48" t="str">
        <x:v>No reliable projection; camp/summer watch pool</x:v>
      </x:c>
      <x:c r="K593" s="50" t="str">
        <x:v>Camp/summer-depth watch entry; no reliable 2026-27 fantasy projection. Verify final NBA contract, roster status and role before draft use.</x:v>
      </x:c>
      <x:c r="L593" s="50" t="str">
        <x:v>https://github.com/A-V29/NBA.Rosters/blob/main/2026.Summer.League.json</x:v>
      </x:c>
      <x:c r="M593" s="50" t="str">
        <x:v>https://github.com/ballacademy/NBA-head-to-head-/blob/5b1decfc31ffb645469c7ffbd01aaca4b18181bd/data/nba-stats/nba-player-stats-202526-regular-season-per-game.csv</x:v>
      </x:c>
    </x:row>
    <x:row r="594">
      <x:c r="A594" s="48" t="str">
        <x:v>Malik Dia</x:v>
      </x:c>
      <x:c r="B594" s="48" t="n">
        <x:v>589</x:v>
      </x:c>
      <x:c r="C594" s="48" t="str">
        <x:v>C</x:v>
      </x:c>
      <x:c r="D594" s="48" t="n">
        <x:v>0</x:v>
      </x:c>
      <x:c r="E594" s="48" t="n">
        <x:v>0</x:v>
      </x:c>
      <x:c r="F594" s="48" t="n">
        <x:v>3.5</x:v>
      </x:c>
      <x:c r="G594" s="48" t="str">
        <x:v>WATCH</x:v>
      </x:c>
      <x:c r="H594" s="48"/>
      <x:c r="I594" s="48"/>
      <x:c r="J594" s="48" t="str">
        <x:v>No reliable projection; camp/summer watch pool</x:v>
      </x:c>
      <x:c r="K594" s="50" t="str">
        <x:v>Camp/summer-depth watch entry; no reliable 2026-27 fantasy projection. Verify final NBA contract, roster status and role before draft use.</x:v>
      </x:c>
      <x:c r="L594" s="50" t="str">
        <x:v>https://github.com/A-V29/NBA.Rosters/blob/main/2026.Summer.League.json</x:v>
      </x:c>
      <x:c r="M594" s="50" t="str">
        <x:v>https://github.com/ballacademy/NBA-head-to-head-/blob/5b1decfc31ffb645469c7ffbd01aaca4b18181bd/data/nba-stats/nba-player-stats-202526-regular-season-per-game.csv</x:v>
      </x:c>
    </x:row>
    <x:row r="595">
      <x:c r="A595" s="48" t="str">
        <x:v>Malik Reneau</x:v>
      </x:c>
      <x:c r="B595" s="48" t="n">
        <x:v>590</x:v>
      </x:c>
      <x:c r="C595" s="48" t="str">
        <x:v>PF</x:v>
      </x:c>
      <x:c r="D595" s="48" t="n">
        <x:v>0</x:v>
      </x:c>
      <x:c r="E595" s="48" t="n">
        <x:v>0</x:v>
      </x:c>
      <x:c r="F595" s="48" t="n">
        <x:v>3.5</x:v>
      </x:c>
      <x:c r="G595" s="48" t="str">
        <x:v>WATCH</x:v>
      </x:c>
      <x:c r="H595" s="48"/>
      <x:c r="I595" s="48"/>
      <x:c r="J595" s="48" t="str">
        <x:v>No reliable projection; camp/summer watch pool</x:v>
      </x:c>
      <x:c r="K595" s="50" t="str">
        <x:v>Camp/summer-depth watch entry; no reliable 2026-27 fantasy projection. Verify final NBA contract, roster status and role before draft use.</x:v>
      </x:c>
      <x:c r="L595" s="50" t="str">
        <x:v>https://github.com/A-V29/NBA.Rosters/blob/main/2026.Summer.League.json</x:v>
      </x:c>
      <x:c r="M595" s="50" t="str">
        <x:v>https://github.com/ballacademy/NBA-head-to-head-/blob/5b1decfc31ffb645469c7ffbd01aaca4b18181bd/data/nba-stats/nba-player-stats-202526-regular-season-per-game.csv</x:v>
      </x:c>
    </x:row>
    <x:row r="596">
      <x:c r="A596" s="48" t="str">
        <x:v>Malik Thomas</x:v>
      </x:c>
      <x:c r="B596" s="48" t="n">
        <x:v>591</x:v>
      </x:c>
      <x:c r="C596" s="48" t="str">
        <x:v>PG</x:v>
      </x:c>
      <x:c r="D596" s="48" t="n">
        <x:v>0</x:v>
      </x:c>
      <x:c r="E596" s="48" t="n">
        <x:v>0</x:v>
      </x:c>
      <x:c r="F596" s="48" t="n">
        <x:v>3.5</x:v>
      </x:c>
      <x:c r="G596" s="48" t="str">
        <x:v>WATCH</x:v>
      </x:c>
      <x:c r="H596" s="48"/>
      <x:c r="I596" s="48"/>
      <x:c r="J596" s="48" t="str">
        <x:v>No reliable projection; camp/summer watch pool</x:v>
      </x:c>
      <x:c r="K596" s="50" t="str">
        <x:v>Camp/summer-depth watch entry; no reliable 2026-27 fantasy projection. Verify final NBA contract, roster status and role before draft use.</x:v>
      </x:c>
      <x:c r="L596" s="50" t="str">
        <x:v>https://github.com/A-V29/NBA.Rosters/blob/main/2026.Summer.League.json</x:v>
      </x:c>
      <x:c r="M596" s="50" t="str">
        <x:v>https://github.com/ballacademy/NBA-head-to-head-/blob/5b1decfc31ffb645469c7ffbd01aaca4b18181bd/data/nba-stats/nba-player-stats-202526-regular-season-per-game.csv</x:v>
      </x:c>
    </x:row>
    <x:row r="597">
      <x:c r="A597" s="48" t="str">
        <x:v>Malik Williams</x:v>
      </x:c>
      <x:c r="B597" s="48" t="n">
        <x:v>592</x:v>
      </x:c>
      <x:c r="C597" s="48" t="str">
        <x:v>C</x:v>
      </x:c>
      <x:c r="D597" s="48" t="n">
        <x:v>0</x:v>
      </x:c>
      <x:c r="E597" s="48" t="n">
        <x:v>0</x:v>
      </x:c>
      <x:c r="F597" s="48" t="n">
        <x:v>3.5</x:v>
      </x:c>
      <x:c r="G597" s="48" t="str">
        <x:v>WATCH</x:v>
      </x:c>
      <x:c r="H597" s="48"/>
      <x:c r="I597" s="48"/>
      <x:c r="J597" s="48" t="str">
        <x:v>No reliable projection; camp/summer watch pool</x:v>
      </x:c>
      <x:c r="K597" s="50" t="str">
        <x:v>Camp/summer-depth watch entry; no reliable 2026-27 fantasy projection. Verify final NBA contract, roster status and role before draft use.</x:v>
      </x:c>
      <x:c r="L597" s="50" t="str">
        <x:v>https://github.com/A-V29/NBA.Rosters/blob/main/2026.Summer.League.json</x:v>
      </x:c>
      <x:c r="M597" s="50" t="str">
        <x:v>https://github.com/ballacademy/NBA-head-to-head-/blob/5b1decfc31ffb645469c7ffbd01aaca4b18181bd/data/nba-stats/nba-player-stats-202526-regular-season-per-game.csv</x:v>
      </x:c>
    </x:row>
    <x:row r="598">
      <x:c r="A598" s="48" t="str">
        <x:v>Maliq Brown</x:v>
      </x:c>
      <x:c r="B598" s="48" t="n">
        <x:v>593</x:v>
      </x:c>
      <x:c r="C598" s="48" t="str">
        <x:v>PF</x:v>
      </x:c>
      <x:c r="D598" s="48" t="n">
        <x:v>0</x:v>
      </x:c>
      <x:c r="E598" s="48" t="n">
        <x:v>0</x:v>
      </x:c>
      <x:c r="F598" s="48" t="n">
        <x:v>3.5</x:v>
      </x:c>
      <x:c r="G598" s="48" t="str">
        <x:v>WATCH</x:v>
      </x:c>
      <x:c r="H598" s="48"/>
      <x:c r="I598" s="48"/>
      <x:c r="J598" s="48" t="str">
        <x:v>No reliable projection; camp/summer watch pool</x:v>
      </x:c>
      <x:c r="K598" s="50" t="str">
        <x:v>Camp/summer-depth watch entry; no reliable 2026-27 fantasy projection. Verify final NBA contract, roster status and role before draft use.</x:v>
      </x:c>
      <x:c r="L598" s="50" t="str">
        <x:v>https://github.com/A-V29/NBA.Rosters/blob/main/2026.Summer.League.json</x:v>
      </x:c>
      <x:c r="M598" s="50" t="str">
        <x:v>https://github.com/ballacademy/NBA-head-to-head-/blob/5b1decfc31ffb645469c7ffbd01aaca4b18181bd/data/nba-stats/nba-player-stats-202526-regular-season-per-game.csv</x:v>
      </x:c>
    </x:row>
    <x:row r="599">
      <x:c r="A599" s="48" t="str">
        <x:v>Malique Lewis</x:v>
      </x:c>
      <x:c r="B599" s="48" t="n">
        <x:v>594</x:v>
      </x:c>
      <x:c r="C599" s="48" t="str">
        <x:v>PF</x:v>
      </x:c>
      <x:c r="D599" s="48" t="n">
        <x:v>0</x:v>
      </x:c>
      <x:c r="E599" s="48" t="n">
        <x:v>0</x:v>
      </x:c>
      <x:c r="F599" s="48" t="n">
        <x:v>3.5</x:v>
      </x:c>
      <x:c r="G599" s="48" t="str">
        <x:v>WATCH</x:v>
      </x:c>
      <x:c r="H599" s="48"/>
      <x:c r="I599" s="48"/>
      <x:c r="J599" s="48" t="str">
        <x:v>No reliable projection; camp/summer watch pool</x:v>
      </x:c>
      <x:c r="K599" s="50" t="str">
        <x:v>Camp/summer-depth watch entry; no reliable 2026-27 fantasy projection. Verify final NBA contract, roster status and role before draft use.</x:v>
      </x:c>
      <x:c r="L599" s="50" t="str">
        <x:v>https://github.com/A-V29/NBA.Rosters/blob/main/2026.Summer.League.json</x:v>
      </x:c>
      <x:c r="M599" s="50" t="str">
        <x:v>https://github.com/ballacademy/NBA-head-to-head-/blob/5b1decfc31ffb645469c7ffbd01aaca4b18181bd/data/nba-stats/nba-player-stats-202526-regular-season-per-game.csv</x:v>
      </x:c>
    </x:row>
    <x:row r="600">
      <x:c r="A600" s="48" t="str">
        <x:v>Mark Mitchell</x:v>
      </x:c>
      <x:c r="B600" s="48" t="n">
        <x:v>595</x:v>
      </x:c>
      <x:c r="C600" s="48" t="str">
        <x:v>PF</x:v>
      </x:c>
      <x:c r="D600" s="48" t="n">
        <x:v>0</x:v>
      </x:c>
      <x:c r="E600" s="48" t="n">
        <x:v>0</x:v>
      </x:c>
      <x:c r="F600" s="48" t="n">
        <x:v>3.5</x:v>
      </x:c>
      <x:c r="G600" s="48" t="str">
        <x:v>WATCH</x:v>
      </x:c>
      <x:c r="H600" s="48"/>
      <x:c r="I600" s="48"/>
      <x:c r="J600" s="48" t="str">
        <x:v>No reliable projection; camp/summer watch pool</x:v>
      </x:c>
      <x:c r="K600" s="50" t="str">
        <x:v>Camp/summer-depth watch entry; no reliable 2026-27 fantasy projection. Verify final NBA contract, roster status and role before draft use.</x:v>
      </x:c>
      <x:c r="L600" s="50" t="str">
        <x:v>https://github.com/A-V29/NBA.Rosters/blob/main/2026.Summer.League.json</x:v>
      </x:c>
      <x:c r="M600" s="50" t="str">
        <x:v>https://github.com/ballacademy/NBA-head-to-head-/blob/5b1decfc31ffb645469c7ffbd01aaca4b18181bd/data/nba-stats/nba-player-stats-202526-regular-season-per-game.csv</x:v>
      </x:c>
    </x:row>
    <x:row r="601">
      <x:c r="A601" s="48" t="str">
        <x:v>Markquis Nowell</x:v>
      </x:c>
      <x:c r="B601" s="48" t="n">
        <x:v>596</x:v>
      </x:c>
      <x:c r="C601" s="48" t="str">
        <x:v>PG</x:v>
      </x:c>
      <x:c r="D601" s="48" t="n">
        <x:v>0</x:v>
      </x:c>
      <x:c r="E601" s="48" t="n">
        <x:v>0</x:v>
      </x:c>
      <x:c r="F601" s="48" t="n">
        <x:v>3.5</x:v>
      </x:c>
      <x:c r="G601" s="48" t="str">
        <x:v>WATCH</x:v>
      </x:c>
      <x:c r="H601" s="48"/>
      <x:c r="I601" s="48"/>
      <x:c r="J601" s="48" t="str">
        <x:v>No reliable projection; camp/summer watch pool</x:v>
      </x:c>
      <x:c r="K601" s="50" t="str">
        <x:v>Camp/summer-depth watch entry; no reliable 2026-27 fantasy projection. Verify final NBA contract, roster status and role before draft use.</x:v>
      </x:c>
      <x:c r="L601" s="50" t="str">
        <x:v>https://github.com/A-V29/NBA.Rosters/blob/main/2026.Summer.League.json</x:v>
      </x:c>
      <x:c r="M601" s="50" t="str">
        <x:v>https://github.com/ballacademy/NBA-head-to-head-/blob/5b1decfc31ffb645469c7ffbd01aaca4b18181bd/data/nba-stats/nba-player-stats-202526-regular-season-per-game.csv</x:v>
      </x:c>
    </x:row>
    <x:row r="602">
      <x:c r="A602" s="48" t="str">
        <x:v>Marquel Sutton</x:v>
      </x:c>
      <x:c r="B602" s="48" t="n">
        <x:v>597</x:v>
      </x:c>
      <x:c r="C602" s="48" t="str">
        <x:v>PF</x:v>
      </x:c>
      <x:c r="D602" s="48" t="n">
        <x:v>0</x:v>
      </x:c>
      <x:c r="E602" s="48" t="n">
        <x:v>0</x:v>
      </x:c>
      <x:c r="F602" s="48" t="n">
        <x:v>3.5</x:v>
      </x:c>
      <x:c r="G602" s="48" t="str">
        <x:v>WATCH</x:v>
      </x:c>
      <x:c r="H602" s="48"/>
      <x:c r="I602" s="48"/>
      <x:c r="J602" s="48" t="str">
        <x:v>No reliable projection; camp/summer watch pool</x:v>
      </x:c>
      <x:c r="K602" s="50" t="str">
        <x:v>Camp/summer-depth watch entry; no reliable 2026-27 fantasy projection. Verify final NBA contract, roster status and role before draft use.</x:v>
      </x:c>
      <x:c r="L602" s="50" t="str">
        <x:v>https://github.com/A-V29/NBA.Rosters/blob/main/2026.Summer.League.json</x:v>
      </x:c>
      <x:c r="M602" s="50" t="str">
        <x:v>https://github.com/ballacademy/NBA-head-to-head-/blob/5b1decfc31ffb645469c7ffbd01aaca4b18181bd/data/nba-stats/nba-player-stats-202526-regular-season-per-game.csv</x:v>
      </x:c>
    </x:row>
    <x:row r="603">
      <x:c r="A603" s="48" t="str">
        <x:v>Matt Rogers</x:v>
      </x:c>
      <x:c r="B603" s="48" t="n">
        <x:v>598</x:v>
      </x:c>
      <x:c r="C603" s="48" t="str">
        <x:v>PF</x:v>
      </x:c>
      <x:c r="D603" s="48" t="n">
        <x:v>0</x:v>
      </x:c>
      <x:c r="E603" s="48" t="n">
        <x:v>0</x:v>
      </x:c>
      <x:c r="F603" s="48" t="n">
        <x:v>3.5</x:v>
      </x:c>
      <x:c r="G603" s="48" t="str">
        <x:v>WATCH</x:v>
      </x:c>
      <x:c r="H603" s="48"/>
      <x:c r="I603" s="48"/>
      <x:c r="J603" s="48" t="str">
        <x:v>No reliable projection; camp/summer watch pool</x:v>
      </x:c>
      <x:c r="K603" s="50" t="str">
        <x:v>Camp/summer-depth watch entry; no reliable 2026-27 fantasy projection. Verify final NBA contract, roster status and role before draft use.</x:v>
      </x:c>
      <x:c r="L603" s="50" t="str">
        <x:v>https://github.com/A-V29/NBA.Rosters/blob/main/2026.Summer.League.json</x:v>
      </x:c>
      <x:c r="M603" s="50" t="str">
        <x:v>https://github.com/ballacademy/NBA-head-to-head-/blob/5b1decfc31ffb645469c7ffbd01aaca4b18181bd/data/nba-stats/nba-player-stats-202526-regular-season-per-game.csv</x:v>
      </x:c>
    </x:row>
    <x:row r="604">
      <x:c r="A604" s="48" t="str">
        <x:v>Matthew Cleveland</x:v>
      </x:c>
      <x:c r="B604" s="48" t="n">
        <x:v>599</x:v>
      </x:c>
      <x:c r="C604" s="48" t="str">
        <x:v>SF</x:v>
      </x:c>
      <x:c r="D604" s="48" t="n">
        <x:v>0</x:v>
      </x:c>
      <x:c r="E604" s="48" t="n">
        <x:v>0</x:v>
      </x:c>
      <x:c r="F604" s="48" t="n">
        <x:v>3.5</x:v>
      </x:c>
      <x:c r="G604" s="48" t="str">
        <x:v>WATCH</x:v>
      </x:c>
      <x:c r="H604" s="48"/>
      <x:c r="I604" s="48"/>
      <x:c r="J604" s="48" t="str">
        <x:v>No reliable projection; camp/summer watch pool</x:v>
      </x:c>
      <x:c r="K604" s="50" t="str">
        <x:v>Camp/summer-depth watch entry; no reliable 2026-27 fantasy projection. Verify final NBA contract, roster status and role before draft use.</x:v>
      </x:c>
      <x:c r="L604" s="50" t="str">
        <x:v>https://github.com/A-V29/NBA.Rosters/blob/main/2026.Summer.League.json</x:v>
      </x:c>
      <x:c r="M604" s="50" t="str">
        <x:v>https://github.com/ballacademy/NBA-head-to-head-/blob/5b1decfc31ffb645469c7ffbd01aaca4b18181bd/data/nba-stats/nba-player-stats-202526-regular-season-per-game.csv</x:v>
      </x:c>
    </x:row>
    <x:row r="605">
      <x:c r="A605" s="48" t="str">
        <x:v>Matthew Murrell</x:v>
      </x:c>
      <x:c r="B605" s="48" t="n">
        <x:v>600</x:v>
      </x:c>
      <x:c r="C605" s="48" t="str">
        <x:v>SG</x:v>
      </x:c>
      <x:c r="D605" s="48" t="n">
        <x:v>0</x:v>
      </x:c>
      <x:c r="E605" s="48" t="n">
        <x:v>0</x:v>
      </x:c>
      <x:c r="F605" s="48" t="n">
        <x:v>3.5</x:v>
      </x:c>
      <x:c r="G605" s="48" t="str">
        <x:v>WATCH</x:v>
      </x:c>
      <x:c r="H605" s="48"/>
      <x:c r="I605" s="48"/>
      <x:c r="J605" s="48" t="str">
        <x:v>No reliable projection; camp/summer watch pool</x:v>
      </x:c>
      <x:c r="K605" s="50" t="str">
        <x:v>Camp/summer-depth watch entry; no reliable 2026-27 fantasy projection. Verify final NBA contract, roster status and role before draft use.</x:v>
      </x:c>
      <x:c r="L605" s="50" t="str">
        <x:v>https://github.com/A-V29/NBA.Rosters/blob/main/2026.Summer.League.json</x:v>
      </x:c>
      <x:c r="M605" s="50" t="str">
        <x:v>https://github.com/ballacademy/NBA-head-to-head-/blob/5b1decfc31ffb645469c7ffbd01aaca4b18181bd/data/nba-stats/nba-player-stats-202526-regular-season-per-game.csv</x:v>
      </x:c>
    </x:row>
  </x:sheetData>
  <x:mergeCells>
    <x:mergeCell ref="A1:K1"/>
    <x:mergeCell ref="A2:K3"/>
  </x:mergeCells>
  <x:conditionalFormatting sqref="A206:M605">
    <x:cfRule type="expression" dxfId="26" priority="1">
      <x:formula>MOD(ROW(),2)=0</x:formula>
    </x:cfRule>
  </x:conditionalFormatting>
  <x:dataValidations count="1">
    <x:dataValidation type="list" sqref="G6:G125">
      <x:formula1>"STANDARD,MEDIUM,HIGH,CONTRACT,IR / RETURN"</x:formula1>
    </x:dataValidation>
  </x:dataValidations>
  <x:pageMargins left="0.7" right="0.7" top="0.75" bottom="0.75" header="0.3" footer="0.3"/>
  <x:tableParts count="1">
    <x:tablePart xmlns:r="http://schemas.openxmlformats.org/officeDocument/2006/relationships" r:id="R875a8feefa8548c1"/>
  </x:tableParts>
</x:worksheet>
</file>

<file path=xl/worksheets/sheet10.xml><?xml version="1.0" encoding="utf-8"?>
<x:worksheet xmlns:x="http://schemas.openxmlformats.org/spreadsheetml/2006/main">
  <x:sheetFormatPr defaultRowHeight="15"/>
  <x:cols>
    <x:col min="1" max="1" width="2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38" hidden="0" customWidth="1"/>
  </x:cols>
  <x:sheetData>
    <x:row r="1" ht="30" customHeight="1">
      <x:c r="A1" s="40" t="str">
        <x:v>HISTORY 25-26</x:v>
      </x:c>
      <x:c r="B1" s="40"/>
      <x:c r="C1" s="40"/>
      <x:c r="D1" s="40"/>
      <x:c r="E1" s="40"/>
      <x:c r="F1" s="40"/>
      <x:c r="G1" s="40"/>
      <x:c r="H1" s="40"/>
      <x:c r="I1" s="40"/>
      <x:c r="J1" s="40"/>
      <x:c r="K1" s="40"/>
      <x:c r="L1" s="3"/>
      <x:c r="M1" s="3"/>
      <x:c r="N1" s="3"/>
      <x:c r="O1" s="3"/>
      <x:c r="P1" s="3"/>
      <x:c r="Q1" s="3"/>
    </x:row>
    <x:row r="2" ht="23" customHeight="1">
      <x:c r="A2" s="42" t="str">
        <x:v>Per-game inputs, except games played. Reconstructed custom points are approximate because published averages are rounded; ejections are not included.</x:v>
      </x:c>
      <x:c r="B2" s="42"/>
      <x:c r="C2" s="42"/>
      <x:c r="D2" s="42"/>
      <x:c r="E2" s="42"/>
      <x:c r="F2" s="42"/>
      <x:c r="G2" s="42"/>
      <x:c r="H2" s="42"/>
      <x:c r="I2" s="42"/>
      <x:c r="J2" s="42"/>
      <x:c r="K2" s="42"/>
      <x:c r="L2" s="7"/>
      <x:c r="M2" s="7"/>
      <x:c r="N2" s="7"/>
      <x:c r="O2" s="7"/>
      <x:c r="P2" s="7"/>
      <x:c r="Q2" s="7"/>
    </x:row>
    <x:row r="3" ht="23" customHeight="1">
      <x:c r="A3" s="42"/>
      <x:c r="B3" s="42"/>
      <x:c r="C3" s="42"/>
      <x:c r="D3" s="42"/>
      <x:c r="E3" s="42"/>
      <x:c r="F3" s="42"/>
      <x:c r="G3" s="42"/>
      <x:c r="H3" s="42"/>
      <x:c r="I3" s="42"/>
      <x:c r="J3" s="42"/>
      <x:c r="K3" s="42"/>
      <x:c r="L3" s="7"/>
      <x:c r="M3" s="7"/>
      <x:c r="N3" s="7"/>
      <x:c r="O3" s="7"/>
      <x:c r="P3" s="7"/>
      <x:c r="Q3" s="7"/>
    </x:row>
    <x:row r="5" ht="36" customHeight="1">
      <x:c r="A5" s="44" t="str">
        <x:v>Player</x:v>
      </x:c>
      <x:c r="B5" s="44" t="str">
        <x:v>GP</x:v>
      </x:c>
      <x:c r="C5" s="44" t="str">
        <x:v>MIN</x:v>
      </x:c>
      <x:c r="D5" s="44" t="str">
        <x:v>PTS</x:v>
      </x:c>
      <x:c r="E5" s="44" t="str">
        <x:v>FGM</x:v>
      </x:c>
      <x:c r="F5" s="44" t="str">
        <x:v>FGA</x:v>
      </x:c>
      <x:c r="G5" s="44" t="str">
        <x:v>3PM</x:v>
      </x:c>
      <x:c r="H5" s="44" t="str">
        <x:v>FTM</x:v>
      </x:c>
      <x:c r="I5" s="44" t="str">
        <x:v>FTA</x:v>
      </x:c>
      <x:c r="J5" s="44" t="str">
        <x:v>OREB</x:v>
      </x:c>
      <x:c r="K5" s="44" t="str">
        <x:v>REB</x:v>
      </x:c>
      <x:c r="L5" s="44" t="str">
        <x:v>AST</x:v>
      </x:c>
      <x:c r="M5" s="44" t="str">
        <x:v>STL</x:v>
      </x:c>
      <x:c r="N5" s="44" t="str">
        <x:v>BLK</x:v>
      </x:c>
      <x:c r="O5" s="44" t="str">
        <x:v>TO</x:v>
      </x:c>
      <x:c r="P5" s="44" t="str">
        <x:v>Custom FP/G</x:v>
      </x:c>
      <x:c r="Q5" s="44" t="str">
        <x:v>Source</x:v>
      </x:c>
    </x:row>
    <x:row r="6" ht="22" customHeight="1">
      <x:c r="A6" t="str">
        <x:v>Luka Doncic</x:v>
      </x:c>
      <x:c r="B6" t="n">
        <x:v>64</x:v>
      </x:c>
      <x:c r="C6" s="22" t="n">
        <x:v>35.8</x:v>
      </x:c>
      <x:c r="D6" s="22" t="n">
        <x:v>33.5</x:v>
      </x:c>
      <x:c r="E6" s="22" t="n">
        <x:v>10.8</x:v>
      </x:c>
      <x:c r="F6" s="22" t="n">
        <x:v>22.8</x:v>
      </x:c>
      <x:c r="G6" s="22" t="n">
        <x:v>4</x:v>
      </x:c>
      <x:c r="H6" s="22" t="n">
        <x:v>7.9</x:v>
      </x:c>
      <x:c r="I6" s="22" t="n">
        <x:v>10.1</x:v>
      </x:c>
      <x:c r="J6" s="22" t="n">
        <x:v>0.6</x:v>
      </x:c>
      <x:c r="K6" s="22" t="n">
        <x:v>7.7</x:v>
      </x:c>
      <x:c r="L6" s="22" t="n">
        <x:v>8.3</x:v>
      </x:c>
      <x:c r="M6" s="22" t="n">
        <x:v>1.6</x:v>
      </x:c>
      <x:c r="N6" s="22" t="n">
        <x:v>0.5</x:v>
      </x:c>
      <x:c r="O6" s="22" t="n">
        <x:v>4</x:v>
      </x:c>
      <x:c r="P6" s="22" t="n">
        <x:f>D6*Scoring!$B$6+E6*Scoring!$B$7+(F6-E6)*Scoring!$B$8+H6*Scoring!$B$9+(I6-H6)*Scoring!$B$10+G6*Scoring!$B$11+J6*Scoring!$B$12+K6*Scoring!$B$13+L6*Scoring!$B$14+M6*Scoring!$B$15+N6*Scoring!$B$16+O6*Scoring!$B$17</x:f>
        <x:v>59.30000000000001</x:v>
      </x:c>
      <x:c r="Q6" t="str">
        <x:v>https://basketball.realgm.com/nba/stats/2026/Averages/All/points/All/desc/1/Regular_Season</x:v>
      </x:c>
    </x:row>
    <x:row r="7" ht="22" customHeight="1">
      <x:c r="A7" t="str">
        <x:v>Shai Gilgeous-Alexander</x:v>
      </x:c>
      <x:c r="B7" t="n">
        <x:v>68</x:v>
      </x:c>
      <x:c r="C7" s="22" t="n">
        <x:v>33.2</x:v>
      </x:c>
      <x:c r="D7" s="22" t="n">
        <x:v>31.1</x:v>
      </x:c>
      <x:c r="E7" s="22" t="n">
        <x:v>10.8</x:v>
      </x:c>
      <x:c r="F7" s="22" t="n">
        <x:v>19.4</x:v>
      </x:c>
      <x:c r="G7" s="22" t="n">
        <x:v>1.7</x:v>
      </x:c>
      <x:c r="H7" s="22" t="n">
        <x:v>7.9</x:v>
      </x:c>
      <x:c r="I7" s="22" t="n">
        <x:v>9</x:v>
      </x:c>
      <x:c r="J7" s="22" t="n">
        <x:v>0.6</x:v>
      </x:c>
      <x:c r="K7" s="22" t="n">
        <x:v>4.3</x:v>
      </x:c>
      <x:c r="L7" s="22" t="n">
        <x:v>6.6</x:v>
      </x:c>
      <x:c r="M7" s="22" t="n">
        <x:v>1.4</x:v>
      </x:c>
      <x:c r="N7" s="22" t="n">
        <x:v>0.8</x:v>
      </x:c>
      <x:c r="O7" s="22" t="n">
        <x:v>2.2</x:v>
      </x:c>
      <x:c r="P7" s="22" t="n">
        <x:f>D7*Scoring!$B$6+E7*Scoring!$B$7+(F7-E7)*Scoring!$B$8+H7*Scoring!$B$9+(I7-H7)*Scoring!$B$10+G7*Scoring!$B$11+J7*Scoring!$B$12+K7*Scoring!$B$13+L7*Scoring!$B$14+M7*Scoring!$B$15+N7*Scoring!$B$16+O7*Scoring!$B$17</x:f>
        <x:v>56.80000000000001</x:v>
      </x:c>
      <x:c r="Q7" t="str">
        <x:v>https://basketball.realgm.com/nba/stats/2026/Averages/All/points/All/desc/1/Regular_Season</x:v>
      </x:c>
    </x:row>
    <x:row r="8" ht="22" customHeight="1">
      <x:c r="A8" t="str">
        <x:v>Anthony Edwards</x:v>
      </x:c>
      <x:c r="B8" t="n">
        <x:v>61</x:v>
      </x:c>
      <x:c r="C8" s="22" t="n">
        <x:v>35</x:v>
      </x:c>
      <x:c r="D8" s="22" t="n">
        <x:v>28.8</x:v>
      </x:c>
      <x:c r="E8" s="22" t="n">
        <x:v>9.9</x:v>
      </x:c>
      <x:c r="F8" s="22" t="n">
        <x:v>20.2</x:v>
      </x:c>
      <x:c r="G8" s="22" t="n">
        <x:v>3.4</x:v>
      </x:c>
      <x:c r="H8" s="22" t="n">
        <x:v>5.7</x:v>
      </x:c>
      <x:c r="I8" s="22" t="n">
        <x:v>7.2</x:v>
      </x:c>
      <x:c r="J8" s="22" t="n">
        <x:v>0.6</x:v>
      </x:c>
      <x:c r="K8" s="22" t="n">
        <x:v>5</x:v>
      </x:c>
      <x:c r="L8" s="22" t="n">
        <x:v>3.7</x:v>
      </x:c>
      <x:c r="M8" s="22" t="n">
        <x:v>1.4</x:v>
      </x:c>
      <x:c r="N8" s="22" t="n">
        <x:v>0.8</x:v>
      </x:c>
      <x:c r="O8" s="22" t="n">
        <x:v>2.9</x:v>
      </x:c>
      <x:c r="P8" s="22" t="n">
        <x:f>D8*Scoring!$B$6+E8*Scoring!$B$7+(F8-E8)*Scoring!$B$8+H8*Scoring!$B$9+(I8-H8)*Scoring!$B$10+G8*Scoring!$B$11+J8*Scoring!$B$12+K8*Scoring!$B$13+L8*Scoring!$B$14+M8*Scoring!$B$15+N8*Scoring!$B$16+O8*Scoring!$B$17</x:f>
        <x:v>45.95000000000002</x:v>
      </x:c>
      <x:c r="Q8" t="str">
        <x:v>https://basketball.realgm.com/nba/stats/2026/Averages/All/points/All/desc/1/Regular_Season</x:v>
      </x:c>
    </x:row>
    <x:row r="9" ht="22" customHeight="1">
      <x:c r="A9" t="str">
        <x:v>Jaylen Brown</x:v>
      </x:c>
      <x:c r="B9" t="n">
        <x:v>71</x:v>
      </x:c>
      <x:c r="C9" s="22" t="n">
        <x:v>34.4</x:v>
      </x:c>
      <x:c r="D9" s="22" t="n">
        <x:v>28.7</x:v>
      </x:c>
      <x:c r="E9" s="22" t="n">
        <x:v>10.4</x:v>
      </x:c>
      <x:c r="F9" s="22" t="n">
        <x:v>21.7</x:v>
      </x:c>
      <x:c r="G9" s="22" t="n">
        <x:v>2</x:v>
      </x:c>
      <x:c r="H9" s="22" t="n">
        <x:v>6</x:v>
      </x:c>
      <x:c r="I9" s="22" t="n">
        <x:v>7.5</x:v>
      </x:c>
      <x:c r="J9" s="22" t="n">
        <x:v>1.1</x:v>
      </x:c>
      <x:c r="K9" s="22" t="n">
        <x:v>6.9</x:v>
      </x:c>
      <x:c r="L9" s="22" t="n">
        <x:v>5.1</x:v>
      </x:c>
      <x:c r="M9" s="22" t="n">
        <x:v>1</x:v>
      </x:c>
      <x:c r="N9" s="22" t="n">
        <x:v>0.4</x:v>
      </x:c>
      <x:c r="O9" s="22" t="n">
        <x:v>3.6</x:v>
      </x:c>
      <x:c r="P9" s="22" t="n">
        <x:f>D9*Scoring!$B$6+E9*Scoring!$B$7+(F9-E9)*Scoring!$B$8+H9*Scoring!$B$9+(I9-H9)*Scoring!$B$10+G9*Scoring!$B$11+J9*Scoring!$B$12+K9*Scoring!$B$13+L9*Scoring!$B$14+M9*Scoring!$B$15+N9*Scoring!$B$16+O9*Scoring!$B$17</x:f>
        <x:v>46.45</x:v>
      </x:c>
      <x:c r="Q9" t="str">
        <x:v>https://basketball.realgm.com/nba/stats/2026/Averages/All/points/All/desc/1/Regular_Season</x:v>
      </x:c>
    </x:row>
    <x:row r="10" ht="22" customHeight="1">
      <x:c r="A10" t="str">
        <x:v>Tyrese Maxey</x:v>
      </x:c>
      <x:c r="B10" t="n">
        <x:v>70</x:v>
      </x:c>
      <x:c r="C10" s="22" t="n">
        <x:v>38</x:v>
      </x:c>
      <x:c r="D10" s="22" t="n">
        <x:v>28.3</x:v>
      </x:c>
      <x:c r="E10" s="22" t="n">
        <x:v>9.9</x:v>
      </x:c>
      <x:c r="F10" s="22" t="n">
        <x:v>21.4</x:v>
      </x:c>
      <x:c r="G10" s="22" t="n">
        <x:v>3.1</x:v>
      </x:c>
      <x:c r="H10" s="22" t="n">
        <x:v>5.3</x:v>
      </x:c>
      <x:c r="I10" s="22" t="n">
        <x:v>6</x:v>
      </x:c>
      <x:c r="J10" s="22" t="n">
        <x:v>0.3</x:v>
      </x:c>
      <x:c r="K10" s="22" t="n">
        <x:v>4.1</x:v>
      </x:c>
      <x:c r="L10" s="22" t="n">
        <x:v>6.6</x:v>
      </x:c>
      <x:c r="M10" s="22" t="n">
        <x:v>1.9</x:v>
      </x:c>
      <x:c r="N10" s="22" t="n">
        <x:v>0.8</x:v>
      </x:c>
      <x:c r="O10" s="22" t="n">
        <x:v>2.4</x:v>
      </x:c>
      <x:c r="P10" s="22" t="n">
        <x:f>D10*Scoring!$B$6+E10*Scoring!$B$7+(F10-E10)*Scoring!$B$8+H10*Scoring!$B$9+(I10-H10)*Scoring!$B$10+G10*Scoring!$B$11+J10*Scoring!$B$12+K10*Scoring!$B$13+L10*Scoring!$B$14+M10*Scoring!$B$15+N10*Scoring!$B$16+O10*Scoring!$B$17</x:f>
        <x:v>49.2</x:v>
      </x:c>
      <x:c r="Q10" t="str">
        <x:v>https://basketball.realgm.com/nba/stats/2026/Averages/All/points/All/desc/1/Regular_Season</x:v>
      </x:c>
    </x:row>
    <x:row r="11" ht="22" customHeight="1">
      <x:c r="A11" t="str">
        <x:v>Kawhi Leonard</x:v>
      </x:c>
      <x:c r="B11" t="n">
        <x:v>65</x:v>
      </x:c>
      <x:c r="C11" s="22" t="n">
        <x:v>32.1</x:v>
      </x:c>
      <x:c r="D11" s="22" t="n">
        <x:v>27.9</x:v>
      </x:c>
      <x:c r="E11" s="22" t="n">
        <x:v>9.8</x:v>
      </x:c>
      <x:c r="F11" s="22" t="n">
        <x:v>19.4</x:v>
      </x:c>
      <x:c r="G11" s="22" t="n">
        <x:v>2.6</x:v>
      </x:c>
      <x:c r="H11" s="22" t="n">
        <x:v>5.7</x:v>
      </x:c>
      <x:c r="I11" s="22" t="n">
        <x:v>6.4</x:v>
      </x:c>
      <x:c r="J11" s="22" t="n">
        <x:v>1.1</x:v>
      </x:c>
      <x:c r="K11" s="22" t="n">
        <x:v>6.4</x:v>
      </x:c>
      <x:c r="L11" s="22" t="n">
        <x:v>3.6</x:v>
      </x:c>
      <x:c r="M11" s="22" t="n">
        <x:v>1.9</x:v>
      </x:c>
      <x:c r="N11" s="22" t="n">
        <x:v>0.4</x:v>
      </x:c>
      <x:c r="O11" s="22" t="n">
        <x:v>2</x:v>
      </x:c>
      <x:c r="P11" s="22" t="n">
        <x:f>D11*Scoring!$B$6+E11*Scoring!$B$7+(F11-E11)*Scoring!$B$8+H11*Scoring!$B$9+(I11-H11)*Scoring!$B$10+G11*Scoring!$B$11+J11*Scoring!$B$12+K11*Scoring!$B$13+L11*Scoring!$B$14+M11*Scoring!$B$15+N11*Scoring!$B$16+O11*Scoring!$B$17</x:f>
        <x:v>50.1</x:v>
      </x:c>
      <x:c r="Q11" t="str">
        <x:v>https://basketball.realgm.com/nba/stats/2026/Averages/All/points/All/desc/1/Regular_Season</x:v>
      </x:c>
    </x:row>
    <x:row r="12" ht="22" customHeight="1">
      <x:c r="A12" t="str">
        <x:v>Donovan Mitchell</x:v>
      </x:c>
      <x:c r="B12" t="n">
        <x:v>70</x:v>
      </x:c>
      <x:c r="C12" s="22" t="n">
        <x:v>33.5</x:v>
      </x:c>
      <x:c r="D12" s="22" t="n">
        <x:v>27.9</x:v>
      </x:c>
      <x:c r="E12" s="22" t="n">
        <x:v>9.7</x:v>
      </x:c>
      <x:c r="F12" s="22" t="n">
        <x:v>20</x:v>
      </x:c>
      <x:c r="G12" s="22" t="n">
        <x:v>3.2</x:v>
      </x:c>
      <x:c r="H12" s="22" t="n">
        <x:v>5.3</x:v>
      </x:c>
      <x:c r="I12" s="22" t="n">
        <x:v>6.1</x:v>
      </x:c>
      <x:c r="J12" s="22" t="n">
        <x:v>0.7</x:v>
      </x:c>
      <x:c r="K12" s="22" t="n">
        <x:v>4.5</x:v>
      </x:c>
      <x:c r="L12" s="22" t="n">
        <x:v>5.7</x:v>
      </x:c>
      <x:c r="M12" s="22" t="n">
        <x:v>1.5</x:v>
      </x:c>
      <x:c r="N12" s="22" t="n">
        <x:v>0.3</x:v>
      </x:c>
      <x:c r="O12" s="22" t="n">
        <x:v>2.8</x:v>
      </x:c>
      <x:c r="P12" s="22" t="n">
        <x:f>D12*Scoring!$B$6+E12*Scoring!$B$7+(F12-E12)*Scoring!$B$8+H12*Scoring!$B$9+(I12-H12)*Scoring!$B$10+G12*Scoring!$B$11+J12*Scoring!$B$12+K12*Scoring!$B$13+L12*Scoring!$B$14+M12*Scoring!$B$15+N12*Scoring!$B$16+O12*Scoring!$B$17</x:f>
        <x:v>47.29999999999999</x:v>
      </x:c>
      <x:c r="Q12" t="str">
        <x:v>https://basketball.realgm.com/nba/stats/2026/Averages/All/points/All/desc/1/Regular_Season</x:v>
      </x:c>
    </x:row>
    <x:row r="13" ht="22" customHeight="1">
      <x:c r="A13" t="str">
        <x:v>Nikola Jokic</x:v>
      </x:c>
      <x:c r="B13" t="n">
        <x:v>65</x:v>
      </x:c>
      <x:c r="C13" s="22" t="n">
        <x:v>34.8</x:v>
      </x:c>
      <x:c r="D13" s="22" t="n">
        <x:v>27.7</x:v>
      </x:c>
      <x:c r="E13" s="22" t="n">
        <x:v>9.9</x:v>
      </x:c>
      <x:c r="F13" s="22" t="n">
        <x:v>17.4</x:v>
      </x:c>
      <x:c r="G13" s="22" t="n">
        <x:v>1.7</x:v>
      </x:c>
      <x:c r="H13" s="22" t="n">
        <x:v>6.1</x:v>
      </x:c>
      <x:c r="I13" s="22" t="n">
        <x:v>7.4</x:v>
      </x:c>
      <x:c r="J13" s="22" t="n">
        <x:v>3</x:v>
      </x:c>
      <x:c r="K13" s="22" t="n">
        <x:v>12.9</x:v>
      </x:c>
      <x:c r="L13" s="22" t="n">
        <x:v>10.7</x:v>
      </x:c>
      <x:c r="M13" s="22" t="n">
        <x:v>1.4</x:v>
      </x:c>
      <x:c r="N13" s="22" t="n">
        <x:v>0.8</x:v>
      </x:c>
      <x:c r="O13" s="22" t="n">
        <x:v>3.7</x:v>
      </x:c>
      <x:c r="P13" s="22" t="n">
        <x:f>D13*Scoring!$B$6+E13*Scoring!$B$7+(F13-E13)*Scoring!$B$8+H13*Scoring!$B$9+(I13-H13)*Scoring!$B$10+G13*Scoring!$B$11+J13*Scoring!$B$12+K13*Scoring!$B$13+L13*Scoring!$B$14+M13*Scoring!$B$15+N13*Scoring!$B$16+O13*Scoring!$B$17</x:f>
        <x:v>68.15</x:v>
      </x:c>
      <x:c r="Q13" t="str">
        <x:v>https://basketball.realgm.com/nba/stats/2026/Averages/All/points/All/desc/1/Regular_Season</x:v>
      </x:c>
    </x:row>
    <x:row r="14" ht="22" customHeight="1">
      <x:c r="A14" t="str">
        <x:v>Giannis Antetokounmpo</x:v>
      </x:c>
      <x:c r="B14" t="n">
        <x:v>36</x:v>
      </x:c>
      <x:c r="C14" s="22" t="n">
        <x:v>28.9</x:v>
      </x:c>
      <x:c r="D14" s="22" t="n">
        <x:v>27.6</x:v>
      </x:c>
      <x:c r="E14" s="22" t="n">
        <x:v>10.4</x:v>
      </x:c>
      <x:c r="F14" s="22" t="n">
        <x:v>16.6</x:v>
      </x:c>
      <x:c r="G14" s="22" t="n">
        <x:v>0.4</x:v>
      </x:c>
      <x:c r="H14" s="22" t="n">
        <x:v>6.4</x:v>
      </x:c>
      <x:c r="I14" s="22" t="n">
        <x:v>9.9</x:v>
      </x:c>
      <x:c r="J14" s="22" t="n">
        <x:v>2.7</x:v>
      </x:c>
      <x:c r="K14" s="22" t="n">
        <x:v>9.8</x:v>
      </x:c>
      <x:c r="L14" s="22" t="n">
        <x:v>5.4</x:v>
      </x:c>
      <x:c r="M14" s="22" t="n">
        <x:v>0.9</x:v>
      </x:c>
      <x:c r="N14" s="22" t="n">
        <x:v>0.7</x:v>
      </x:c>
      <x:c r="O14" s="22" t="n">
        <x:v>3.2</x:v>
      </x:c>
      <x:c r="P14" s="22" t="n">
        <x:f>D14*Scoring!$B$6+E14*Scoring!$B$7+(F14-E14)*Scoring!$B$8+H14*Scoring!$B$9+(I14-H14)*Scoring!$B$10+G14*Scoring!$B$11+J14*Scoring!$B$12+K14*Scoring!$B$13+L14*Scoring!$B$14+M14*Scoring!$B$15+N14*Scoring!$B$16+O14*Scoring!$B$17</x:f>
        <x:v>54.849999999999994</x:v>
      </x:c>
      <x:c r="Q14" t="str">
        <x:v>https://basketball.realgm.com/nba/stats/2026/Averages/All/points/All/desc/1/Regular_Season</x:v>
      </x:c>
    </x:row>
    <x:row r="15" ht="22" customHeight="1">
      <x:c r="A15" t="str">
        <x:v>Joel Embiid</x:v>
      </x:c>
      <x:c r="B15" t="n">
        <x:v>38</x:v>
      </x:c>
      <x:c r="C15" s="22" t="n">
        <x:v>31.6</x:v>
      </x:c>
      <x:c r="D15" s="22" t="n">
        <x:v>26.9</x:v>
      </x:c>
      <x:c r="E15" s="22" t="n">
        <x:v>9</x:v>
      </x:c>
      <x:c r="F15" s="22" t="n">
        <x:v>18.3</x:v>
      </x:c>
      <x:c r="G15" s="22" t="n">
        <x:v>1.4</x:v>
      </x:c>
      <x:c r="H15" s="22" t="n">
        <x:v>7.5</x:v>
      </x:c>
      <x:c r="I15" s="22" t="n">
        <x:v>8.8</x:v>
      </x:c>
      <x:c r="J15" s="22" t="n">
        <x:v>2</x:v>
      </x:c>
      <x:c r="K15" s="22" t="n">
        <x:v>7.7</x:v>
      </x:c>
      <x:c r="L15" s="22" t="n">
        <x:v>3.9</x:v>
      </x:c>
      <x:c r="M15" s="22" t="n">
        <x:v>0.6</x:v>
      </x:c>
      <x:c r="N15" s="22" t="n">
        <x:v>1.2</x:v>
      </x:c>
      <x:c r="O15" s="22" t="n">
        <x:v>2.9</x:v>
      </x:c>
      <x:c r="P15" s="22" t="n">
        <x:f>D15*Scoring!$B$6+E15*Scoring!$B$7+(F15-E15)*Scoring!$B$8+H15*Scoring!$B$9+(I15-H15)*Scoring!$B$10+G15*Scoring!$B$11+J15*Scoring!$B$12+K15*Scoring!$B$13+L15*Scoring!$B$14+M15*Scoring!$B$15+N15*Scoring!$B$16+O15*Scoring!$B$17</x:f>
        <x:v>48.95</x:v>
      </x:c>
      <x:c r="Q15" t="str">
        <x:v>https://basketball.realgm.com/nba/stats/2026/Averages/All/points/All/desc/1/Regular_Season</x:v>
      </x:c>
    </x:row>
    <x:row r="16" ht="22" customHeight="1">
      <x:c r="A16" t="str">
        <x:v>Lauri Markkanen</x:v>
      </x:c>
      <x:c r="B16" t="n">
        <x:v>42</x:v>
      </x:c>
      <x:c r="C16" s="22" t="n">
        <x:v>34.3</x:v>
      </x:c>
      <x:c r="D16" s="22" t="n">
        <x:v>26.7</x:v>
      </x:c>
      <x:c r="E16" s="22" t="n">
        <x:v>9.1</x:v>
      </x:c>
      <x:c r="F16" s="22" t="n">
        <x:v>19.2</x:v>
      </x:c>
      <x:c r="G16" s="22" t="n">
        <x:v>2.7</x:v>
      </x:c>
      <x:c r="H16" s="22" t="n">
        <x:v>5.7</x:v>
      </x:c>
      <x:c r="I16" s="22" t="n">
        <x:v>6.4</x:v>
      </x:c>
      <x:c r="J16" s="22" t="n">
        <x:v>2</x:v>
      </x:c>
      <x:c r="K16" s="22" t="n">
        <x:v>6.9</x:v>
      </x:c>
      <x:c r="L16" s="22" t="n">
        <x:v>2.1</x:v>
      </x:c>
      <x:c r="M16" s="22" t="n">
        <x:v>1</x:v>
      </x:c>
      <x:c r="N16" s="22" t="n">
        <x:v>0.5</x:v>
      </x:c>
      <x:c r="O16" s="22" t="n">
        <x:v>1.5</x:v>
      </x:c>
      <x:c r="P16" s="22" t="n">
        <x:f>D16*Scoring!$B$6+E16*Scoring!$B$7+(F16-E16)*Scoring!$B$8+H16*Scoring!$B$9+(I16-H16)*Scoring!$B$10+G16*Scoring!$B$11+J16*Scoring!$B$12+K16*Scoring!$B$13+L16*Scoring!$B$14+M16*Scoring!$B$15+N16*Scoring!$B$16+O16*Scoring!$B$17</x:f>
        <x:v>47.199999999999996</x:v>
      </x:c>
      <x:c r="Q16" t="str">
        <x:v>https://basketball.realgm.com/nba/stats/2026/Averages/All/points/All/desc/1/Regular_Season</x:v>
      </x:c>
    </x:row>
    <x:row r="17" ht="22" customHeight="1">
      <x:c r="A17" t="str">
        <x:v>Stephen Curry</x:v>
      </x:c>
      <x:c r="B17" t="n">
        <x:v>43</x:v>
      </x:c>
      <x:c r="C17" s="22" t="n">
        <x:v>30.9</x:v>
      </x:c>
      <x:c r="D17" s="22" t="n">
        <x:v>26.6</x:v>
      </x:c>
      <x:c r="E17" s="22" t="n">
        <x:v>8.7</x:v>
      </x:c>
      <x:c r="F17" s="22" t="n">
        <x:v>18.6</x:v>
      </x:c>
      <x:c r="G17" s="22" t="n">
        <x:v>4.4</x:v>
      </x:c>
      <x:c r="H17" s="22" t="n">
        <x:v>4.7</x:v>
      </x:c>
      <x:c r="I17" s="22" t="n">
        <x:v>5.1</x:v>
      </x:c>
      <x:c r="J17" s="22" t="n">
        <x:v>0.4</x:v>
      </x:c>
      <x:c r="K17" s="22" t="n">
        <x:v>3.6</x:v>
      </x:c>
      <x:c r="L17" s="22" t="n">
        <x:v>4.7</x:v>
      </x:c>
      <x:c r="M17" s="22" t="n">
        <x:v>1.1</x:v>
      </x:c>
      <x:c r="N17" s="22" t="n">
        <x:v>0.4</x:v>
      </x:c>
      <x:c r="O17" s="22" t="n">
        <x:v>2.8</x:v>
      </x:c>
      <x:c r="P17" s="22" t="n">
        <x:f>D17*Scoring!$B$6+E17*Scoring!$B$7+(F17-E17)*Scoring!$B$8+H17*Scoring!$B$9+(I17-H17)*Scoring!$B$10+G17*Scoring!$B$11+J17*Scoring!$B$12+K17*Scoring!$B$13+L17*Scoring!$B$14+M17*Scoring!$B$15+N17*Scoring!$B$16+O17*Scoring!$B$17</x:f>
        <x:v>42.75</x:v>
      </x:c>
      <x:c r="Q17" t="str">
        <x:v>https://basketball.realgm.com/nba/stats/2026/Averages/All/points/All/desc/1/Regular_Season</x:v>
      </x:c>
    </x:row>
    <x:row r="18" ht="22" customHeight="1">
      <x:c r="A18" t="str">
        <x:v>Devin Booker</x:v>
      </x:c>
      <x:c r="B18" t="n">
        <x:v>64</x:v>
      </x:c>
      <x:c r="C18" s="22" t="n">
        <x:v>33.5</x:v>
      </x:c>
      <x:c r="D18" s="22" t="n">
        <x:v>26.1</x:v>
      </x:c>
      <x:c r="E18" s="22" t="n">
        <x:v>8.5</x:v>
      </x:c>
      <x:c r="F18" s="22" t="n">
        <x:v>18.7</x:v>
      </x:c>
      <x:c r="G18" s="22" t="n">
        <x:v>1.9</x:v>
      </x:c>
      <x:c r="H18" s="22" t="n">
        <x:v>7.1</x:v>
      </x:c>
      <x:c r="I18" s="22" t="n">
        <x:v>8.1</x:v>
      </x:c>
      <x:c r="J18" s="22" t="n">
        <x:v>0.8</x:v>
      </x:c>
      <x:c r="K18" s="22" t="n">
        <x:v>3.9</x:v>
      </x:c>
      <x:c r="L18" s="22" t="n">
        <x:v>6</x:v>
      </x:c>
      <x:c r="M18" s="22" t="n">
        <x:v>0.8</x:v>
      </x:c>
      <x:c r="N18" s="22" t="n">
        <x:v>0.3</x:v>
      </x:c>
      <x:c r="O18" s="22" t="n">
        <x:v>3.1</x:v>
      </x:c>
      <x:c r="P18" s="22" t="n">
        <x:f>D18*Scoring!$B$6+E18*Scoring!$B$7+(F18-E18)*Scoring!$B$8+H18*Scoring!$B$9+(I18-H18)*Scoring!$B$10+G18*Scoring!$B$11+J18*Scoring!$B$12+K18*Scoring!$B$13+L18*Scoring!$B$14+M18*Scoring!$B$15+N18*Scoring!$B$16+O18*Scoring!$B$17</x:f>
        <x:v>42.75</x:v>
      </x:c>
      <x:c r="Q18" t="str">
        <x:v>https://basketball.realgm.com/nba/stats/2026/Averages/All/points/All/desc/1/Regular_Season</x:v>
      </x:c>
    </x:row>
    <x:row r="19" ht="22" customHeight="1">
      <x:c r="A19" t="str">
        <x:v>Jalen Brunson</x:v>
      </x:c>
      <x:c r="B19" t="n">
        <x:v>74</x:v>
      </x:c>
      <x:c r="C19" s="22" t="n">
        <x:v>35</x:v>
      </x:c>
      <x:c r="D19" s="22" t="n">
        <x:v>26</x:v>
      </x:c>
      <x:c r="E19" s="22" t="n">
        <x:v>9.3</x:v>
      </x:c>
      <x:c r="F19" s="22" t="n">
        <x:v>19.9</x:v>
      </x:c>
      <x:c r="G19" s="22" t="n">
        <x:v>2.6</x:v>
      </x:c>
      <x:c r="H19" s="22" t="n">
        <x:v>4.8</x:v>
      </x:c>
      <x:c r="I19" s="22" t="n">
        <x:v>5.7</x:v>
      </x:c>
      <x:c r="J19" s="22" t="n">
        <x:v>0.4</x:v>
      </x:c>
      <x:c r="K19" s="22" t="n">
        <x:v>3.3</x:v>
      </x:c>
      <x:c r="L19" s="22" t="n">
        <x:v>6.8</x:v>
      </x:c>
      <x:c r="M19" s="22" t="n">
        <x:v>0.8</x:v>
      </x:c>
      <x:c r="N19" s="22" t="n">
        <x:v>0.1</x:v>
      </x:c>
      <x:c r="O19" s="22" t="n">
        <x:v>2.4</x:v>
      </x:c>
      <x:c r="P19" s="22" t="n">
        <x:f>D19*Scoring!$B$6+E19*Scoring!$B$7+(F19-E19)*Scoring!$B$8+H19*Scoring!$B$9+(I19-H19)*Scoring!$B$10+G19*Scoring!$B$11+J19*Scoring!$B$12+K19*Scoring!$B$13+L19*Scoring!$B$14+M19*Scoring!$B$15+N19*Scoring!$B$16+O19*Scoring!$B$17</x:f>
        <x:v>42.45</x:v>
      </x:c>
      <x:c r="Q19" t="str">
        <x:v>https://basketball.realgm.com/nba/stats/2026/Averages/All/points/All/desc/1/Regular_Season</x:v>
      </x:c>
    </x:row>
    <x:row r="20" ht="22" customHeight="1">
      <x:c r="A20" t="str">
        <x:v>Kevin Durant</x:v>
      </x:c>
      <x:c r="B20" t="n">
        <x:v>78</x:v>
      </x:c>
      <x:c r="C20" s="22" t="n">
        <x:v>36.4</x:v>
      </x:c>
      <x:c r="D20" s="22" t="n">
        <x:v>26</x:v>
      </x:c>
      <x:c r="E20" s="22" t="n">
        <x:v>9.2</x:v>
      </x:c>
      <x:c r="F20" s="22" t="n">
        <x:v>17.6</x:v>
      </x:c>
      <x:c r="G20" s="22" t="n">
        <x:v>2.4</x:v>
      </x:c>
      <x:c r="H20" s="22" t="n">
        <x:v>5.2</x:v>
      </x:c>
      <x:c r="I20" s="22" t="n">
        <x:v>6</x:v>
      </x:c>
      <x:c r="J20" s="22" t="n">
        <x:v>0.5</x:v>
      </x:c>
      <x:c r="K20" s="22" t="n">
        <x:v>5.5</x:v>
      </x:c>
      <x:c r="L20" s="22" t="n">
        <x:v>4.8</x:v>
      </x:c>
      <x:c r="M20" s="22" t="n">
        <x:v>0.8</x:v>
      </x:c>
      <x:c r="N20" s="22" t="n">
        <x:v>0.9</x:v>
      </x:c>
      <x:c r="O20" s="22" t="n">
        <x:v>3.2</x:v>
      </x:c>
      <x:c r="P20" s="22" t="n">
        <x:f>D20*Scoring!$B$6+E20*Scoring!$B$7+(F20-E20)*Scoring!$B$8+H20*Scoring!$B$9+(I20-H20)*Scoring!$B$10+G20*Scoring!$B$11+J20*Scoring!$B$12+K20*Scoring!$B$13+L20*Scoring!$B$14+M20*Scoring!$B$15+N20*Scoring!$B$16+O20*Scoring!$B$17</x:f>
        <x:v>43.85</x:v>
      </x:c>
      <x:c r="Q20" t="str">
        <x:v>https://basketball.realgm.com/nba/stats/2026/Averages/All/points/All/desc/1/Regular_Season</x:v>
      </x:c>
    </x:row>
    <x:row r="21" ht="22" customHeight="1">
      <x:c r="A21" t="str">
        <x:v>Jamal Murray</x:v>
      </x:c>
      <x:c r="B21" t="n">
        <x:v>75</x:v>
      </x:c>
      <x:c r="C21" s="22" t="n">
        <x:v>35.4</x:v>
      </x:c>
      <x:c r="D21" s="22" t="n">
        <x:v>25.4</x:v>
      </x:c>
      <x:c r="E21" s="22" t="n">
        <x:v>8.8</x:v>
      </x:c>
      <x:c r="F21" s="22" t="n">
        <x:v>18.1</x:v>
      </x:c>
      <x:c r="G21" s="22" t="n">
        <x:v>3.3</x:v>
      </x:c>
      <x:c r="H21" s="22" t="n">
        <x:v>4.6</x:v>
      </x:c>
      <x:c r="I21" s="22" t="n">
        <x:v>5.2</x:v>
      </x:c>
      <x:c r="J21" s="22" t="n">
        <x:v>0.4</x:v>
      </x:c>
      <x:c r="K21" s="22" t="n">
        <x:v>4.4</x:v>
      </x:c>
      <x:c r="L21" s="22" t="n">
        <x:v>7.1</x:v>
      </x:c>
      <x:c r="M21" s="22" t="n">
        <x:v>0.9</x:v>
      </x:c>
      <x:c r="N21" s="22" t="n">
        <x:v>0.4</x:v>
      </x:c>
      <x:c r="O21" s="22" t="n">
        <x:v>2.3</x:v>
      </x:c>
      <x:c r="P21" s="22" t="n">
        <x:f>D21*Scoring!$B$6+E21*Scoring!$B$7+(F21-E21)*Scoring!$B$8+H21*Scoring!$B$9+(I21-H21)*Scoring!$B$10+G21*Scoring!$B$11+J21*Scoring!$B$12+K21*Scoring!$B$13+L21*Scoring!$B$14+M21*Scoring!$B$15+N21*Scoring!$B$16+O21*Scoring!$B$17</x:f>
        <x:v>45.84999999999999</x:v>
      </x:c>
      <x:c r="Q21" t="str">
        <x:v>https://basketball.realgm.com/nba/stats/2026/Averages/All/points/All/desc/1/Regular_Season</x:v>
      </x:c>
    </x:row>
    <x:row r="22" ht="22" customHeight="1">
      <x:c r="A22" t="str">
        <x:v>Victor Wembanyama</x:v>
      </x:c>
      <x:c r="B22" t="n">
        <x:v>64</x:v>
      </x:c>
      <x:c r="C22" s="22" t="n">
        <x:v>29.2</x:v>
      </x:c>
      <x:c r="D22" s="22" t="n">
        <x:v>25</x:v>
      </x:c>
      <x:c r="E22" s="22" t="n">
        <x:v>8.6</x:v>
      </x:c>
      <x:c r="F22" s="22" t="n">
        <x:v>16.9</x:v>
      </x:c>
      <x:c r="G22" s="22" t="n">
        <x:v>1.9</x:v>
      </x:c>
      <x:c r="H22" s="22" t="n">
        <x:v>5.8</x:v>
      </x:c>
      <x:c r="I22" s="22" t="n">
        <x:v>7</x:v>
      </x:c>
      <x:c r="J22" s="22" t="n">
        <x:v>2</x:v>
      </x:c>
      <x:c r="K22" s="22" t="n">
        <x:v>11.5</x:v>
      </x:c>
      <x:c r="L22" s="22" t="n">
        <x:v>3.1</x:v>
      </x:c>
      <x:c r="M22" s="22" t="n">
        <x:v>1</x:v>
      </x:c>
      <x:c r="N22" s="22" t="n">
        <x:v>3.1</x:v>
      </x:c>
      <x:c r="O22" s="22" t="n">
        <x:v>2.4</x:v>
      </x:c>
      <x:c r="P22" s="22" t="n">
        <x:f>D22*Scoring!$B$6+E22*Scoring!$B$7+(F22-E22)*Scoring!$B$8+H22*Scoring!$B$9+(I22-H22)*Scoring!$B$10+G22*Scoring!$B$11+J22*Scoring!$B$12+K22*Scoring!$B$13+L22*Scoring!$B$14+M22*Scoring!$B$15+N22*Scoring!$B$16+O22*Scoring!$B$17</x:f>
        <x:v>53.800000000000004</x:v>
      </x:c>
      <x:c r="Q22" t="str">
        <x:v>https://basketball.realgm.com/nba/stats/2026/Averages/All/points/All/desc/1/Regular_Season</x:v>
      </x:c>
    </x:row>
    <x:row r="23" ht="22" customHeight="1">
      <x:c r="A23" t="str">
        <x:v>Deni Avdija</x:v>
      </x:c>
      <x:c r="B23" t="n">
        <x:v>66</x:v>
      </x:c>
      <x:c r="C23" s="22" t="n">
        <x:v>33.3</x:v>
      </x:c>
      <x:c r="D23" s="22" t="n">
        <x:v>24.2</x:v>
      </x:c>
      <x:c r="E23" s="22" t="n">
        <x:v>7.5</x:v>
      </x:c>
      <x:c r="F23" s="22" t="n">
        <x:v>16.1</x:v>
      </x:c>
      <x:c r="G23" s="22" t="n">
        <x:v>1.9</x:v>
      </x:c>
      <x:c r="H23" s="22" t="n">
        <x:v>7.4</x:v>
      </x:c>
      <x:c r="I23" s="22" t="n">
        <x:v>9.2</x:v>
      </x:c>
      <x:c r="J23" s="22" t="n">
        <x:v>1.1</x:v>
      </x:c>
      <x:c r="K23" s="22" t="n">
        <x:v>6.9</x:v>
      </x:c>
      <x:c r="L23" s="22" t="n">
        <x:v>6.7</x:v>
      </x:c>
      <x:c r="M23" s="22" t="n">
        <x:v>0.8</x:v>
      </x:c>
      <x:c r="N23" s="22" t="n">
        <x:v>0.6</x:v>
      </x:c>
      <x:c r="O23" s="22" t="n">
        <x:v>3.8</x:v>
      </x:c>
      <x:c r="P23" s="22" t="n">
        <x:f>D23*Scoring!$B$6+E23*Scoring!$B$7+(F23-E23)*Scoring!$B$8+H23*Scoring!$B$9+(I23-H23)*Scoring!$B$10+G23*Scoring!$B$11+J23*Scoring!$B$12+K23*Scoring!$B$13+L23*Scoring!$B$14+M23*Scoring!$B$15+N23*Scoring!$B$16+O23*Scoring!$B$17</x:f>
        <x:v>44.65</x:v>
      </x:c>
      <x:c r="Q23" t="str">
        <x:v>https://basketball.realgm.com/nba/stats/2026/Averages/All/points/All/desc/1/Regular_Season</x:v>
      </x:c>
    </x:row>
    <x:row r="24" ht="22" customHeight="1">
      <x:c r="A24" t="str">
        <x:v>Michael Porter Jr.</x:v>
      </x:c>
      <x:c r="B24" t="n">
        <x:v>52</x:v>
      </x:c>
      <x:c r="C24" s="22" t="n">
        <x:v>32.5</x:v>
      </x:c>
      <x:c r="D24" s="22" t="n">
        <x:v>24.2</x:v>
      </x:c>
      <x:c r="E24" s="22" t="n">
        <x:v>8.5</x:v>
      </x:c>
      <x:c r="F24" s="22" t="n">
        <x:v>18.4</x:v>
      </x:c>
      <x:c r="G24" s="22" t="n">
        <x:v>3.4</x:v>
      </x:c>
      <x:c r="H24" s="22" t="n">
        <x:v>3.8</x:v>
      </x:c>
      <x:c r="I24" s="22" t="n">
        <x:v>4.4</x:v>
      </x:c>
      <x:c r="J24" s="22" t="n">
        <x:v>1.3</x:v>
      </x:c>
      <x:c r="K24" s="22" t="n">
        <x:v>7.1</x:v>
      </x:c>
      <x:c r="L24" s="22" t="n">
        <x:v>3</x:v>
      </x:c>
      <x:c r="M24" s="22" t="n">
        <x:v>1.1</x:v>
      </x:c>
      <x:c r="N24" s="22" t="n">
        <x:v>0.3</x:v>
      </x:c>
      <x:c r="O24" s="22" t="n">
        <x:v>2.3</x:v>
      </x:c>
      <x:c r="P24" s="22" t="n">
        <x:f>D24*Scoring!$B$6+E24*Scoring!$B$7+(F24-E24)*Scoring!$B$8+H24*Scoring!$B$9+(I24-H24)*Scoring!$B$10+G24*Scoring!$B$11+J24*Scoring!$B$12+K24*Scoring!$B$13+L24*Scoring!$B$14+M24*Scoring!$B$15+N24*Scoring!$B$16+O24*Scoring!$B$17</x:f>
        <x:v>41.650000000000006</x:v>
      </x:c>
      <x:c r="Q24" t="str">
        <x:v>https://basketball.realgm.com/nba/stats/2026/Averages/All/points/All/desc/1/Regular_Season</x:v>
      </x:c>
    </x:row>
    <x:row r="25" ht="22" customHeight="1">
      <x:c r="A25" t="str">
        <x:v>Pascal Siakam</x:v>
      </x:c>
      <x:c r="B25" t="n">
        <x:v>62</x:v>
      </x:c>
      <x:c r="C25" s="22" t="n">
        <x:v>33.2</x:v>
      </x:c>
      <x:c r="D25" s="22" t="n">
        <x:v>24</x:v>
      </x:c>
      <x:c r="E25" s="22" t="n">
        <x:v>9</x:v>
      </x:c>
      <x:c r="F25" s="22" t="n">
        <x:v>18.6</x:v>
      </x:c>
      <x:c r="G25" s="22" t="n">
        <x:v>1.7</x:v>
      </x:c>
      <x:c r="H25" s="22" t="n">
        <x:v>4.2</x:v>
      </x:c>
      <x:c r="I25" s="22" t="n">
        <x:v>6.1</x:v>
      </x:c>
      <x:c r="J25" s="22" t="n">
        <x:v>1.4</x:v>
      </x:c>
      <x:c r="K25" s="22" t="n">
        <x:v>6.6</x:v>
      </x:c>
      <x:c r="L25" s="22" t="n">
        <x:v>3.8</x:v>
      </x:c>
      <x:c r="M25" s="22" t="n">
        <x:v>1.1</x:v>
      </x:c>
      <x:c r="N25" s="22" t="n">
        <x:v>0.4</x:v>
      </x:c>
      <x:c r="O25" s="22" t="n">
        <x:v>2.2</x:v>
      </x:c>
      <x:c r="P25" s="22" t="n">
        <x:f>D25*Scoring!$B$6+E25*Scoring!$B$7+(F25-E25)*Scoring!$B$8+H25*Scoring!$B$9+(I25-H25)*Scoring!$B$10+G25*Scoring!$B$11+J25*Scoring!$B$12+K25*Scoring!$B$13+L25*Scoring!$B$14+M25*Scoring!$B$15+N25*Scoring!$B$16+O25*Scoring!$B$17</x:f>
        <x:v>40.900000000000006</x:v>
      </x:c>
      <x:c r="Q25" t="str">
        <x:v>https://basketball.realgm.com/nba/stats/2026/Averages/All/points/All/desc/1/Regular_Season</x:v>
      </x:c>
    </x:row>
    <x:row r="26" ht="22" customHeight="1">
      <x:c r="A26" t="str">
        <x:v>Cade Cunningham</x:v>
      </x:c>
      <x:c r="B26" t="n">
        <x:v>64</x:v>
      </x:c>
      <x:c r="C26" s="22" t="n">
        <x:v>33.9</x:v>
      </x:c>
      <x:c r="D26" s="22" t="n">
        <x:v>23.9</x:v>
      </x:c>
      <x:c r="E26" s="22" t="n">
        <x:v>8.6</x:v>
      </x:c>
      <x:c r="F26" s="22" t="n">
        <x:v>18.6</x:v>
      </x:c>
      <x:c r="G26" s="22" t="n">
        <x:v>2</x:v>
      </x:c>
      <x:c r="H26" s="22" t="n">
        <x:v>4.8</x:v>
      </x:c>
      <x:c r="I26" s="22" t="n">
        <x:v>6</x:v>
      </x:c>
      <x:c r="J26" s="22" t="n">
        <x:v>0.9</x:v>
      </x:c>
      <x:c r="K26" s="22" t="n">
        <x:v>5.5</x:v>
      </x:c>
      <x:c r="L26" s="22" t="n">
        <x:v>9.9</x:v>
      </x:c>
      <x:c r="M26" s="22" t="n">
        <x:v>1.4</x:v>
      </x:c>
      <x:c r="N26" s="22" t="n">
        <x:v>0.8</x:v>
      </x:c>
      <x:c r="O26" s="22" t="n">
        <x:v>3.7</x:v>
      </x:c>
      <x:c r="P26" s="22" t="n">
        <x:f>D26*Scoring!$B$6+E26*Scoring!$B$7+(F26-E26)*Scoring!$B$8+H26*Scoring!$B$9+(I26-H26)*Scoring!$B$10+G26*Scoring!$B$11+J26*Scoring!$B$12+K26*Scoring!$B$13+L26*Scoring!$B$14+M26*Scoring!$B$15+N26*Scoring!$B$16+O26*Scoring!$B$17</x:f>
        <x:v>46.85000000000001</x:v>
      </x:c>
      <x:c r="Q26" t="str">
        <x:v>https://basketball.realgm.com/nba/stats/2026/Averages/All/points/All/desc/1/Regular_Season</x:v>
      </x:c>
    </x:row>
    <x:row r="27" ht="22" customHeight="1">
      <x:c r="A27" t="str">
        <x:v>Keyonte George</x:v>
      </x:c>
      <x:c r="B27" t="n">
        <x:v>54</x:v>
      </x:c>
      <x:c r="C27" s="22" t="n">
        <x:v>33.1</x:v>
      </x:c>
      <x:c r="D27" s="22" t="n">
        <x:v>23.6</x:v>
      </x:c>
      <x:c r="E27" s="22" t="n">
        <x:v>7.4</x:v>
      </x:c>
      <x:c r="F27" s="22" t="n">
        <x:v>16.3</x:v>
      </x:c>
      <x:c r="G27" s="22" t="n">
        <x:v>2.5</x:v>
      </x:c>
      <x:c r="H27" s="22" t="n">
        <x:v>6.2</x:v>
      </x:c>
      <x:c r="I27" s="22" t="n">
        <x:v>7</x:v>
      </x:c>
      <x:c r="J27" s="22" t="n">
        <x:v>0.4</x:v>
      </x:c>
      <x:c r="K27" s="22" t="n">
        <x:v>3.7</x:v>
      </x:c>
      <x:c r="L27" s="22" t="n">
        <x:v>6.1</x:v>
      </x:c>
      <x:c r="M27" s="22" t="n">
        <x:v>1.1</x:v>
      </x:c>
      <x:c r="N27" s="22" t="n">
        <x:v>0.3</x:v>
      </x:c>
      <x:c r="O27" s="22" t="n">
        <x:v>3.1</x:v>
      </x:c>
      <x:c r="P27" s="22" t="n">
        <x:f>D27*Scoring!$B$6+E27*Scoring!$B$7+(F27-E27)*Scoring!$B$8+H27*Scoring!$B$9+(I27-H27)*Scoring!$B$10+G27*Scoring!$B$11+J27*Scoring!$B$12+K27*Scoring!$B$13+L27*Scoring!$B$14+M27*Scoring!$B$15+N27*Scoring!$B$16+O27*Scoring!$B$17</x:f>
        <x:v>40.1</x:v>
      </x:c>
      <x:c r="Q27" t="str">
        <x:v>https://basketball.realgm.com/nba/stats/2026/Averages/All/points/All/desc/1/Regular_Season</x:v>
      </x:c>
    </x:row>
    <x:row r="28" ht="22" customHeight="1">
      <x:c r="A28" t="str">
        <x:v>James Harden</x:v>
      </x:c>
      <x:c r="B28" t="n">
        <x:v>70</x:v>
      </x:c>
      <x:c r="C28" s="22" t="n">
        <x:v>34.8</x:v>
      </x:c>
      <x:c r="D28" s="22" t="n">
        <x:v>23.6</x:v>
      </x:c>
      <x:c r="E28" s="22" t="n">
        <x:v>7</x:v>
      </x:c>
      <x:c r="F28" s="22" t="n">
        <x:v>16</x:v>
      </x:c>
      <x:c r="G28" s="22" t="n">
        <x:v>3.1</x:v>
      </x:c>
      <x:c r="H28" s="22" t="n">
        <x:v>6.6</x:v>
      </x:c>
      <x:c r="I28" s="22" t="n">
        <x:v>7.5</x:v>
      </x:c>
      <x:c r="J28" s="22" t="n">
        <x:v>0.6</x:v>
      </x:c>
      <x:c r="K28" s="22" t="n">
        <x:v>4.8</x:v>
      </x:c>
      <x:c r="L28" s="22" t="n">
        <x:v>8</x:v>
      </x:c>
      <x:c r="M28" s="22" t="n">
        <x:v>1.1</x:v>
      </x:c>
      <x:c r="N28" s="22" t="n">
        <x:v>0.4</x:v>
      </x:c>
      <x:c r="O28" s="22" t="n">
        <x:v>3.5</x:v>
      </x:c>
      <x:c r="P28" s="22" t="n">
        <x:f>D28*Scoring!$B$6+E28*Scoring!$B$7+(F28-E28)*Scoring!$B$8+H28*Scoring!$B$9+(I28-H28)*Scoring!$B$10+G28*Scoring!$B$11+J28*Scoring!$B$12+K28*Scoring!$B$13+L28*Scoring!$B$14+M28*Scoring!$B$15+N28*Scoring!$B$16+O28*Scoring!$B$17</x:f>
        <x:v>44.20000000000001</x:v>
      </x:c>
      <x:c r="Q28" t="str">
        <x:v>https://basketball.realgm.com/nba/stats/2026/Averages/All/points/All/desc/1/Regular_Season</x:v>
      </x:c>
    </x:row>
    <x:row r="29" ht="22" customHeight="1">
      <x:c r="A29" t="str">
        <x:v>Austin Reaves</x:v>
      </x:c>
      <x:c r="B29" t="n">
        <x:v>51</x:v>
      </x:c>
      <x:c r="C29" s="22" t="n">
        <x:v>34.5</x:v>
      </x:c>
      <x:c r="D29" s="22" t="n">
        <x:v>23.3</x:v>
      </x:c>
      <x:c r="E29" s="22" t="n">
        <x:v>7.3</x:v>
      </x:c>
      <x:c r="F29" s="22" t="n">
        <x:v>14.9</x:v>
      </x:c>
      <x:c r="G29" s="22" t="n">
        <x:v>2.3</x:v>
      </x:c>
      <x:c r="H29" s="22" t="n">
        <x:v>6.3</x:v>
      </x:c>
      <x:c r="I29" s="22" t="n">
        <x:v>7.3</x:v>
      </x:c>
      <x:c r="J29" s="22" t="n">
        <x:v>0.6</x:v>
      </x:c>
      <x:c r="K29" s="22" t="n">
        <x:v>4.7</x:v>
      </x:c>
      <x:c r="L29" s="22" t="n">
        <x:v>5.5</x:v>
      </x:c>
      <x:c r="M29" s="22" t="n">
        <x:v>1.1</x:v>
      </x:c>
      <x:c r="N29" s="22" t="n">
        <x:v>0.4</x:v>
      </x:c>
      <x:c r="O29" s="22" t="n">
        <x:v>3</x:v>
      </x:c>
      <x:c r="P29" s="22" t="n">
        <x:f>D29*Scoring!$B$6+E29*Scoring!$B$7+(F29-E29)*Scoring!$B$8+H29*Scoring!$B$9+(I29-H29)*Scoring!$B$10+G29*Scoring!$B$11+J29*Scoring!$B$12+K29*Scoring!$B$13+L29*Scoring!$B$14+M29*Scoring!$B$15+N29*Scoring!$B$16+O29*Scoring!$B$17</x:f>
        <x:v>41.550000000000004</x:v>
      </x:c>
      <x:c r="Q29" t="str">
        <x:v>https://basketball.realgm.com/nba/stats/2026/Averages/All/points/All/desc/1/Regular_Season</x:v>
      </x:c>
    </x:row>
    <x:row r="30" ht="22" customHeight="1">
      <x:c r="A30" t="str">
        <x:v>Jalen Johnson</x:v>
      </x:c>
      <x:c r="B30" t="n">
        <x:v>72</x:v>
      </x:c>
      <x:c r="C30" s="22" t="n">
        <x:v>35.2</x:v>
      </x:c>
      <x:c r="D30" s="22" t="n">
        <x:v>22.5</x:v>
      </x:c>
      <x:c r="E30" s="22" t="n">
        <x:v>8.3</x:v>
      </x:c>
      <x:c r="F30" s="22" t="n">
        <x:v>17.1</x:v>
      </x:c>
      <x:c r="G30" s="22" t="n">
        <x:v>1.7</x:v>
      </x:c>
      <x:c r="H30" s="22" t="n">
        <x:v>4.2</x:v>
      </x:c>
      <x:c r="I30" s="22" t="n">
        <x:v>5.3</x:v>
      </x:c>
      <x:c r="J30" s="22" t="n">
        <x:v>1.4</x:v>
      </x:c>
      <x:c r="K30" s="22" t="n">
        <x:v>10.3</x:v>
      </x:c>
      <x:c r="L30" s="22" t="n">
        <x:v>7.9</x:v>
      </x:c>
      <x:c r="M30" s="22" t="n">
        <x:v>1.2</x:v>
      </x:c>
      <x:c r="N30" s="22" t="n">
        <x:v>0.4</x:v>
      </x:c>
      <x:c r="O30" s="22" t="n">
        <x:v>3.4</x:v>
      </x:c>
      <x:c r="P30" s="22" t="n">
        <x:f>D30*Scoring!$B$6+E30*Scoring!$B$7+(F30-E30)*Scoring!$B$8+H30*Scoring!$B$9+(I30-H30)*Scoring!$B$10+G30*Scoring!$B$11+J30*Scoring!$B$12+K30*Scoring!$B$13+L30*Scoring!$B$14+M30*Scoring!$B$15+N30*Scoring!$B$16+O30*Scoring!$B$17</x:f>
        <x:v>47.95000000000001</x:v>
      </x:c>
      <x:c r="Q30" t="str">
        <x:v>https://basketball.realgm.com/nba/stats/2026/Averages/All/points/All/desc/1/Regular_Season</x:v>
      </x:c>
    </x:row>
    <x:row r="31" ht="22" customHeight="1">
      <x:c r="A31" t="str">
        <x:v>Paolo Banchero</x:v>
      </x:c>
      <x:c r="B31" t="n">
        <x:v>72</x:v>
      </x:c>
      <x:c r="C31" s="22" t="n">
        <x:v>34.7</x:v>
      </x:c>
      <x:c r="D31" s="22" t="n">
        <x:v>22.2</x:v>
      </x:c>
      <x:c r="E31" s="22" t="n">
        <x:v>7.3</x:v>
      </x:c>
      <x:c r="F31" s="22" t="n">
        <x:v>16</x:v>
      </x:c>
      <x:c r="G31" s="22" t="n">
        <x:v>1.2</x:v>
      </x:c>
      <x:c r="H31" s="22" t="n">
        <x:v>6.3</x:v>
      </x:c>
      <x:c r="I31" s="22" t="n">
        <x:v>8.2</x:v>
      </x:c>
      <x:c r="J31" s="22" t="n">
        <x:v>1.2</x:v>
      </x:c>
      <x:c r="K31" s="22" t="n">
        <x:v>8.4</x:v>
      </x:c>
      <x:c r="L31" s="22" t="n">
        <x:v>5.2</x:v>
      </x:c>
      <x:c r="M31" s="22" t="n">
        <x:v>0.7</x:v>
      </x:c>
      <x:c r="N31" s="22" t="n">
        <x:v>0.6</x:v>
      </x:c>
      <x:c r="O31" s="22" t="n">
        <x:v>3.1</x:v>
      </x:c>
      <x:c r="P31" s="22" t="n">
        <x:f>D31*Scoring!$B$6+E31*Scoring!$B$7+(F31-E31)*Scoring!$B$8+H31*Scoring!$B$9+(I31-H31)*Scoring!$B$10+G31*Scoring!$B$11+J31*Scoring!$B$12+K31*Scoring!$B$13+L31*Scoring!$B$14+M31*Scoring!$B$15+N31*Scoring!$B$16+O31*Scoring!$B$17</x:f>
        <x:v>41.099999999999994</x:v>
      </x:c>
      <x:c r="Q31" t="str">
        <x:v>https://basketball.realgm.com/nba/stats/2026/Averages/All/points/All/desc/1/Regular_Season</x:v>
      </x:c>
    </x:row>
    <x:row r="32" ht="22" customHeight="1">
      <x:c r="A32" t="str">
        <x:v>Jayson Tatum</x:v>
      </x:c>
      <x:c r="B32" t="n">
        <x:v>16</x:v>
      </x:c>
      <x:c r="C32" s="22" t="n">
        <x:v>32.6</x:v>
      </x:c>
      <x:c r="D32" s="22" t="n">
        <x:v>21.8</x:v>
      </x:c>
      <x:c r="E32" s="22" t="n">
        <x:v>7.4</x:v>
      </x:c>
      <x:c r="F32" s="22" t="n">
        <x:v>17.9</x:v>
      </x:c>
      <x:c r="G32" s="22" t="n">
        <x:v>2.9</x:v>
      </x:c>
      <x:c r="H32" s="22" t="n">
        <x:v>4.1</x:v>
      </x:c>
      <x:c r="I32" s="22" t="n">
        <x:v>4.9</x:v>
      </x:c>
      <x:c r="J32" s="22" t="n">
        <x:v>0.5</x:v>
      </x:c>
      <x:c r="K32" s="22" t="n">
        <x:v>10</x:v>
      </x:c>
      <x:c r="L32" s="22" t="n">
        <x:v>5.3</x:v>
      </x:c>
      <x:c r="M32" s="22" t="n">
        <x:v>1.4</x:v>
      </x:c>
      <x:c r="N32" s="22" t="n">
        <x:v>0.2</x:v>
      </x:c>
      <x:c r="O32" s="22" t="n">
        <x:v>2.4</x:v>
      </x:c>
      <x:c r="P32" s="22" t="n">
        <x:f>D32*Scoring!$B$6+E32*Scoring!$B$7+(F32-E32)*Scoring!$B$8+H32*Scoring!$B$9+(I32-H32)*Scoring!$B$10+G32*Scoring!$B$11+J32*Scoring!$B$12+K32*Scoring!$B$13+L32*Scoring!$B$14+M32*Scoring!$B$15+N32*Scoring!$B$16+O32*Scoring!$B$17</x:f>
        <x:v>42.150000000000006</x:v>
      </x:c>
      <x:c r="Q32" t="str">
        <x:v>https://basketball.realgm.com/nba/stats/2026/Averages/All/points/All/desc/1/Regular_Season</x:v>
      </x:c>
    </x:row>
    <x:row r="33" ht="22" customHeight="1">
      <x:c r="A33" t="str">
        <x:v>Norman Powell</x:v>
      </x:c>
      <x:c r="B33" t="n">
        <x:v>58</x:v>
      </x:c>
      <x:c r="C33" s="22" t="n">
        <x:v>29.6</x:v>
      </x:c>
      <x:c r="D33" s="22" t="n">
        <x:v>21.7</x:v>
      </x:c>
      <x:c r="E33" s="22" t="n">
        <x:v>7.3</x:v>
      </x:c>
      <x:c r="F33" s="22" t="n">
        <x:v>15.4</x:v>
      </x:c>
      <x:c r="G33" s="22" t="n">
        <x:v>2.7</x:v>
      </x:c>
      <x:c r="H33" s="22" t="n">
        <x:v>4.5</x:v>
      </x:c>
      <x:c r="I33" s="22" t="n">
        <x:v>5.5</x:v>
      </x:c>
      <x:c r="J33" s="22" t="n">
        <x:v>0.4</x:v>
      </x:c>
      <x:c r="K33" s="22" t="n">
        <x:v>3.5</x:v>
      </x:c>
      <x:c r="L33" s="22" t="n">
        <x:v>2.5</x:v>
      </x:c>
      <x:c r="M33" s="22" t="n">
        <x:v>1.1</x:v>
      </x:c>
      <x:c r="N33" s="22" t="n">
        <x:v>0.2</x:v>
      </x:c>
      <x:c r="O33" s="22" t="n">
        <x:v>1.9</x:v>
      </x:c>
      <x:c r="P33" s="22" t="n">
        <x:f>D33*Scoring!$B$6+E33*Scoring!$B$7+(F33-E33)*Scoring!$B$8+H33*Scoring!$B$9+(I33-H33)*Scoring!$B$10+G33*Scoring!$B$11+J33*Scoring!$B$12+K33*Scoring!$B$13+L33*Scoring!$B$14+M33*Scoring!$B$15+N33*Scoring!$B$16+O33*Scoring!$B$17</x:f>
        <x:v>33.85</x:v>
      </x:c>
      <x:c r="Q33" t="str">
        <x:v>https://basketball.realgm.com/nba/stats/2026/Averages/All/points/All/desc/1/Regular_Season</x:v>
      </x:c>
    </x:row>
    <x:row r="34" ht="22" customHeight="1">
      <x:c r="A34" t="str">
        <x:v>Trey Murphy III</x:v>
      </x:c>
      <x:c r="B34" t="n">
        <x:v>66</x:v>
      </x:c>
      <x:c r="C34" s="22" t="n">
        <x:v>35.5</x:v>
      </x:c>
      <x:c r="D34" s="22" t="n">
        <x:v>21.5</x:v>
      </x:c>
      <x:c r="E34" s="22" t="n">
        <x:v>7.5</x:v>
      </x:c>
      <x:c r="F34" s="22" t="n">
        <x:v>15.9</x:v>
      </x:c>
      <x:c r="G34" s="22" t="n">
        <x:v>3.2</x:v>
      </x:c>
      <x:c r="H34" s="22" t="n">
        <x:v>3.3</x:v>
      </x:c>
      <x:c r="I34" s="22" t="n">
        <x:v>3.7</x:v>
      </x:c>
      <x:c r="J34" s="22" t="n">
        <x:v>1</x:v>
      </x:c>
      <x:c r="K34" s="22" t="n">
        <x:v>5.7</x:v>
      </x:c>
      <x:c r="L34" s="22" t="n">
        <x:v>3.8</x:v>
      </x:c>
      <x:c r="M34" s="22" t="n">
        <x:v>1.5</x:v>
      </x:c>
      <x:c r="N34" s="22" t="n">
        <x:v>0.4</x:v>
      </x:c>
      <x:c r="O34" s="22" t="n">
        <x:v>1.8</x:v>
      </x:c>
      <x:c r="P34" s="22" t="n">
        <x:f>D34*Scoring!$B$6+E34*Scoring!$B$7+(F34-E34)*Scoring!$B$8+H34*Scoring!$B$9+(I34-H34)*Scoring!$B$10+G34*Scoring!$B$11+J34*Scoring!$B$12+K34*Scoring!$B$13+L34*Scoring!$B$14+M34*Scoring!$B$15+N34*Scoring!$B$16+O34*Scoring!$B$17</x:f>
        <x:v>40.099999999999994</x:v>
      </x:c>
      <x:c r="Q34" t="str">
        <x:v>https://basketball.realgm.com/nba/stats/2026/Averages/All/points/All/desc/1/Regular_Season</x:v>
      </x:c>
    </x:row>
    <x:row r="35" ht="22" customHeight="1">
      <x:c r="A35" t="str">
        <x:v>Brandon Ingram</x:v>
      </x:c>
      <x:c r="B35" t="n">
        <x:v>77</x:v>
      </x:c>
      <x:c r="C35" s="22" t="n">
        <x:v>33.8</x:v>
      </x:c>
      <x:c r="D35" s="22" t="n">
        <x:v>21.5</x:v>
      </x:c>
      <x:c r="E35" s="22" t="n">
        <x:v>8</x:v>
      </x:c>
      <x:c r="F35" s="22" t="n">
        <x:v>16.7</x:v>
      </x:c>
      <x:c r="G35" s="22" t="n">
        <x:v>1.8</x:v>
      </x:c>
      <x:c r="H35" s="22" t="n">
        <x:v>3.8</x:v>
      </x:c>
      <x:c r="I35" s="22" t="n">
        <x:v>4.6</x:v>
      </x:c>
      <x:c r="J35" s="22" t="n">
        <x:v>0.8</x:v>
      </x:c>
      <x:c r="K35" s="22" t="n">
        <x:v>5.6</x:v>
      </x:c>
      <x:c r="L35" s="22" t="n">
        <x:v>3.7</x:v>
      </x:c>
      <x:c r="M35" s="22" t="n">
        <x:v>0.8</x:v>
      </x:c>
      <x:c r="N35" s="22" t="n">
        <x:v>0.7</x:v>
      </x:c>
      <x:c r="O35" s="22" t="n">
        <x:v>2.4</x:v>
      </x:c>
      <x:c r="P35" s="22" t="n">
        <x:f>D35*Scoring!$B$6+E35*Scoring!$B$7+(F35-E35)*Scoring!$B$8+H35*Scoring!$B$9+(I35-H35)*Scoring!$B$10+G35*Scoring!$B$11+J35*Scoring!$B$12+K35*Scoring!$B$13+L35*Scoring!$B$14+M35*Scoring!$B$15+N35*Scoring!$B$16+O35*Scoring!$B$17</x:f>
        <x:v>36.20000000000001</x:v>
      </x:c>
      <x:c r="Q35" t="str">
        <x:v>https://basketball.realgm.com/nba/stats/2026/Averages/All/points/All/desc/1/Regular_Season</x:v>
      </x:c>
    </x:row>
    <x:row r="36" ht="22" customHeight="1">
      <x:c r="A36" t="str">
        <x:v>Julius Randle</x:v>
      </x:c>
      <x:c r="B36" t="n">
        <x:v>79</x:v>
      </x:c>
      <x:c r="C36" s="22" t="n">
        <x:v>33</x:v>
      </x:c>
      <x:c r="D36" s="22" t="n">
        <x:v>21.1</x:v>
      </x:c>
      <x:c r="E36" s="22" t="n">
        <x:v>7.3</x:v>
      </x:c>
      <x:c r="F36" s="22" t="n">
        <x:v>15.3</x:v>
      </x:c>
      <x:c r="G36" s="22" t="n">
        <x:v>1.4</x:v>
      </x:c>
      <x:c r="H36" s="22" t="n">
        <x:v>5</x:v>
      </x:c>
      <x:c r="I36" s="22" t="n">
        <x:v>6.3</x:v>
      </x:c>
      <x:c r="J36" s="22" t="n">
        <x:v>1.7</x:v>
      </x:c>
      <x:c r="K36" s="22" t="n">
        <x:v>6.7</x:v>
      </x:c>
      <x:c r="L36" s="22" t="n">
        <x:v>5</x:v>
      </x:c>
      <x:c r="M36" s="22" t="n">
        <x:v>1.1</x:v>
      </x:c>
      <x:c r="N36" s="22" t="n">
        <x:v>0.2</x:v>
      </x:c>
      <x:c r="O36" s="22" t="n">
        <x:v>2.7</x:v>
      </x:c>
      <x:c r="P36" s="22" t="n">
        <x:f>D36*Scoring!$B$6+E36*Scoring!$B$7+(F36-E36)*Scoring!$B$8+H36*Scoring!$B$9+(I36-H36)*Scoring!$B$10+G36*Scoring!$B$11+J36*Scoring!$B$12+K36*Scoring!$B$13+L36*Scoring!$B$14+M36*Scoring!$B$15+N36*Scoring!$B$16+O36*Scoring!$B$17</x:f>
        <x:v>40.2</x:v>
      </x:c>
      <x:c r="Q36" t="str">
        <x:v>https://basketball.realgm.com/nba/stats/2026/Averages/All/points/All/desc/1/Regular_Season</x:v>
      </x:c>
    </x:row>
    <x:row r="37" ht="22" customHeight="1">
      <x:c r="A37" t="str">
        <x:v>Cooper Flagg</x:v>
      </x:c>
      <x:c r="B37" t="n">
        <x:v>70</x:v>
      </x:c>
      <x:c r="C37" s="22" t="n">
        <x:v>33.5</x:v>
      </x:c>
      <x:c r="D37" s="22" t="n">
        <x:v>21</x:v>
      </x:c>
      <x:c r="E37" s="22" t="n">
        <x:v>8</x:v>
      </x:c>
      <x:c r="F37" s="22" t="n">
        <x:v>17.1</x:v>
      </x:c>
      <x:c r="G37" s="22" t="n">
        <x:v>1</x:v>
      </x:c>
      <x:c r="H37" s="22" t="n">
        <x:v>4</x:v>
      </x:c>
      <x:c r="I37" s="22" t="n">
        <x:v>4.9</x:v>
      </x:c>
      <x:c r="J37" s="22" t="n">
        <x:v>1.2</x:v>
      </x:c>
      <x:c r="K37" s="22" t="n">
        <x:v>6.7</x:v>
      </x:c>
      <x:c r="L37" s="22" t="n">
        <x:v>4.5</x:v>
      </x:c>
      <x:c r="M37" s="22" t="n">
        <x:v>1.2</x:v>
      </x:c>
      <x:c r="N37" s="22" t="n">
        <x:v>0.9</x:v>
      </x:c>
      <x:c r="O37" s="22" t="n">
        <x:v>2.3</x:v>
      </x:c>
      <x:c r="P37" s="22" t="n">
        <x:f>D37*Scoring!$B$6+E37*Scoring!$B$7+(F37-E37)*Scoring!$B$8+H37*Scoring!$B$9+(I37-H37)*Scoring!$B$10+G37*Scoring!$B$11+J37*Scoring!$B$12+K37*Scoring!$B$13+L37*Scoring!$B$14+M37*Scoring!$B$15+N37*Scoring!$B$16+O37*Scoring!$B$17</x:f>
        <x:v>39</x:v>
      </x:c>
      <x:c r="Q37" t="str">
        <x:v>https://basketball.realgm.com/nba/stats/2026/Averages/All/points/All/desc/1/Regular_Season</x:v>
      </x:c>
    </x:row>
    <x:row r="38" ht="22" customHeight="1">
      <x:c r="A38" t="str">
        <x:v>Zion Williamson</x:v>
      </x:c>
      <x:c r="B38" t="n">
        <x:v>62</x:v>
      </x:c>
      <x:c r="C38" s="22" t="n">
        <x:v>29.7</x:v>
      </x:c>
      <x:c r="D38" s="22" t="n">
        <x:v>21</x:v>
      </x:c>
      <x:c r="E38" s="22" t="n">
        <x:v>7.8</x:v>
      </x:c>
      <x:c r="F38" s="22" t="n">
        <x:v>13</x:v>
      </x:c>
      <x:c r="G38" s="22" t="n">
        <x:v>0</x:v>
      </x:c>
      <x:c r="H38" s="22" t="n">
        <x:v>5.4</x:v>
      </x:c>
      <x:c r="I38" s="22" t="n">
        <x:v>7.5</x:v>
      </x:c>
      <x:c r="J38" s="22" t="n">
        <x:v>2</x:v>
      </x:c>
      <x:c r="K38" s="22" t="n">
        <x:v>5.7</x:v>
      </x:c>
      <x:c r="L38" s="22" t="n">
        <x:v>3.2</x:v>
      </x:c>
      <x:c r="M38" s="22" t="n">
        <x:v>1</x:v>
      </x:c>
      <x:c r="N38" s="22" t="n">
        <x:v>0.5</x:v>
      </x:c>
      <x:c r="O38" s="22" t="n">
        <x:v>2</x:v>
      </x:c>
      <x:c r="P38" s="22" t="n">
        <x:f>D38*Scoring!$B$6+E38*Scoring!$B$7+(F38-E38)*Scoring!$B$8+H38*Scoring!$B$9+(I38-H38)*Scoring!$B$10+G38*Scoring!$B$11+J38*Scoring!$B$12+K38*Scoring!$B$13+L38*Scoring!$B$14+M38*Scoring!$B$15+N38*Scoring!$B$16+O38*Scoring!$B$17</x:f>
        <x:v>40.150000000000006</x:v>
      </x:c>
      <x:c r="Q38" t="str">
        <x:v>https://basketball.realgm.com/nba/stats/2026/Averages/All/points/All/desc/1/Regular_Season</x:v>
      </x:c>
    </x:row>
    <x:row r="39" ht="22" customHeight="1">
      <x:c r="A39" t="str">
        <x:v>LeBron James</x:v>
      </x:c>
      <x:c r="B39" t="n">
        <x:v>60</x:v>
      </x:c>
      <x:c r="C39" s="22" t="n">
        <x:v>33.2</x:v>
      </x:c>
      <x:c r="D39" s="22" t="n">
        <x:v>20.9</x:v>
      </x:c>
      <x:c r="E39" s="22" t="n">
        <x:v>7.9</x:v>
      </x:c>
      <x:c r="F39" s="22" t="n">
        <x:v>15.3</x:v>
      </x:c>
      <x:c r="G39" s="22" t="n">
        <x:v>1.3</x:v>
      </x:c>
      <x:c r="H39" s="22" t="n">
        <x:v>3.9</x:v>
      </x:c>
      <x:c r="I39" s="22" t="n">
        <x:v>5.3</x:v>
      </x:c>
      <x:c r="J39" s="22" t="n">
        <x:v>0.7</x:v>
      </x:c>
      <x:c r="K39" s="22" t="n">
        <x:v>6.1</x:v>
      </x:c>
      <x:c r="L39" s="22" t="n">
        <x:v>7.2</x:v>
      </x:c>
      <x:c r="M39" s="22" t="n">
        <x:v>1.2</x:v>
      </x:c>
      <x:c r="N39" s="22" t="n">
        <x:v>0.6</x:v>
      </x:c>
      <x:c r="O39" s="22" t="n">
        <x:v>3</x:v>
      </x:c>
      <x:c r="P39" s="22" t="n">
        <x:f>D39*Scoring!$B$6+E39*Scoring!$B$7+(F39-E39)*Scoring!$B$8+H39*Scoring!$B$9+(I39-H39)*Scoring!$B$10+G39*Scoring!$B$11+J39*Scoring!$B$12+K39*Scoring!$B$13+L39*Scoring!$B$14+M39*Scoring!$B$15+N39*Scoring!$B$16+O39*Scoring!$B$17</x:f>
        <x:v>40.8</x:v>
      </x:c>
      <x:c r="Q39" t="str">
        <x:v>https://basketball.realgm.com/nba/stats/2026/Averages/All/points/All/desc/1/Regular_Season</x:v>
      </x:c>
    </x:row>
    <x:row r="40" ht="22" customHeight="1">
      <x:c r="A40" t="str">
        <x:v>Shaedon Sharpe</x:v>
      </x:c>
      <x:c r="B40" t="n">
        <x:v>50</x:v>
      </x:c>
      <x:c r="C40" s="22" t="n">
        <x:v>29.4</x:v>
      </x:c>
      <x:c r="D40" s="22" t="n">
        <x:v>20.8</x:v>
      </x:c>
      <x:c r="E40" s="22" t="n">
        <x:v>7.8</x:v>
      </x:c>
      <x:c r="F40" s="22" t="n">
        <x:v>17.4</x:v>
      </x:c>
      <x:c r="G40" s="22" t="n">
        <x:v>2.1</x:v>
      </x:c>
      <x:c r="H40" s="22" t="n">
        <x:v>3.1</x:v>
      </x:c>
      <x:c r="I40" s="22" t="n">
        <x:v>3.9</x:v>
      </x:c>
      <x:c r="J40" s="22" t="n">
        <x:v>1</x:v>
      </x:c>
      <x:c r="K40" s="22" t="n">
        <x:v>4.3</x:v>
      </x:c>
      <x:c r="L40" s="22" t="n">
        <x:v>2.6</x:v>
      </x:c>
      <x:c r="M40" s="22" t="n">
        <x:v>1.4</x:v>
      </x:c>
      <x:c r="N40" s="22" t="n">
        <x:v>0.1</x:v>
      </x:c>
      <x:c r="O40" s="22" t="n">
        <x:v>2.9</x:v>
      </x:c>
      <x:c r="P40" s="22" t="n">
        <x:f>D40*Scoring!$B$6+E40*Scoring!$B$7+(F40-E40)*Scoring!$B$8+H40*Scoring!$B$9+(I40-H40)*Scoring!$B$10+G40*Scoring!$B$11+J40*Scoring!$B$12+K40*Scoring!$B$13+L40*Scoring!$B$14+M40*Scoring!$B$15+N40*Scoring!$B$16+O40*Scoring!$B$17</x:f>
        <x:v>30.750000000000004</x:v>
      </x:c>
      <x:c r="Q40" t="str">
        <x:v>https://basketball.realgm.com/nba/stats/2026/Averages/All/points/All/desc/1/Regular_Season</x:v>
      </x:c>
    </x:row>
    <x:row r="41" ht="22" customHeight="1">
      <x:c r="A41" t="str">
        <x:v>Nickeil Alexander-Walker</x:v>
      </x:c>
      <x:c r="B41" t="n">
        <x:v>78</x:v>
      </x:c>
      <x:c r="C41" s="22" t="n">
        <x:v>33.4</x:v>
      </x:c>
      <x:c r="D41" s="22" t="n">
        <x:v>20.8</x:v>
      </x:c>
      <x:c r="E41" s="22" t="n">
        <x:v>7</x:v>
      </x:c>
      <x:c r="F41" s="22" t="n">
        <x:v>15.3</x:v>
      </x:c>
      <x:c r="G41" s="22" t="n">
        <x:v>3.2</x:v>
      </x:c>
      <x:c r="H41" s="22" t="n">
        <x:v>3.6</x:v>
      </x:c>
      <x:c r="I41" s="22" t="n">
        <x:v>3.9</x:v>
      </x:c>
      <x:c r="J41" s="22" t="n">
        <x:v>0.7</x:v>
      </x:c>
      <x:c r="K41" s="22" t="n">
        <x:v>3.4</x:v>
      </x:c>
      <x:c r="L41" s="22" t="n">
        <x:v>3.7</x:v>
      </x:c>
      <x:c r="M41" s="22" t="n">
        <x:v>1.3</x:v>
      </x:c>
      <x:c r="N41" s="22" t="n">
        <x:v>0.5</x:v>
      </x:c>
      <x:c r="O41" s="22" t="n">
        <x:v>2.1</x:v>
      </x:c>
      <x:c r="P41" s="22" t="n">
        <x:f>D41*Scoring!$B$6+E41*Scoring!$B$7+(F41-E41)*Scoring!$B$8+H41*Scoring!$B$9+(I41-H41)*Scoring!$B$10+G41*Scoring!$B$11+J41*Scoring!$B$12+K41*Scoring!$B$13+L41*Scoring!$B$14+M41*Scoring!$B$15+N41*Scoring!$B$16+O41*Scoring!$B$17</x:f>
        <x:v>35.49999999999999</x:v>
      </x:c>
      <x:c r="Q41" t="str">
        <x:v>https://basketball.realgm.com/nba/stats/2026/Averages/All/points/All/desc/1/Regular_Season</x:v>
      </x:c>
    </x:row>
    <x:row r="42" ht="22" customHeight="1">
      <x:c r="A42" t="str">
        <x:v>Franz Wagner</x:v>
      </x:c>
      <x:c r="B42" t="n">
        <x:v>34</x:v>
      </x:c>
      <x:c r="C42" s="22" t="n">
        <x:v>30</x:v>
      </x:c>
      <x:c r="D42" s="22" t="n">
        <x:v>20.6</x:v>
      </x:c>
      <x:c r="E42" s="22" t="n">
        <x:v>7.2</x:v>
      </x:c>
      <x:c r="F42" s="22" t="n">
        <x:v>14.9</x:v>
      </x:c>
      <x:c r="G42" s="22" t="n">
        <x:v>1.4</x:v>
      </x:c>
      <x:c r="H42" s="22" t="n">
        <x:v>4.8</x:v>
      </x:c>
      <x:c r="I42" s="22" t="n">
        <x:v>5.8</x:v>
      </x:c>
      <x:c r="J42" s="22" t="n">
        <x:v>1.3</x:v>
      </x:c>
      <x:c r="K42" s="22" t="n">
        <x:v>5.2</x:v>
      </x:c>
      <x:c r="L42" s="22" t="n">
        <x:v>3.3</x:v>
      </x:c>
      <x:c r="M42" s="22" t="n">
        <x:v>0.9</x:v>
      </x:c>
      <x:c r="N42" s="22" t="n">
        <x:v>0.3</x:v>
      </x:c>
      <x:c r="O42" s="22" t="n">
        <x:v>1.7</x:v>
      </x:c>
      <x:c r="P42" s="22" t="n">
        <x:f>D42*Scoring!$B$6+E42*Scoring!$B$7+(F42-E42)*Scoring!$B$8+H42*Scoring!$B$9+(I42-H42)*Scoring!$B$10+G42*Scoring!$B$11+J42*Scoring!$B$12+K42*Scoring!$B$13+L42*Scoring!$B$14+M42*Scoring!$B$15+N42*Scoring!$B$16+O42*Scoring!$B$17</x:f>
        <x:v>36.9</x:v>
      </x:c>
      <x:c r="Q42" t="str">
        <x:v>https://basketball.realgm.com/nba/stats/2026/Averages/All/points/All/desc/1/Regular_Season</x:v>
      </x:c>
    </x:row>
    <x:row r="43" ht="22" customHeight="1">
      <x:c r="A43" t="str">
        <x:v>Tyler Herro</x:v>
      </x:c>
      <x:c r="B43" t="n">
        <x:v>33</x:v>
      </x:c>
      <x:c r="C43" s="22" t="n">
        <x:v>31.3</x:v>
      </x:c>
      <x:c r="D43" s="22" t="n">
        <x:v>20.5</x:v>
      </x:c>
      <x:c r="E43" s="22" t="n">
        <x:v>7.5</x:v>
      </x:c>
      <x:c r="F43" s="22" t="n">
        <x:v>15.6</x:v>
      </x:c>
      <x:c r="G43" s="22" t="n">
        <x:v>2.5</x:v>
      </x:c>
      <x:c r="H43" s="22" t="n">
        <x:v>3</x:v>
      </x:c>
      <x:c r="I43" s="22" t="n">
        <x:v>3.3</x:v>
      </x:c>
      <x:c r="J43" s="22" t="n">
        <x:v>0.4</x:v>
      </x:c>
      <x:c r="K43" s="22" t="n">
        <x:v>4.8</x:v>
      </x:c>
      <x:c r="L43" s="22" t="n">
        <x:v>4.1</x:v>
      </x:c>
      <x:c r="M43" s="22" t="n">
        <x:v>0.7</x:v>
      </x:c>
      <x:c r="N43" s="22" t="n">
        <x:v>0.4</x:v>
      </x:c>
      <x:c r="O43" s="22" t="n">
        <x:v>1.9</x:v>
      </x:c>
      <x:c r="P43" s="22" t="n">
        <x:f>D43*Scoring!$B$6+E43*Scoring!$B$7+(F43-E43)*Scoring!$B$8+H43*Scoring!$B$9+(I43-H43)*Scoring!$B$10+G43*Scoring!$B$11+J43*Scoring!$B$12+K43*Scoring!$B$13+L43*Scoring!$B$14+M43*Scoring!$B$15+N43*Scoring!$B$16+O43*Scoring!$B$17</x:f>
        <x:v>35.050000000000004</x:v>
      </x:c>
      <x:c r="Q43" t="str">
        <x:v>https://basketball.realgm.com/nba/stats/2026/Averages/All/points/All/desc/1/Regular_Season</x:v>
      </x:c>
    </x:row>
    <x:row r="44" ht="22" customHeight="1">
      <x:c r="A44" t="str">
        <x:v>Alperen Sengun</x:v>
      </x:c>
      <x:c r="B44" t="n">
        <x:v>72</x:v>
      </x:c>
      <x:c r="C44" s="22" t="n">
        <x:v>33.3</x:v>
      </x:c>
      <x:c r="D44" s="22" t="n">
        <x:v>20.4</x:v>
      </x:c>
      <x:c r="E44" s="22" t="n">
        <x:v>8.1</x:v>
      </x:c>
      <x:c r="F44" s="22" t="n">
        <x:v>15.6</x:v>
      </x:c>
      <x:c r="G44" s="22" t="n">
        <x:v>0.6</x:v>
      </x:c>
      <x:c r="H44" s="22" t="n">
        <x:v>3.6</x:v>
      </x:c>
      <x:c r="I44" s="22" t="n">
        <x:v>5.2</x:v>
      </x:c>
      <x:c r="J44" s="22" t="n">
        <x:v>3</x:v>
      </x:c>
      <x:c r="K44" s="22" t="n">
        <x:v>8.9</x:v>
      </x:c>
      <x:c r="L44" s="22" t="n">
        <x:v>6.2</x:v>
      </x:c>
      <x:c r="M44" s="22" t="n">
        <x:v>1.2</x:v>
      </x:c>
      <x:c r="N44" s="22" t="n">
        <x:v>1.1</x:v>
      </x:c>
      <x:c r="O44" s="22" t="n">
        <x:v>3.2</x:v>
      </x:c>
      <x:c r="P44" s="22" t="n">
        <x:f>D44*Scoring!$B$6+E44*Scoring!$B$7+(F44-E44)*Scoring!$B$8+H44*Scoring!$B$9+(I44-H44)*Scoring!$B$10+G44*Scoring!$B$11+J44*Scoring!$B$12+K44*Scoring!$B$13+L44*Scoring!$B$14+M44*Scoring!$B$15+N44*Scoring!$B$16+O44*Scoring!$B$17</x:f>
        <x:v>45.449999999999996</x:v>
      </x:c>
      <x:c r="Q44" t="str">
        <x:v>https://basketball.realgm.com/nba/stats/2026/Averages/All/points/All/desc/1/Regular_Season</x:v>
      </x:c>
    </x:row>
    <x:row r="45" ht="22" customHeight="1">
      <x:c r="A45" t="str">
        <x:v>Anthony Davis</x:v>
      </x:c>
      <x:c r="B45" t="n">
        <x:v>20</x:v>
      </x:c>
      <x:c r="C45" s="22" t="n">
        <x:v>31.3</x:v>
      </x:c>
      <x:c r="D45" s="22" t="n">
        <x:v>20.4</x:v>
      </x:c>
      <x:c r="E45" s="22" t="n">
        <x:v>8.5</x:v>
      </x:c>
      <x:c r="F45" s="22" t="n">
        <x:v>16.7</x:v>
      </x:c>
      <x:c r="G45" s="22" t="n">
        <x:v>0.5</x:v>
      </x:c>
      <x:c r="H45" s="22" t="n">
        <x:v>3</x:v>
      </x:c>
      <x:c r="I45" s="22" t="n">
        <x:v>4.1</x:v>
      </x:c>
      <x:c r="J45" s="22" t="n">
        <x:v>3.1</x:v>
      </x:c>
      <x:c r="K45" s="22" t="n">
        <x:v>11.1</x:v>
      </x:c>
      <x:c r="L45" s="22" t="n">
        <x:v>2.8</x:v>
      </x:c>
      <x:c r="M45" s="22" t="n">
        <x:v>1.1</x:v>
      </x:c>
      <x:c r="N45" s="22" t="n">
        <x:v>1.7</x:v>
      </x:c>
      <x:c r="O45" s="22" t="n">
        <x:v>2.1</x:v>
      </x:c>
      <x:c r="P45" s="22" t="n">
        <x:f>D45*Scoring!$B$6+E45*Scoring!$B$7+(F45-E45)*Scoring!$B$8+H45*Scoring!$B$9+(I45-H45)*Scoring!$B$10+G45*Scoring!$B$11+J45*Scoring!$B$12+K45*Scoring!$B$13+L45*Scoring!$B$14+M45*Scoring!$B$15+N45*Scoring!$B$16+O45*Scoring!$B$17</x:f>
        <x:v>45.14999999999999</x:v>
      </x:c>
      <x:c r="Q45" t="str">
        <x:v>https://basketball.realgm.com/nba/stats/2026/Averages/All/points/All/desc/1/Regular_Season</x:v>
      </x:c>
    </x:row>
    <x:row r="46" ht="22" customHeight="1">
      <x:c r="A46" t="str">
        <x:v>Dillon Brooks</x:v>
      </x:c>
      <x:c r="B46" t="n">
        <x:v>56</x:v>
      </x:c>
      <x:c r="C46" s="22" t="n">
        <x:v>30.4</x:v>
      </x:c>
      <x:c r="D46" s="22" t="n">
        <x:v>20.2</x:v>
      </x:c>
      <x:c r="E46" s="22" t="n">
        <x:v>7.4</x:v>
      </x:c>
      <x:c r="F46" s="22" t="n">
        <x:v>17.1</x:v>
      </x:c>
      <x:c r="G46" s="22" t="n">
        <x:v>2.3</x:v>
      </x:c>
      <x:c r="H46" s="22" t="n">
        <x:v>3</x:v>
      </x:c>
      <x:c r="I46" s="22" t="n">
        <x:v>3.6</x:v>
      </x:c>
      <x:c r="J46" s="22" t="n">
        <x:v>0.8</x:v>
      </x:c>
      <x:c r="K46" s="22" t="n">
        <x:v>3.6</x:v>
      </x:c>
      <x:c r="L46" s="22" t="n">
        <x:v>1.8</x:v>
      </x:c>
      <x:c r="M46" s="22" t="n">
        <x:v>1</x:v>
      </x:c>
      <x:c r="N46" s="22" t="n">
        <x:v>0.2</x:v>
      </x:c>
      <x:c r="O46" s="22" t="n">
        <x:v>1.8</x:v>
      </x:c>
      <x:c r="P46" s="22" t="n">
        <x:f>D46*Scoring!$B$6+E46*Scoring!$B$7+(F46-E46)*Scoring!$B$8+H46*Scoring!$B$9+(I46-H46)*Scoring!$B$10+G46*Scoring!$B$11+J46*Scoring!$B$12+K46*Scoring!$B$13+L46*Scoring!$B$14+M46*Scoring!$B$15+N46*Scoring!$B$16+O46*Scoring!$B$17</x:f>
        <x:v>29.199999999999996</x:v>
      </x:c>
      <x:c r="Q46" t="str">
        <x:v>https://basketball.realgm.com/nba/stats/2026/Averages/All/points/All/desc/1/Regular_Season</x:v>
      </x:c>
    </x:row>
    <x:row r="47" ht="22" customHeight="1">
      <x:c r="A47" t="str">
        <x:v>Brandon Miller</x:v>
      </x:c>
      <x:c r="B47" t="n">
        <x:v>65</x:v>
      </x:c>
      <x:c r="C47" s="22" t="n">
        <x:v>30.3</x:v>
      </x:c>
      <x:c r="D47" s="22" t="n">
        <x:v>20.2</x:v>
      </x:c>
      <x:c r="E47" s="22" t="n">
        <x:v>7</x:v>
      </x:c>
      <x:c r="F47" s="22" t="n">
        <x:v>16.1</x:v>
      </x:c>
      <x:c r="G47" s="22" t="n">
        <x:v>3.1</x:v>
      </x:c>
      <x:c r="H47" s="22" t="n">
        <x:v>3.1</x:v>
      </x:c>
      <x:c r="I47" s="22" t="n">
        <x:v>3.4</x:v>
      </x:c>
      <x:c r="J47" s="22" t="n">
        <x:v>1.1</x:v>
      </x:c>
      <x:c r="K47" s="22" t="n">
        <x:v>4.9</x:v>
      </x:c>
      <x:c r="L47" s="22" t="n">
        <x:v>3.3</x:v>
      </x:c>
      <x:c r="M47" s="22" t="n">
        <x:v>1</x:v>
      </x:c>
      <x:c r="N47" s="22" t="n">
        <x:v>0.7</x:v>
      </x:c>
      <x:c r="O47" s="22" t="n">
        <x:v>2.5</x:v>
      </x:c>
      <x:c r="P47" s="22" t="n">
        <x:f>D47*Scoring!$B$6+E47*Scoring!$B$7+(F47-E47)*Scoring!$B$8+H47*Scoring!$B$9+(I47-H47)*Scoring!$B$10+G47*Scoring!$B$11+J47*Scoring!$B$12+K47*Scoring!$B$13+L47*Scoring!$B$14+M47*Scoring!$B$15+N47*Scoring!$B$16+O47*Scoring!$B$17</x:f>
        <x:v>34.099999999999994</x:v>
      </x:c>
      <x:c r="Q47" t="str">
        <x:v>https://basketball.realgm.com/nba/stats/2026/Averages/All/points/All/desc/1/Regular_Season</x:v>
      </x:c>
    </x:row>
    <x:row r="48" ht="22" customHeight="1">
      <x:c r="A48" t="str">
        <x:v>Bam Adebayo</x:v>
      </x:c>
      <x:c r="B48" t="n">
        <x:v>73</x:v>
      </x:c>
      <x:c r="C48" s="22" t="n">
        <x:v>32.4</x:v>
      </x:c>
      <x:c r="D48" s="22" t="n">
        <x:v>20.1</x:v>
      </x:c>
      <x:c r="E48" s="22" t="n">
        <x:v>6.9</x:v>
      </x:c>
      <x:c r="F48" s="22" t="n">
        <x:v>15.7</x:v>
      </x:c>
      <x:c r="G48" s="22" t="n">
        <x:v>1.7</x:v>
      </x:c>
      <x:c r="H48" s="22" t="n">
        <x:v>4.5</x:v>
      </x:c>
      <x:c r="I48" s="22" t="n">
        <x:v>5.8</x:v>
      </x:c>
      <x:c r="J48" s="22" t="n">
        <x:v>2</x:v>
      </x:c>
      <x:c r="K48" s="22" t="n">
        <x:v>10</x:v>
      </x:c>
      <x:c r="L48" s="22" t="n">
        <x:v>3.2</x:v>
      </x:c>
      <x:c r="M48" s="22" t="n">
        <x:v>1.2</x:v>
      </x:c>
      <x:c r="N48" s="22" t="n">
        <x:v>0.7</x:v>
      </x:c>
      <x:c r="O48" s="22" t="n">
        <x:v>1.6</x:v>
      </x:c>
      <x:c r="P48" s="22" t="n">
        <x:f>D48*Scoring!$B$6+E48*Scoring!$B$7+(F48-E48)*Scoring!$B$8+H48*Scoring!$B$9+(I48-H48)*Scoring!$B$10+G48*Scoring!$B$11+J48*Scoring!$B$12+K48*Scoring!$B$13+L48*Scoring!$B$14+M48*Scoring!$B$15+N48*Scoring!$B$16+O48*Scoring!$B$17</x:f>
        <x:v>42.15</x:v>
      </x:c>
      <x:c r="Q48" t="str">
        <x:v>https://basketball.realgm.com/nba/stats/2026/Averages/All/points/All/desc/1/Regular_Season</x:v>
      </x:c>
    </x:row>
    <x:row r="49" ht="22" customHeight="1">
      <x:c r="A49" t="str">
        <x:v>Desmond Bane</x:v>
      </x:c>
      <x:c r="B49" t="n">
        <x:v>82</x:v>
      </x:c>
      <x:c r="C49" s="22" t="n">
        <x:v>33.6</x:v>
      </x:c>
      <x:c r="D49" s="22" t="n">
        <x:v>20.1</x:v>
      </x:c>
      <x:c r="E49" s="22" t="n">
        <x:v>7.1</x:v>
      </x:c>
      <x:c r="F49" s="22" t="n">
        <x:v>14.7</x:v>
      </x:c>
      <x:c r="G49" s="22" t="n">
        <x:v>2</x:v>
      </x:c>
      <x:c r="H49" s="22" t="n">
        <x:v>3.8</x:v>
      </x:c>
      <x:c r="I49" s="22" t="n">
        <x:v>4.2</x:v>
      </x:c>
      <x:c r="J49" s="22" t="n">
        <x:v>1.2</x:v>
      </x:c>
      <x:c r="K49" s="22" t="n">
        <x:v>4.1</x:v>
      </x:c>
      <x:c r="L49" s="22" t="n">
        <x:v>4.1</x:v>
      </x:c>
      <x:c r="M49" s="22" t="n">
        <x:v>1</x:v>
      </x:c>
      <x:c r="N49" s="22" t="n">
        <x:v>0.5</x:v>
      </x:c>
      <x:c r="O49" s="22" t="n">
        <x:v>2</x:v>
      </x:c>
      <x:c r="P49" s="22" t="n">
        <x:f>D49*Scoring!$B$6+E49*Scoring!$B$7+(F49-E49)*Scoring!$B$8+H49*Scoring!$B$9+(I49-H49)*Scoring!$B$10+G49*Scoring!$B$11+J49*Scoring!$B$12+K49*Scoring!$B$13+L49*Scoring!$B$14+M49*Scoring!$B$15+N49*Scoring!$B$16+O49*Scoring!$B$17</x:f>
        <x:v>36.4</x:v>
      </x:c>
      <x:c r="Q49" t="str">
        <x:v>https://basketball.realgm.com/nba/stats/2026/Averages/All/points/All/desc/1/Regular_Season</x:v>
      </x:c>
    </x:row>
    <x:row r="50" ht="22" customHeight="1">
      <x:c r="A50" t="str">
        <x:v>LaMelo Ball</x:v>
      </x:c>
      <x:c r="B50" t="n">
        <x:v>72</x:v>
      </x:c>
      <x:c r="C50" s="22" t="n">
        <x:v>28</x:v>
      </x:c>
      <x:c r="D50" s="22" t="n">
        <x:v>20.1</x:v>
      </x:c>
      <x:c r="E50" s="22" t="n">
        <x:v>7</x:v>
      </x:c>
      <x:c r="F50" s="22" t="n">
        <x:v>17.3</x:v>
      </x:c>
      <x:c r="G50" s="22" t="n">
        <x:v>3.8</x:v>
      </x:c>
      <x:c r="H50" s="22" t="n">
        <x:v>2.2</x:v>
      </x:c>
      <x:c r="I50" s="22" t="n">
        <x:v>2.5</x:v>
      </x:c>
      <x:c r="J50" s="22" t="n">
        <x:v>0.9</x:v>
      </x:c>
      <x:c r="K50" s="22" t="n">
        <x:v>4.8</x:v>
      </x:c>
      <x:c r="L50" s="22" t="n">
        <x:v>7.1</x:v>
      </x:c>
      <x:c r="M50" s="22" t="n">
        <x:v>1.2</x:v>
      </x:c>
      <x:c r="N50" s="22" t="n">
        <x:v>0.2</x:v>
      </x:c>
      <x:c r="O50" s="22" t="n">
        <x:v>2.8</x:v>
      </x:c>
      <x:c r="P50" s="22" t="n">
        <x:f>D50*Scoring!$B$6+E50*Scoring!$B$7+(F50-E50)*Scoring!$B$8+H50*Scoring!$B$9+(I50-H50)*Scoring!$B$10+G50*Scoring!$B$11+J50*Scoring!$B$12+K50*Scoring!$B$13+L50*Scoring!$B$14+M50*Scoring!$B$15+N50*Scoring!$B$16+O50*Scoring!$B$17</x:f>
        <x:v>36.849999999999994</x:v>
      </x:c>
      <x:c r="Q50" t="str">
        <x:v>https://basketball.realgm.com/nba/stats/2026/Averages/All/points/All/desc/1/Regular_Season</x:v>
      </x:c>
    </x:row>
    <x:row r="51" ht="22" customHeight="1">
      <x:c r="A51" t="str">
        <x:v>Karl-Anthony Towns</x:v>
      </x:c>
      <x:c r="B51" t="n">
        <x:v>75</x:v>
      </x:c>
      <x:c r="C51" s="22" t="n">
        <x:v>31</x:v>
      </x:c>
      <x:c r="D51" s="22" t="n">
        <x:v>20.1</x:v>
      </x:c>
      <x:c r="E51" s="22" t="n">
        <x:v>6.9</x:v>
      </x:c>
      <x:c r="F51" s="22" t="n">
        <x:v>13.8</x:v>
      </x:c>
      <x:c r="G51" s="22" t="n">
        <x:v>1.5</x:v>
      </x:c>
      <x:c r="H51" s="22" t="n">
        <x:v>4.8</x:v>
      </x:c>
      <x:c r="I51" s="22" t="n">
        <x:v>5.5</x:v>
      </x:c>
      <x:c r="J51" s="22" t="n">
        <x:v>3.1</x:v>
      </x:c>
      <x:c r="K51" s="22" t="n">
        <x:v>11.9</x:v>
      </x:c>
      <x:c r="L51" s="22" t="n">
        <x:v>3</x:v>
      </x:c>
      <x:c r="M51" s="22" t="n">
        <x:v>0.9</x:v>
      </x:c>
      <x:c r="N51" s="22" t="n">
        <x:v>0.5</x:v>
      </x:c>
      <x:c r="O51" s="22" t="n">
        <x:v>2.5</x:v>
      </x:c>
      <x:c r="P51" s="22" t="n">
        <x:f>D51*Scoring!$B$6+E51*Scoring!$B$7+(F51-E51)*Scoring!$B$8+H51*Scoring!$B$9+(I51-H51)*Scoring!$B$10+G51*Scoring!$B$11+J51*Scoring!$B$12+K51*Scoring!$B$13+L51*Scoring!$B$14+M51*Scoring!$B$15+N51*Scoring!$B$16+O51*Scoring!$B$17</x:f>
        <x:v>45.85</x:v>
      </x:c>
      <x:c r="Q51" t="str">
        <x:v>https://basketball.realgm.com/nba/stats/2026/Averages/All/points/All/desc/1/Regular_Season</x:v>
      </x:c>
    </x:row>
    <x:row r="52" ht="22" customHeight="1">
      <x:c r="A52" t="str">
        <x:v>Jimmy Butler</x:v>
      </x:c>
      <x:c r="B52" t="n">
        <x:v>38</x:v>
      </x:c>
      <x:c r="C52" s="22" t="n">
        <x:v>31.1</x:v>
      </x:c>
      <x:c r="D52" s="22" t="n">
        <x:v>20</x:v>
      </x:c>
      <x:c r="E52" s="22" t="n">
        <x:v>6.3</x:v>
      </x:c>
      <x:c r="F52" s="22" t="n">
        <x:v>12.2</x:v>
      </x:c>
      <x:c r="G52" s="22" t="n">
        <x:v>0.8</x:v>
      </x:c>
      <x:c r="H52" s="22" t="n">
        <x:v>6.5</x:v>
      </x:c>
      <x:c r="I52" s="22" t="n">
        <x:v>7.6</x:v>
      </x:c>
      <x:c r="J52" s="22" t="n">
        <x:v>2.3</x:v>
      </x:c>
      <x:c r="K52" s="22" t="n">
        <x:v>5.6</x:v>
      </x:c>
      <x:c r="L52" s="22" t="n">
        <x:v>4.9</x:v>
      </x:c>
      <x:c r="M52" s="22" t="n">
        <x:v>1.4</x:v>
      </x:c>
      <x:c r="N52" s="22" t="n">
        <x:v>0.2</x:v>
      </x:c>
      <x:c r="O52" s="22" t="n">
        <x:v>1.6</x:v>
      </x:c>
      <x:c r="P52" s="22" t="n">
        <x:f>D52*Scoring!$B$6+E52*Scoring!$B$7+(F52-E52)*Scoring!$B$8+H52*Scoring!$B$9+(I52-H52)*Scoring!$B$10+G52*Scoring!$B$11+J52*Scoring!$B$12+K52*Scoring!$B$13+L52*Scoring!$B$14+M52*Scoring!$B$15+N52*Scoring!$B$16+O52*Scoring!$B$17</x:f>
        <x:v>44.05</x:v>
      </x:c>
      <x:c r="Q52" t="str">
        <x:v>https://basketball.realgm.com/nba/stats/2026/Averages/All/points/All/desc/1/Regular_Season</x:v>
      </x:c>
    </x:row>
    <x:row r="53" ht="22" customHeight="1">
      <x:c r="A53" t="str">
        <x:v>Ty Jerome</x:v>
      </x:c>
      <x:c r="B53" t="n">
        <x:v>15</x:v>
      </x:c>
      <x:c r="C53" s="22" t="n">
        <x:v>22.6</x:v>
      </x:c>
      <x:c r="D53" s="22" t="n">
        <x:v>19.7</x:v>
      </x:c>
      <x:c r="E53" s="22" t="n">
        <x:v>6.8</x:v>
      </x:c>
      <x:c r="F53" s="22" t="n">
        <x:v>14.3</x:v>
      </x:c>
      <x:c r="G53" s="22" t="n">
        <x:v>2.8</x:v>
      </x:c>
      <x:c r="H53" s="22" t="n">
        <x:v>3.3</x:v>
      </x:c>
      <x:c r="I53" s="22" t="n">
        <x:v>3.7</x:v>
      </x:c>
      <x:c r="J53" s="22" t="n">
        <x:v>0.7</x:v>
      </x:c>
      <x:c r="K53" s="22" t="n">
        <x:v>2.8</x:v>
      </x:c>
      <x:c r="L53" s="22" t="n">
        <x:v>5.7</x:v>
      </x:c>
      <x:c r="M53" s="22" t="n">
        <x:v>1.1</x:v>
      </x:c>
      <x:c r="N53" s="22" t="n">
        <x:v>0.3</x:v>
      </x:c>
      <x:c r="O53" s="22" t="n">
        <x:v>1.8</x:v>
      </x:c>
      <x:c r="P53" s="22" t="n">
        <x:f>D53*Scoring!$B$6+E53*Scoring!$B$7+(F53-E53)*Scoring!$B$8+H53*Scoring!$B$9+(I53-H53)*Scoring!$B$10+G53*Scoring!$B$11+J53*Scoring!$B$12+K53*Scoring!$B$13+L53*Scoring!$B$14+M53*Scoring!$B$15+N53*Scoring!$B$16+O53*Scoring!$B$17</x:f>
        <x:v>36.50000000000001</x:v>
      </x:c>
      <x:c r="Q53" t="str">
        <x:v>https://basketball.realgm.com/nba/stats/2026/Averages/All/points/All/desc/1/Regular_Season</x:v>
      </x:c>
    </x:row>
    <x:row r="54" ht="22" customHeight="1">
      <x:c r="A54" t="str">
        <x:v>Jalen Duren</x:v>
      </x:c>
      <x:c r="B54" t="n">
        <x:v>70</x:v>
      </x:c>
      <x:c r="C54" s="22" t="n">
        <x:v>28.2</x:v>
      </x:c>
      <x:c r="D54" s="22" t="n">
        <x:v>19.5</x:v>
      </x:c>
      <x:c r="E54" s="22" t="n">
        <x:v>7.5</x:v>
      </x:c>
      <x:c r="F54" s="22" t="n">
        <x:v>11.5</x:v>
      </x:c>
      <x:c r="G54" s="22" t="n">
        <x:v>0</x:v>
      </x:c>
      <x:c r="H54" s="22" t="n">
        <x:v>4.6</x:v>
      </x:c>
      <x:c r="I54" s="22" t="n">
        <x:v>6.1</x:v>
      </x:c>
      <x:c r="J54" s="22" t="n">
        <x:v>3.8</x:v>
      </x:c>
      <x:c r="K54" s="22" t="n">
        <x:v>10.5</x:v>
      </x:c>
      <x:c r="L54" s="22" t="n">
        <x:v>2</x:v>
      </x:c>
      <x:c r="M54" s="22" t="n">
        <x:v>0.8</x:v>
      </x:c>
      <x:c r="N54" s="22" t="n">
        <x:v>0.8</x:v>
      </x:c>
      <x:c r="O54" s="22" t="n">
        <x:v>1.9</x:v>
      </x:c>
      <x:c r="P54" s="22" t="n">
        <x:f>D54*Scoring!$B$6+E54*Scoring!$B$7+(F54-E54)*Scoring!$B$8+H54*Scoring!$B$9+(I54-H54)*Scoring!$B$10+G54*Scoring!$B$11+J54*Scoring!$B$12+K54*Scoring!$B$13+L54*Scoring!$B$14+M54*Scoring!$B$15+N54*Scoring!$B$16+O54*Scoring!$B$17</x:f>
        <x:v>46.20000000000001</x:v>
      </x:c>
      <x:c r="Q54" t="str">
        <x:v>https://basketball.realgm.com/nba/stats/2026/Averages/All/points/All/desc/1/Regular_Season</x:v>
      </x:c>
    </x:row>
    <x:row r="55" ht="22" customHeight="1">
      <x:c r="A55" t="str">
        <x:v>Ja Morant</x:v>
      </x:c>
      <x:c r="B55" t="n">
        <x:v>20</x:v>
      </x:c>
      <x:c r="C55" s="22" t="n">
        <x:v>28.4</x:v>
      </x:c>
      <x:c r="D55" s="22" t="n">
        <x:v>19.5</x:v>
      </x:c>
      <x:c r="E55" s="22" t="n">
        <x:v>6.6</x:v>
      </x:c>
      <x:c r="F55" s="22" t="n">
        <x:v>16.1</x:v>
      </x:c>
      <x:c r="G55" s="22" t="n">
        <x:v>1</x:v>
      </x:c>
      <x:c r="H55" s="22" t="n">
        <x:v>5.3</x:v>
      </x:c>
      <x:c r="I55" s="22" t="n">
        <x:v>5.9</x:v>
      </x:c>
      <x:c r="J55" s="22" t="n">
        <x:v>0.4</x:v>
      </x:c>
      <x:c r="K55" s="22" t="n">
        <x:v>3.3</x:v>
      </x:c>
      <x:c r="L55" s="22" t="n">
        <x:v>8.1</x:v>
      </x:c>
      <x:c r="M55" s="22" t="n">
        <x:v>1</x:v>
      </x:c>
      <x:c r="N55" s="22" t="n">
        <x:v>0.3</x:v>
      </x:c>
      <x:c r="O55" s="22" t="n">
        <x:v>3.6</x:v>
      </x:c>
      <x:c r="P55" s="22" t="n">
        <x:f>D55*Scoring!$B$6+E55*Scoring!$B$7+(F55-E55)*Scoring!$B$8+H55*Scoring!$B$9+(I55-H55)*Scoring!$B$10+G55*Scoring!$B$11+J55*Scoring!$B$12+K55*Scoring!$B$13+L55*Scoring!$B$14+M55*Scoring!$B$15+N55*Scoring!$B$16+O55*Scoring!$B$17</x:f>
        <x:v>33.8</x:v>
      </x:c>
      <x:c r="Q55" t="str">
        <x:v>https://basketball.realgm.com/nba/stats/2026/Averages/All/points/All/desc/1/Regular_Season</x:v>
      </x:c>
    </x:row>
    <x:row r="56" ht="22" customHeight="1">
      <x:c r="A56" t="str">
        <x:v>Jaren Jackson Jr.</x:v>
      </x:c>
      <x:c r="B56" t="n">
        <x:v>48</x:v>
      </x:c>
      <x:c r="C56" s="22" t="n">
        <x:v>30.3</x:v>
      </x:c>
      <x:c r="D56" s="22" t="n">
        <x:v>19.4</x:v>
      </x:c>
      <x:c r="E56" s="22" t="n">
        <x:v>7.1</x:v>
      </x:c>
      <x:c r="F56" s="22" t="n">
        <x:v>15</x:v>
      </x:c>
      <x:c r="G56" s="22" t="n">
        <x:v>1.8</x:v>
      </x:c>
      <x:c r="H56" s="22" t="n">
        <x:v>3.4</x:v>
      </x:c>
      <x:c r="I56" s="22" t="n">
        <x:v>4.2</x:v>
      </x:c>
      <x:c r="J56" s="22" t="n">
        <x:v>0.9</x:v>
      </x:c>
      <x:c r="K56" s="22" t="n">
        <x:v>5.7</x:v>
      </x:c>
      <x:c r="L56" s="22" t="n">
        <x:v>2</x:v>
      </x:c>
      <x:c r="M56" s="22" t="n">
        <x:v>1.1</x:v>
      </x:c>
      <x:c r="N56" s="22" t="n">
        <x:v>1.4</x:v>
      </x:c>
      <x:c r="O56" s="22" t="n">
        <x:v>2.2</x:v>
      </x:c>
      <x:c r="P56" s="22" t="n">
        <x:f>D56*Scoring!$B$6+E56*Scoring!$B$7+(F56-E56)*Scoring!$B$8+H56*Scoring!$B$9+(I56-H56)*Scoring!$B$10+G56*Scoring!$B$11+J56*Scoring!$B$12+K56*Scoring!$B$13+L56*Scoring!$B$14+M56*Scoring!$B$15+N56*Scoring!$B$16+O56*Scoring!$B$17</x:f>
        <x:v>33.400000000000006</x:v>
      </x:c>
      <x:c r="Q56" t="str">
        <x:v>https://basketball.realgm.com/nba/stats/2026/Averages/All/points/All/desc/1/Regular_Season</x:v>
      </x:c>
    </x:row>
    <x:row r="57" ht="22" customHeight="1">
      <x:c r="A57" t="str">
        <x:v>RJ Barrett</x:v>
      </x:c>
      <x:c r="B57" t="n">
        <x:v>57</x:v>
      </x:c>
      <x:c r="C57" s="22" t="n">
        <x:v>30.3</x:v>
      </x:c>
      <x:c r="D57" s="22" t="n">
        <x:v>19.3</x:v>
      </x:c>
      <x:c r="E57" s="22" t="n">
        <x:v>7</x:v>
      </x:c>
      <x:c r="F57" s="22" t="n">
        <x:v>14.3</x:v>
      </x:c>
      <x:c r="G57" s="22" t="n">
        <x:v>1.7</x:v>
      </x:c>
      <x:c r="H57" s="22" t="n">
        <x:v>3.5</x:v>
      </x:c>
      <x:c r="I57" s="22" t="n">
        <x:v>4.9</x:v>
      </x:c>
      <x:c r="J57" s="22" t="n">
        <x:v>1</x:v>
      </x:c>
      <x:c r="K57" s="22" t="n">
        <x:v>5.3</x:v>
      </x:c>
      <x:c r="L57" s="22" t="n">
        <x:v>3.3</x:v>
      </x:c>
      <x:c r="M57" s="22" t="n">
        <x:v>0.7</x:v>
      </x:c>
      <x:c r="N57" s="22" t="n">
        <x:v>0.3</x:v>
      </x:c>
      <x:c r="O57" s="22" t="n">
        <x:v>1.7</x:v>
      </x:c>
      <x:c r="P57" s="22" t="n">
        <x:f>D57*Scoring!$B$6+E57*Scoring!$B$7+(F57-E57)*Scoring!$B$8+H57*Scoring!$B$9+(I57-H57)*Scoring!$B$10+G57*Scoring!$B$11+J57*Scoring!$B$12+K57*Scoring!$B$13+L57*Scoring!$B$14+M57*Scoring!$B$15+N57*Scoring!$B$16+O57*Scoring!$B$17</x:f>
        <x:v>33.5</x:v>
      </x:c>
      <x:c r="Q57" t="str">
        <x:v>https://basketball.realgm.com/nba/stats/2026/Averages/All/points/All/desc/1/Regular_Season</x:v>
      </x:c>
    </x:row>
    <x:row r="58" ht="22" customHeight="1">
      <x:c r="A58" t="str">
        <x:v>Zach LaVine</x:v>
      </x:c>
      <x:c r="B58" t="n">
        <x:v>39</x:v>
      </x:c>
      <x:c r="C58" s="22" t="n">
        <x:v>31.4</x:v>
      </x:c>
      <x:c r="D58" s="22" t="n">
        <x:v>19.2</x:v>
      </x:c>
      <x:c r="E58" s="22" t="n">
        <x:v>6.7</x:v>
      </x:c>
      <x:c r="F58" s="22" t="n">
        <x:v>14</x:v>
      </x:c>
      <x:c r="G58" s="22" t="n">
        <x:v>2.5</x:v>
      </x:c>
      <x:c r="H58" s="22" t="n">
        <x:v>3.2</x:v>
      </x:c>
      <x:c r="I58" s="22" t="n">
        <x:v>3.6</x:v>
      </x:c>
      <x:c r="J58" s="22" t="n">
        <x:v>0.2</x:v>
      </x:c>
      <x:c r="K58" s="22" t="n">
        <x:v>2.8</x:v>
      </x:c>
      <x:c r="L58" s="22" t="n">
        <x:v>2.3</x:v>
      </x:c>
      <x:c r="M58" s="22" t="n">
        <x:v>0.7</x:v>
      </x:c>
      <x:c r="N58" s="22" t="n">
        <x:v>0.3</x:v>
      </x:c>
      <x:c r="O58" s="22" t="n">
        <x:v>1.9</x:v>
      </x:c>
      <x:c r="P58" s="22" t="n">
        <x:f>D58*Scoring!$B$6+E58*Scoring!$B$7+(F58-E58)*Scoring!$B$8+H58*Scoring!$B$9+(I58-H58)*Scoring!$B$10+G58*Scoring!$B$11+J58*Scoring!$B$12+K58*Scoring!$B$13+L58*Scoring!$B$14+M58*Scoring!$B$15+N58*Scoring!$B$16+O58*Scoring!$B$17</x:f>
        <x:v>28.599999999999998</x:v>
      </x:c>
      <x:c r="Q58" t="str">
        <x:v>https://basketball.realgm.com/nba/stats/2026/Averages/All/points/All/desc/1/Regular_Season</x:v>
      </x:c>
    </x:row>
    <x:row r="59" ht="22" customHeight="1">
      <x:c r="A59" t="str">
        <x:v>Darius Garland</x:v>
      </x:c>
      <x:c r="B59" t="n">
        <x:v>45</x:v>
      </x:c>
      <x:c r="C59" s="22" t="n">
        <x:v>29.9</x:v>
      </x:c>
      <x:c r="D59" s="22" t="n">
        <x:v>18.8</x:v>
      </x:c>
      <x:c r="E59" s="22" t="n">
        <x:v>6.9</x:v>
      </x:c>
      <x:c r="F59" s="22" t="n">
        <x:v>14.9</x:v>
      </x:c>
      <x:c r="G59" s="22" t="n">
        <x:v>2.7</x:v>
      </x:c>
      <x:c r="H59" s="22" t="n">
        <x:v>2.3</x:v>
      </x:c>
      <x:c r="I59" s="22" t="n">
        <x:v>2.7</x:v>
      </x:c>
      <x:c r="J59" s="22" t="n">
        <x:v>0.4</x:v>
      </x:c>
      <x:c r="K59" s="22" t="n">
        <x:v>2.4</x:v>
      </x:c>
      <x:c r="L59" s="22" t="n">
        <x:v>6.7</x:v>
      </x:c>
      <x:c r="M59" s="22" t="n">
        <x:v>1</x:v>
      </x:c>
      <x:c r="N59" s="22" t="n">
        <x:v>0.2</x:v>
      </x:c>
      <x:c r="O59" s="22" t="n">
        <x:v>2.9</x:v>
      </x:c>
      <x:c r="P59" s="22" t="n">
        <x:f>D59*Scoring!$B$6+E59*Scoring!$B$7+(F59-E59)*Scoring!$B$8+H59*Scoring!$B$9+(I59-H59)*Scoring!$B$10+G59*Scoring!$B$11+J59*Scoring!$B$12+K59*Scoring!$B$13+L59*Scoring!$B$14+M59*Scoring!$B$15+N59*Scoring!$B$16+O59*Scoring!$B$17</x:f>
        <x:v>32.05</x:v>
      </x:c>
      <x:c r="Q59" t="str">
        <x:v>https://basketball.realgm.com/nba/stats/2026/Averages/All/points/All/desc/1/Regular_Season</x:v>
      </x:c>
    </x:row>
    <x:row r="60" ht="22" customHeight="1">
      <x:c r="A60" t="str">
        <x:v>CJ McCollum</x:v>
      </x:c>
      <x:c r="B60" t="n">
        <x:v>76</x:v>
      </x:c>
      <x:c r="C60" s="22" t="n">
        <x:v>29.8</x:v>
      </x:c>
      <x:c r="D60" s="22" t="n">
        <x:v>18.7</x:v>
      </x:c>
      <x:c r="E60" s="22" t="n">
        <x:v>6.9</x:v>
      </x:c>
      <x:c r="F60" s="22" t="n">
        <x:v>15.2</x:v>
      </x:c>
      <x:c r="G60" s="22" t="n">
        <x:v>2.5</x:v>
      </x:c>
      <x:c r="H60" s="22" t="n">
        <x:v>2.4</x:v>
      </x:c>
      <x:c r="I60" s="22" t="n">
        <x:v>3.1</x:v>
      </x:c>
      <x:c r="J60" s="22" t="n">
        <x:v>0.8</x:v>
      </x:c>
      <x:c r="K60" s="22" t="n">
        <x:v>3.3</x:v>
      </x:c>
      <x:c r="L60" s="22" t="n">
        <x:v>3.9</x:v>
      </x:c>
      <x:c r="M60" s="22" t="n">
        <x:v>0.8</x:v>
      </x:c>
      <x:c r="N60" s="22" t="n">
        <x:v>0.5</x:v>
      </x:c>
      <x:c r="O60" s="22" t="n">
        <x:v>1.8</x:v>
      </x:c>
      <x:c r="P60" s="22" t="n">
        <x:f>D60*Scoring!$B$6+E60*Scoring!$B$7+(F60-E60)*Scoring!$B$8+H60*Scoring!$B$9+(I60-H60)*Scoring!$B$10+G60*Scoring!$B$11+J60*Scoring!$B$12+K60*Scoring!$B$13+L60*Scoring!$B$14+M60*Scoring!$B$15+N60*Scoring!$B$16+O60*Scoring!$B$17</x:f>
        <x:v>31.000000000000007</x:v>
      </x:c>
      <x:c r="Q60" t="str">
        <x:v>https://basketball.realgm.com/nba/stats/2026/Averages/All/points/All/desc/1/Regular_Season</x:v>
      </x:c>
    </x:row>
    <x:row r="61" ht="22" customHeight="1">
      <x:c r="A61" t="str">
        <x:v>Jerami Grant</x:v>
      </x:c>
      <x:c r="B61" t="n">
        <x:v>57</x:v>
      </x:c>
      <x:c r="C61" s="22" t="n">
        <x:v>29.7</x:v>
      </x:c>
      <x:c r="D61" s="22" t="n">
        <x:v>18.6</x:v>
      </x:c>
      <x:c r="E61" s="22" t="n">
        <x:v>5.8</x:v>
      </x:c>
      <x:c r="F61" s="22" t="n">
        <x:v>12.8</x:v>
      </x:c>
      <x:c r="G61" s="22" t="n">
        <x:v>2.4</x:v>
      </x:c>
      <x:c r="H61" s="22" t="n">
        <x:v>4.6</x:v>
      </x:c>
      <x:c r="I61" s="22" t="n">
        <x:v>5.6</x:v>
      </x:c>
      <x:c r="J61" s="22" t="n">
        <x:v>1</x:v>
      </x:c>
      <x:c r="K61" s="22" t="n">
        <x:v>3.5</x:v>
      </x:c>
      <x:c r="L61" s="22" t="n">
        <x:v>2.1</x:v>
      </x:c>
      <x:c r="M61" s="22" t="n">
        <x:v>0.7</x:v>
      </x:c>
      <x:c r="N61" s="22" t="n">
        <x:v>0.6</x:v>
      </x:c>
      <x:c r="O61" s="22" t="n">
        <x:v>2.1</x:v>
      </x:c>
      <x:c r="P61" s="22" t="n">
        <x:f>D61*Scoring!$B$6+E61*Scoring!$B$7+(F61-E61)*Scoring!$B$8+H61*Scoring!$B$9+(I61-H61)*Scoring!$B$10+G61*Scoring!$B$11+J61*Scoring!$B$12+K61*Scoring!$B$13+L61*Scoring!$B$14+M61*Scoring!$B$15+N61*Scoring!$B$16+O61*Scoring!$B$17</x:f>
        <x:v>30.149999999999995</x:v>
      </x:c>
      <x:c r="Q61" t="str">
        <x:v>https://basketball.realgm.com/nba/stats/2026/Averages/All/points/All/desc/1/Regular_Season</x:v>
      </x:c>
    </x:row>
    <x:row r="62" ht="22" customHeight="1">
      <x:c r="A62" t="str">
        <x:v>De'Aaron Fox</x:v>
      </x:c>
      <x:c r="B62" t="n">
        <x:v>72</x:v>
      </x:c>
      <x:c r="C62" s="22" t="n">
        <x:v>31</x:v>
      </x:c>
      <x:c r="D62" s="22" t="n">
        <x:v>18.6</x:v>
      </x:c>
      <x:c r="E62" s="22" t="n">
        <x:v>7.1</x:v>
      </x:c>
      <x:c r="F62" s="22" t="n">
        <x:v>14.5</x:v>
      </x:c>
      <x:c r="G62" s="22" t="n">
        <x:v>1.8</x:v>
      </x:c>
      <x:c r="H62" s="22" t="n">
        <x:v>2.6</x:v>
      </x:c>
      <x:c r="I62" s="22" t="n">
        <x:v>3.4</x:v>
      </x:c>
      <x:c r="J62" s="22" t="n">
        <x:v>0.6</x:v>
      </x:c>
      <x:c r="K62" s="22" t="n">
        <x:v>3.8</x:v>
      </x:c>
      <x:c r="L62" s="22" t="n">
        <x:v>6.2</x:v>
      </x:c>
      <x:c r="M62" s="22" t="n">
        <x:v>1.2</x:v>
      </x:c>
      <x:c r="N62" s="22" t="n">
        <x:v>0.3</x:v>
      </x:c>
      <x:c r="O62" s="22" t="n">
        <x:v>2.3</x:v>
      </x:c>
      <x:c r="P62" s="22" t="n">
        <x:f>D62*Scoring!$B$6+E62*Scoring!$B$7+(F62-E62)*Scoring!$B$8+H62*Scoring!$B$9+(I62-H62)*Scoring!$B$10+G62*Scoring!$B$11+J62*Scoring!$B$12+K62*Scoring!$B$13+L62*Scoring!$B$14+M62*Scoring!$B$15+N62*Scoring!$B$16+O62*Scoring!$B$17</x:f>
        <x:v>34.45</x:v>
      </x:c>
      <x:c r="Q62" t="str">
        <x:v>https://basketball.realgm.com/nba/stats/2026/Averages/All/points/All/desc/1/Regular_Season</x:v>
      </x:c>
    </x:row>
    <x:row r="63" ht="22" customHeight="1">
      <x:c r="A63" t="str">
        <x:v>Kon Knueppel</x:v>
      </x:c>
      <x:c r="B63" t="n">
        <x:v>81</x:v>
      </x:c>
      <x:c r="C63" s="22" t="n">
        <x:v>31.5</x:v>
      </x:c>
      <x:c r="D63" s="22" t="n">
        <x:v>18.5</x:v>
      </x:c>
      <x:c r="E63" s="22" t="n">
        <x:v>6.4</x:v>
      </x:c>
      <x:c r="F63" s="22" t="n">
        <x:v>13.4</x:v>
      </x:c>
      <x:c r="G63" s="22" t="n">
        <x:v>3.4</x:v>
      </x:c>
      <x:c r="H63" s="22" t="n">
        <x:v>2.4</x:v>
      </x:c>
      <x:c r="I63" s="22" t="n">
        <x:v>2.8</x:v>
      </x:c>
      <x:c r="J63" s="22" t="n">
        <x:v>1.2</x:v>
      </x:c>
      <x:c r="K63" s="22" t="n">
        <x:v>5.3</x:v>
      </x:c>
      <x:c r="L63" s="22" t="n">
        <x:v>3.4</x:v>
      </x:c>
      <x:c r="M63" s="22" t="n">
        <x:v>0.7</x:v>
      </x:c>
      <x:c r="N63" s="22" t="n">
        <x:v>0.2</x:v>
      </x:c>
      <x:c r="O63" s="22" t="n">
        <x:v>2</x:v>
      </x:c>
      <x:c r="P63" s="22" t="n">
        <x:f>D63*Scoring!$B$6+E63*Scoring!$B$7+(F63-E63)*Scoring!$B$8+H63*Scoring!$B$9+(I63-H63)*Scoring!$B$10+G63*Scoring!$B$11+J63*Scoring!$B$12+K63*Scoring!$B$13+L63*Scoring!$B$14+M63*Scoring!$B$15+N63*Scoring!$B$16+O63*Scoring!$B$17</x:f>
        <x:v>33.79999999999999</x:v>
      </x:c>
      <x:c r="Q63" t="str">
        <x:v>https://basketball.realgm.com/nba/stats/2026/Averages/All/points/All/desc/1/Regular_Season</x:v>
      </x:c>
    </x:row>
    <x:row r="64" ht="22" customHeight="1">
      <x:c r="A64" t="str">
        <x:v>DeMar DeRozan</x:v>
      </x:c>
      <x:c r="B64" t="n">
        <x:v>77</x:v>
      </x:c>
      <x:c r="C64" s="22" t="n">
        <x:v>31.2</x:v>
      </x:c>
      <x:c r="D64" s="22" t="n">
        <x:v>18.4</x:v>
      </x:c>
      <x:c r="E64" s="22" t="n">
        <x:v>6.5</x:v>
      </x:c>
      <x:c r="F64" s="22" t="n">
        <x:v>13.1</x:v>
      </x:c>
      <x:c r="G64" s="22" t="n">
        <x:v>0.6</x:v>
      </x:c>
      <x:c r="H64" s="22" t="n">
        <x:v>4.9</x:v>
      </x:c>
      <x:c r="I64" s="22" t="n">
        <x:v>5.6</x:v>
      </x:c>
      <x:c r="J64" s="22" t="n">
        <x:v>0.5</x:v>
      </x:c>
      <x:c r="K64" s="22" t="n">
        <x:v>2.9</x:v>
      </x:c>
      <x:c r="L64" s="22" t="n">
        <x:v>4.1</x:v>
      </x:c>
      <x:c r="M64" s="22" t="n">
        <x:v>1</x:v>
      </x:c>
      <x:c r="N64" s="22" t="n">
        <x:v>0.3</x:v>
      </x:c>
      <x:c r="O64" s="22" t="n">
        <x:v>1.2</x:v>
      </x:c>
      <x:c r="P64" s="22" t="n">
        <x:f>D64*Scoring!$B$6+E64*Scoring!$B$7+(F64-E64)*Scoring!$B$8+H64*Scoring!$B$9+(I64-H64)*Scoring!$B$10+G64*Scoring!$B$11+J64*Scoring!$B$12+K64*Scoring!$B$13+L64*Scoring!$B$14+M64*Scoring!$B$15+N64*Scoring!$B$16+O64*Scoring!$B$17</x:f>
        <x:v>33.2</x:v>
      </x:c>
      <x:c r="Q64" t="str">
        <x:v>https://basketball.realgm.com/nba/stats/2026/Averages/All/points/All/desc/1/Regular_Season</x:v>
      </x:c>
    </x:row>
    <x:row r="65" ht="22" customHeight="1">
      <x:c r="A65" t="str">
        <x:v>Amen Thompson</x:v>
      </x:c>
      <x:c r="B65" t="n">
        <x:v>79</x:v>
      </x:c>
      <x:c r="C65" s="22" t="n">
        <x:v>37.4</x:v>
      </x:c>
      <x:c r="D65" s="22" t="n">
        <x:v>18.3</x:v>
      </x:c>
      <x:c r="E65" s="22" t="n">
        <x:v>7.1</x:v>
      </x:c>
      <x:c r="F65" s="22" t="n">
        <x:v>13.2</x:v>
      </x:c>
      <x:c r="G65" s="22" t="n">
        <x:v>0.3</x:v>
      </x:c>
      <x:c r="H65" s="22" t="n">
        <x:v>3.8</x:v>
      </x:c>
      <x:c r="I65" s="22" t="n">
        <x:v>4.9</x:v>
      </x:c>
      <x:c r="J65" s="22" t="n">
        <x:v>3</x:v>
      </x:c>
      <x:c r="K65" s="22" t="n">
        <x:v>7.8</x:v>
      </x:c>
      <x:c r="L65" s="22" t="n">
        <x:v>5.3</x:v>
      </x:c>
      <x:c r="M65" s="22" t="n">
        <x:v>1.5</x:v>
      </x:c>
      <x:c r="N65" s="22" t="n">
        <x:v>0.6</x:v>
      </x:c>
      <x:c r="O65" s="22" t="n">
        <x:v>2.4</x:v>
      </x:c>
      <x:c r="P65" s="22" t="n">
        <x:f>D65*Scoring!$B$6+E65*Scoring!$B$7+(F65-E65)*Scoring!$B$8+H65*Scoring!$B$9+(I65-H65)*Scoring!$B$10+G65*Scoring!$B$11+J65*Scoring!$B$12+K65*Scoring!$B$13+L65*Scoring!$B$14+M65*Scoring!$B$15+N65*Scoring!$B$16+O65*Scoring!$B$17</x:f>
        <x:v>43.15</x:v>
      </x:c>
      <x:c r="Q65" t="str">
        <x:v>https://basketball.realgm.com/nba/stats/2026/Averages/All/points/All/desc/1/Regular_Season</x:v>
      </x:c>
    </x:row>
    <x:row r="66" ht="22" customHeight="1">
      <x:c r="A66" t="str">
        <x:v>Evan Mobley</x:v>
      </x:c>
      <x:c r="B66" t="n">
        <x:v>65</x:v>
      </x:c>
      <x:c r="C66" s="22" t="n">
        <x:v>31.9</x:v>
      </x:c>
      <x:c r="D66" s="22" t="n">
        <x:v>18.2</x:v>
      </x:c>
      <x:c r="E66" s="22" t="n">
        <x:v>7.2</x:v>
      </x:c>
      <x:c r="F66" s="22" t="n">
        <x:v>13.2</x:v>
      </x:c>
      <x:c r="G66" s="22" t="n">
        <x:v>1</x:v>
      </x:c>
      <x:c r="H66" s="22" t="n">
        <x:v>2.8</x:v>
      </x:c>
      <x:c r="I66" s="22" t="n">
        <x:v>4.6</x:v>
      </x:c>
      <x:c r="J66" s="22" t="n">
        <x:v>2.4</x:v>
      </x:c>
      <x:c r="K66" s="22" t="n">
        <x:v>9</x:v>
      </x:c>
      <x:c r="L66" s="22" t="n">
        <x:v>3.6</x:v>
      </x:c>
      <x:c r="M66" s="22" t="n">
        <x:v>0.7</x:v>
      </x:c>
      <x:c r="N66" s="22" t="n">
        <x:v>1.7</x:v>
      </x:c>
      <x:c r="O66" s="22" t="n">
        <x:v>1.9</x:v>
      </x:c>
      <x:c r="P66" s="22" t="n">
        <x:f>D66*Scoring!$B$6+E66*Scoring!$B$7+(F66-E66)*Scoring!$B$8+H66*Scoring!$B$9+(I66-H66)*Scoring!$B$10+G66*Scoring!$B$11+J66*Scoring!$B$12+K66*Scoring!$B$13+L66*Scoring!$B$14+M66*Scoring!$B$15+N66*Scoring!$B$16+O66*Scoring!$B$17</x:f>
        <x:v>40.75</x:v>
      </x:c>
      <x:c r="Q66" t="str">
        <x:v>https://basketball.realgm.com/nba/stats/2026/Averages/All/points/All/desc/1/Regular_Season</x:v>
      </x:c>
    </x:row>
    <x:row r="67" ht="22" customHeight="1">
      <x:c r="A67" t="str">
        <x:v>Scottie Barnes</x:v>
      </x:c>
      <x:c r="B67" t="n">
        <x:v>80</x:v>
      </x:c>
      <x:c r="C67" s="22" t="n">
        <x:v>33.5</x:v>
      </x:c>
      <x:c r="D67" s="22" t="n">
        <x:v>18.1</x:v>
      </x:c>
      <x:c r="E67" s="22" t="n">
        <x:v>7.1</x:v>
      </x:c>
      <x:c r="F67" s="22" t="n">
        <x:v>14</x:v>
      </x:c>
      <x:c r="G67" s="22" t="n">
        <x:v>0.9</x:v>
      </x:c>
      <x:c r="H67" s="22" t="n">
        <x:v>3</x:v>
      </x:c>
      <x:c r="I67" s="22" t="n">
        <x:v>3.7</x:v>
      </x:c>
      <x:c r="J67" s="22" t="n">
        <x:v>1.9</x:v>
      </x:c>
      <x:c r="K67" s="22" t="n">
        <x:v>7.5</x:v>
      </x:c>
      <x:c r="L67" s="22" t="n">
        <x:v>5.9</x:v>
      </x:c>
      <x:c r="M67" s="22" t="n">
        <x:v>1.4</x:v>
      </x:c>
      <x:c r="N67" s="22" t="n">
        <x:v>1.5</x:v>
      </x:c>
      <x:c r="O67" s="22" t="n">
        <x:v>2.6</x:v>
      </x:c>
      <x:c r="P67" s="22" t="n">
        <x:f>D67*Scoring!$B$6+E67*Scoring!$B$7+(F67-E67)*Scoring!$B$8+H67*Scoring!$B$9+(I67-H67)*Scoring!$B$10+G67*Scoring!$B$11+J67*Scoring!$B$12+K67*Scoring!$B$13+L67*Scoring!$B$14+M67*Scoring!$B$15+N67*Scoring!$B$16+O67*Scoring!$B$17</x:f>
        <x:v>41.5</x:v>
      </x:c>
      <x:c r="Q67" t="str">
        <x:v>https://basketball.realgm.com/nba/stats/2026/Averages/All/points/All/desc/1/Regular_Season</x:v>
      </x:c>
    </x:row>
    <x:row r="68" ht="22" customHeight="1">
      <x:c r="A68" t="str">
        <x:v>Trae Young</x:v>
      </x:c>
      <x:c r="B68" t="n">
        <x:v>15</x:v>
      </x:c>
      <x:c r="C68" s="22" t="n">
        <x:v>25.6</x:v>
      </x:c>
      <x:c r="D68" s="22" t="n">
        <x:v>17.9</x:v>
      </x:c>
      <x:c r="E68" s="22" t="n">
        <x:v>5.4</x:v>
      </x:c>
      <x:c r="F68" s="22" t="n">
        <x:v>11.8</x:v>
      </x:c>
      <x:c r="G68" s="22" t="n">
        <x:v>1.8</x:v>
      </x:c>
      <x:c r="H68" s="22" t="n">
        <x:v>5.3</x:v>
      </x:c>
      <x:c r="I68" s="22" t="n">
        <x:v>6.5</x:v>
      </x:c>
      <x:c r="J68" s="22" t="n">
        <x:v>0.3</x:v>
      </x:c>
      <x:c r="K68" s="22" t="n">
        <x:v>2</x:v>
      </x:c>
      <x:c r="L68" s="22" t="n">
        <x:v>8</x:v>
      </x:c>
      <x:c r="M68" s="22" t="n">
        <x:v>0.9</x:v>
      </x:c>
      <x:c r="N68" s="22" t="n">
        <x:v>0.1</x:v>
      </x:c>
      <x:c r="O68" s="22" t="n">
        <x:v>2.6</x:v>
      </x:c>
      <x:c r="P68" s="22" t="n">
        <x:f>D68*Scoring!$B$6+E68*Scoring!$B$7+(F68-E68)*Scoring!$B$8+H68*Scoring!$B$9+(I68-H68)*Scoring!$B$10+G68*Scoring!$B$11+J68*Scoring!$B$12+K68*Scoring!$B$13+L68*Scoring!$B$14+M68*Scoring!$B$15+N68*Scoring!$B$16+O68*Scoring!$B$17</x:f>
        <x:v>34.15</x:v>
      </x:c>
      <x:c r="Q68" t="str">
        <x:v>https://basketball.realgm.com/nba/stats/2026/Averages/All/points/All/desc/1/Regular_Season</x:v>
      </x:c>
    </x:row>
    <x:row r="69" ht="22" customHeight="1">
      <x:c r="A69" t="str">
        <x:v>Jalen Green</x:v>
      </x:c>
      <x:c r="B69" t="n">
        <x:v>32</x:v>
      </x:c>
      <x:c r="C69" s="22" t="n">
        <x:v>25.9</x:v>
      </x:c>
      <x:c r="D69" s="22" t="n">
        <x:v>17.8</x:v>
      </x:c>
      <x:c r="E69" s="22" t="n">
        <x:v>6.8</x:v>
      </x:c>
      <x:c r="F69" s="22" t="n">
        <x:v>16</x:v>
      </x:c>
      <x:c r="G69" s="22" t="n">
        <x:v>2.2</x:v>
      </x:c>
      <x:c r="H69" s="22" t="n">
        <x:v>2</x:v>
      </x:c>
      <x:c r="I69" s="22" t="n">
        <x:v>2.7</x:v>
      </x:c>
      <x:c r="J69" s="22" t="n">
        <x:v>0.5</x:v>
      </x:c>
      <x:c r="K69" s="22" t="n">
        <x:v>3.6</x:v>
      </x:c>
      <x:c r="L69" s="22" t="n">
        <x:v>2.8</x:v>
      </x:c>
      <x:c r="M69" s="22" t="n">
        <x:v>1.1</x:v>
      </x:c>
      <x:c r="N69" s="22" t="n">
        <x:v>0.3</x:v>
      </x:c>
      <x:c r="O69" s="22" t="n">
        <x:v>2.3</x:v>
      </x:c>
      <x:c r="P69" s="22" t="n">
        <x:f>D69*Scoring!$B$6+E69*Scoring!$B$7+(F69-E69)*Scoring!$B$8+H69*Scoring!$B$9+(I69-H69)*Scoring!$B$10+G69*Scoring!$B$11+J69*Scoring!$B$12+K69*Scoring!$B$13+L69*Scoring!$B$14+M69*Scoring!$B$15+N69*Scoring!$B$16+O69*Scoring!$B$17</x:f>
        <x:v>25.75</x:v>
      </x:c>
      <x:c r="Q69" t="str">
        <x:v>https://basketball.realgm.com/nba/stats/2026/Averages/All/points/All/desc/1/Regular_Season</x:v>
      </x:c>
    </x:row>
    <x:row r="70" ht="22" customHeight="1">
      <x:c r="A70" t="str">
        <x:v>Saddiq Bey</x:v>
      </x:c>
      <x:c r="B70" t="n">
        <x:v>72</x:v>
      </x:c>
      <x:c r="C70" s="22" t="n">
        <x:v>31.2</x:v>
      </x:c>
      <x:c r="D70" s="22" t="n">
        <x:v>17.7</x:v>
      </x:c>
      <x:c r="E70" s="22" t="n">
        <x:v>6.1</x:v>
      </x:c>
      <x:c r="F70" s="22" t="n">
        <x:v>13.4</x:v>
      </x:c>
      <x:c r="G70" s="22" t="n">
        <x:v>2.1</x:v>
      </x:c>
      <x:c r="H70" s="22" t="n">
        <x:v>3.4</x:v>
      </x:c>
      <x:c r="I70" s="22" t="n">
        <x:v>4.1</x:v>
      </x:c>
      <x:c r="J70" s="22" t="n">
        <x:v>1.7</x:v>
      </x:c>
      <x:c r="K70" s="22" t="n">
        <x:v>5.6</x:v>
      </x:c>
      <x:c r="L70" s="22" t="n">
        <x:v>2.5</x:v>
      </x:c>
      <x:c r="M70" s="22" t="n">
        <x:v>0.9</x:v>
      </x:c>
      <x:c r="N70" s="22" t="n">
        <x:v>0.1</x:v>
      </x:c>
      <x:c r="O70" s="22" t="n">
        <x:v>0.9</x:v>
      </x:c>
      <x:c r="P70" s="22" t="n">
        <x:f>D70*Scoring!$B$6+E70*Scoring!$B$7+(F70-E70)*Scoring!$B$8+H70*Scoring!$B$9+(I70-H70)*Scoring!$B$10+G70*Scoring!$B$11+J70*Scoring!$B$12+K70*Scoring!$B$13+L70*Scoring!$B$14+M70*Scoring!$B$15+N70*Scoring!$B$16+O70*Scoring!$B$17</x:f>
        <x:v>34.199999999999996</x:v>
      </x:c>
      <x:c r="Q70" t="str">
        <x:v>https://basketball.realgm.com/nba/stats/2026/Averages/All/points/All/desc/1/Regular_Season</x:v>
      </x:c>
    </x:row>
    <x:row r="71" ht="22" customHeight="1">
      <x:c r="A71" t="str">
        <x:v>Bennedict Mathurin</x:v>
      </x:c>
      <x:c r="B71" t="n">
        <x:v>54</x:v>
      </x:c>
      <x:c r="C71" s="22" t="n">
        <x:v>30</x:v>
      </x:c>
      <x:c r="D71" s="22" t="n">
        <x:v>17.6</x:v>
      </x:c>
      <x:c r="E71" s="22" t="n">
        <x:v>5.4</x:v>
      </x:c>
      <x:c r="F71" s="22" t="n">
        <x:v>12.5</x:v>
      </x:c>
      <x:c r="G71" s="22" t="n">
        <x:v>1.4</x:v>
      </x:c>
      <x:c r="H71" s="22" t="n">
        <x:v>5.4</x:v>
      </x:c>
      <x:c r="I71" s="22" t="n">
        <x:v>6.2</x:v>
      </x:c>
      <x:c r="J71" s="22" t="n">
        <x:v>1</x:v>
      </x:c>
      <x:c r="K71" s="22" t="n">
        <x:v>5.4</x:v>
      </x:c>
      <x:c r="L71" s="22" t="n">
        <x:v>2.4</x:v>
      </x:c>
      <x:c r="M71" s="22" t="n">
        <x:v>0.8</x:v>
      </x:c>
      <x:c r="N71" s="22" t="n">
        <x:v>0.2</x:v>
      </x:c>
      <x:c r="O71" s="22" t="n">
        <x:v>2.2</x:v>
      </x:c>
      <x:c r="P71" s="22" t="n">
        <x:f>D71*Scoring!$B$6+E71*Scoring!$B$7+(F71-E71)*Scoring!$B$8+H71*Scoring!$B$9+(I71-H71)*Scoring!$B$10+G71*Scoring!$B$11+J71*Scoring!$B$12+K71*Scoring!$B$13+L71*Scoring!$B$14+M71*Scoring!$B$15+N71*Scoring!$B$16+O71*Scoring!$B$17</x:f>
        <x:v>30.4</x:v>
      </x:c>
      <x:c r="Q71" t="str">
        <x:v>https://basketball.realgm.com/nba/stats/2026/Averages/All/points/All/desc/1/Regular_Season</x:v>
      </x:c>
    </x:row>
    <x:row r="72" ht="22" customHeight="1">
      <x:c r="A72" t="str">
        <x:v>Kevin Porter Jr.</x:v>
      </x:c>
      <x:c r="B72" t="n">
        <x:v>38</x:v>
      </x:c>
      <x:c r="C72" s="22" t="n">
        <x:v>33.2</x:v>
      </x:c>
      <x:c r="D72" s="22" t="n">
        <x:v>17.4</x:v>
      </x:c>
      <x:c r="E72" s="22" t="n">
        <x:v>6.3</x:v>
      </x:c>
      <x:c r="F72" s="22" t="n">
        <x:v>13.5</x:v>
      </x:c>
      <x:c r="G72" s="22" t="n">
        <x:v>1.2</x:v>
      </x:c>
      <x:c r="H72" s="22" t="n">
        <x:v>3.6</x:v>
      </x:c>
      <x:c r="I72" s="22" t="n">
        <x:v>4.1</x:v>
      </x:c>
      <x:c r="J72" s="22" t="n">
        <x:v>0.9</x:v>
      </x:c>
      <x:c r="K72" s="22" t="n">
        <x:v>5.2</x:v>
      </x:c>
      <x:c r="L72" s="22" t="n">
        <x:v>7.4</x:v>
      </x:c>
      <x:c r="M72" s="22" t="n">
        <x:v>2.2</x:v>
      </x:c>
      <x:c r="N72" s="22" t="n">
        <x:v>0.5</x:v>
      </x:c>
      <x:c r="O72" s="22" t="n">
        <x:v>2.9</x:v>
      </x:c>
      <x:c r="P72" s="22" t="n">
        <x:f>D72*Scoring!$B$6+E72*Scoring!$B$7+(F72-E72)*Scoring!$B$8+H72*Scoring!$B$9+(I72-H72)*Scoring!$B$10+G72*Scoring!$B$11+J72*Scoring!$B$12+K72*Scoring!$B$13+L72*Scoring!$B$14+M72*Scoring!$B$15+N72*Scoring!$B$16+O72*Scoring!$B$17</x:f>
        <x:v>38.25000000000001</x:v>
      </x:c>
      <x:c r="Q72" t="str">
        <x:v>https://basketball.realgm.com/nba/stats/2026/Averages/All/points/All/desc/1/Regular_Season</x:v>
      </x:c>
    </x:row>
    <x:row r="73" ht="22" customHeight="1">
      <x:c r="A73" t="str">
        <x:v>Coby White</x:v>
      </x:c>
      <x:c r="B73" t="n">
        <x:v>50</x:v>
      </x:c>
      <x:c r="C73" s="22" t="n">
        <x:v>25</x:v>
      </x:c>
      <x:c r="D73" s="22" t="n">
        <x:v>17.4</x:v>
      </x:c>
      <x:c r="E73" s="22" t="n">
        <x:v>5.6</x:v>
      </x:c>
      <x:c r="F73" s="22" t="n">
        <x:v>12.5</x:v>
      </x:c>
      <x:c r="G73" s="22" t="n">
        <x:v>2.3</x:v>
      </x:c>
      <x:c r="H73" s="22" t="n">
        <x:v>3.9</x:v>
      </x:c>
      <x:c r="I73" s="22" t="n">
        <x:v>4.8</x:v>
      </x:c>
      <x:c r="J73" s="22" t="n">
        <x:v>0.3</x:v>
      </x:c>
      <x:c r="K73" s="22" t="n">
        <x:v>3.4</x:v>
      </x:c>
      <x:c r="L73" s="22" t="n">
        <x:v>4</x:v>
      </x:c>
      <x:c r="M73" s="22" t="n">
        <x:v>0.5</x:v>
      </x:c>
      <x:c r="N73" s="22" t="n">
        <x:v>0.1</x:v>
      </x:c>
      <x:c r="O73" s="22" t="n">
        <x:v>2.6</x:v>
      </x:c>
      <x:c r="P73" s="22" t="n">
        <x:f>D73*Scoring!$B$6+E73*Scoring!$B$7+(F73-E73)*Scoring!$B$8+H73*Scoring!$B$9+(I73-H73)*Scoring!$B$10+G73*Scoring!$B$11+J73*Scoring!$B$12+K73*Scoring!$B$13+L73*Scoring!$B$14+M73*Scoring!$B$15+N73*Scoring!$B$16+O73*Scoring!$B$17</x:f>
        <x:v>27.350000000000005</x:v>
      </x:c>
      <x:c r="Q73" t="str">
        <x:v>https://basketball.realgm.com/nba/stats/2026/Averages/All/points/All/desc/1/Regular_Season</x:v>
      </x:c>
    </x:row>
    <x:row r="74" ht="22" customHeight="1">
      <x:c r="A74" t="str">
        <x:v>Paul George</x:v>
      </x:c>
      <x:c r="B74" t="n">
        <x:v>37</x:v>
      </x:c>
      <x:c r="C74" s="22" t="n">
        <x:v>30.7</x:v>
      </x:c>
      <x:c r="D74" s="22" t="n">
        <x:v>17.3</x:v>
      </x:c>
      <x:c r="E74" s="22" t="n">
        <x:v>6.1</x:v>
      </x:c>
      <x:c r="F74" s="22" t="n">
        <x:v>13.9</x:v>
      </x:c>
      <x:c r="G74" s="22" t="n">
        <x:v>2.7</x:v>
      </x:c>
      <x:c r="H74" s="22" t="n">
        <x:v>2.5</x:v>
      </x:c>
      <x:c r="I74" s="22" t="n">
        <x:v>3</x:v>
      </x:c>
      <x:c r="J74" s="22" t="n">
        <x:v>0.5</x:v>
      </x:c>
      <x:c r="K74" s="22" t="n">
        <x:v>5.3</x:v>
      </x:c>
      <x:c r="L74" s="22" t="n">
        <x:v>3.6</x:v>
      </x:c>
      <x:c r="M74" s="22" t="n">
        <x:v>1.7</x:v>
      </x:c>
      <x:c r="N74" s="22" t="n">
        <x:v>0.4</x:v>
      </x:c>
      <x:c r="O74" s="22" t="n">
        <x:v>1.7</x:v>
      </x:c>
      <x:c r="P74" s="22" t="n">
        <x:f>D74*Scoring!$B$6+E74*Scoring!$B$7+(F74-E74)*Scoring!$B$8+H74*Scoring!$B$9+(I74-H74)*Scoring!$B$10+G74*Scoring!$B$11+J74*Scoring!$B$12+K74*Scoring!$B$13+L74*Scoring!$B$14+M74*Scoring!$B$15+N74*Scoring!$B$16+O74*Scoring!$B$17</x:f>
        <x:v>32.6</x:v>
      </x:c>
      <x:c r="Q74" t="str">
        <x:v>https://basketball.realgm.com/nba/stats/2026/Averages/All/points/All/desc/1/Regular_Season</x:v>
      </x:c>
    </x:row>
    <x:row r="75" ht="22" customHeight="1">
      <x:c r="A75" t="str">
        <x:v>Ryan Rollins</x:v>
      </x:c>
      <x:c r="B75" t="n">
        <x:v>74</x:v>
      </x:c>
      <x:c r="C75" s="22" t="n">
        <x:v>32.1</x:v>
      </x:c>
      <x:c r="D75" s="22" t="n">
        <x:v>17.3</x:v>
      </x:c>
      <x:c r="E75" s="22" t="n">
        <x:v>6.6</x:v>
      </x:c>
      <x:c r="F75" s="22" t="n">
        <x:v>13.9</x:v>
      </x:c>
      <x:c r="G75" s="22" t="n">
        <x:v>2.5</x:v>
      </x:c>
      <x:c r="H75" s="22" t="n">
        <x:v>1.7</x:v>
      </x:c>
      <x:c r="I75" s="22" t="n">
        <x:v>2.1</x:v>
      </x:c>
      <x:c r="J75" s="22" t="n">
        <x:v>0.7</x:v>
      </x:c>
      <x:c r="K75" s="22" t="n">
        <x:v>4.6</x:v>
      </x:c>
      <x:c r="L75" s="22" t="n">
        <x:v>5.6</x:v>
      </x:c>
      <x:c r="M75" s="22" t="n">
        <x:v>1.5</x:v>
      </x:c>
      <x:c r="N75" s="22" t="n">
        <x:v>0.4</x:v>
      </x:c>
      <x:c r="O75" s="22" t="n">
        <x:v>2.7</x:v>
      </x:c>
      <x:c r="P75" s="22" t="n">
        <x:f>D75*Scoring!$B$6+E75*Scoring!$B$7+(F75-E75)*Scoring!$B$8+H75*Scoring!$B$9+(I75-H75)*Scoring!$B$10+G75*Scoring!$B$11+J75*Scoring!$B$12+K75*Scoring!$B$13+L75*Scoring!$B$14+M75*Scoring!$B$15+N75*Scoring!$B$16+O75*Scoring!$B$17</x:f>
        <x:v>33</x:v>
      </x:c>
      <x:c r="Q75" t="str">
        <x:v>https://basketball.realgm.com/nba/stats/2026/Averages/All/points/All/desc/1/Regular_Season</x:v>
      </x:c>
    </x:row>
    <x:row r="76" ht="22" customHeight="1">
      <x:c r="A76" t="str">
        <x:v>Chet Holmgren</x:v>
      </x:c>
      <x:c r="B76" t="n">
        <x:v>69</x:v>
      </x:c>
      <x:c r="C76" s="22" t="n">
        <x:v>28.9</x:v>
      </x:c>
      <x:c r="D76" s="22" t="n">
        <x:v>17.1</x:v>
      </x:c>
      <x:c r="E76" s="22" t="n">
        <x:v>6.3</x:v>
      </x:c>
      <x:c r="F76" s="22" t="n">
        <x:v>11.3</x:v>
      </x:c>
      <x:c r="G76" s="22" t="n">
        <x:v>1.3</x:v>
      </x:c>
      <x:c r="H76" s="22" t="n">
        <x:v>3.3</x:v>
      </x:c>
      <x:c r="I76" s="22" t="n">
        <x:v>4.1</x:v>
      </x:c>
      <x:c r="J76" s="22" t="n">
        <x:v>1.9</x:v>
      </x:c>
      <x:c r="K76" s="22" t="n">
        <x:v>8.9</x:v>
      </x:c>
      <x:c r="L76" s="22" t="n">
        <x:v>1.7</x:v>
      </x:c>
      <x:c r="M76" s="22" t="n">
        <x:v>0.6</x:v>
      </x:c>
      <x:c r="N76" s="22" t="n">
        <x:v>1.9</x:v>
      </x:c>
      <x:c r="O76" s="22" t="n">
        <x:v>1.6</x:v>
      </x:c>
      <x:c r="P76" s="22" t="n">
        <x:f>D76*Scoring!$B$6+E76*Scoring!$B$7+(F76-E76)*Scoring!$B$8+H76*Scoring!$B$9+(I76-H76)*Scoring!$B$10+G76*Scoring!$B$11+J76*Scoring!$B$12+K76*Scoring!$B$13+L76*Scoring!$B$14+M76*Scoring!$B$15+N76*Scoring!$B$16+O76*Scoring!$B$17</x:f>
        <x:v>38.300000000000004</x:v>
      </x:c>
      <x:c r="Q76" t="str">
        <x:v>https://basketball.realgm.com/nba/stats/2026/Averages/All/points/All/desc/1/Regular_Season</x:v>
      </x:c>
    </x:row>
    <x:row r="77" ht="22" customHeight="1">
      <x:c r="A77" t="str">
        <x:v>Miles Bridges</x:v>
      </x:c>
      <x:c r="B77" t="n">
        <x:v>77</x:v>
      </x:c>
      <x:c r="C77" s="22" t="n">
        <x:v>31</x:v>
      </x:c>
      <x:c r="D77" s="22" t="n">
        <x:v>17.1</x:v>
      </x:c>
      <x:c r="E77" s="22" t="n">
        <x:v>6.2</x:v>
      </x:c>
      <x:c r="F77" s="22" t="n">
        <x:v>13.5</x:v>
      </x:c>
      <x:c r="G77" s="22" t="n">
        <x:v>1.9</x:v>
      </x:c>
      <x:c r="H77" s="22" t="n">
        <x:v>2.7</x:v>
      </x:c>
      <x:c r="I77" s="22" t="n">
        <x:v>3.3</x:v>
      </x:c>
      <x:c r="J77" s="22" t="n">
        <x:v>1</x:v>
      </x:c>
      <x:c r="K77" s="22" t="n">
        <x:v>5.8</x:v>
      </x:c>
      <x:c r="L77" s="22" t="n">
        <x:v>3.2</x:v>
      </x:c>
      <x:c r="M77" s="22" t="n">
        <x:v>0.6</x:v>
      </x:c>
      <x:c r="N77" s="22" t="n">
        <x:v>0.4</x:v>
      </x:c>
      <x:c r="O77" s="22" t="n">
        <x:v>1.4</x:v>
      </x:c>
      <x:c r="P77" s="22" t="n">
        <x:f>D77*Scoring!$B$6+E77*Scoring!$B$7+(F77-E77)*Scoring!$B$8+H77*Scoring!$B$9+(I77-H77)*Scoring!$B$10+G77*Scoring!$B$11+J77*Scoring!$B$12+K77*Scoring!$B$13+L77*Scoring!$B$14+M77*Scoring!$B$15+N77*Scoring!$B$16+O77*Scoring!$B$17</x:f>
        <x:v>31.600000000000005</x:v>
      </x:c>
      <x:c r="Q77" t="str">
        <x:v>https://basketball.realgm.com/nba/stats/2026/Averages/All/points/All/desc/1/Regular_Season</x:v>
      </x:c>
    </x:row>
    <x:row r="78" ht="22" customHeight="1">
      <x:c r="A78" t="str">
        <x:v>Jalen Williams</x:v>
      </x:c>
      <x:c r="B78" t="n">
        <x:v>33</x:v>
      </x:c>
      <x:c r="C78" s="22" t="n">
        <x:v>28.4</x:v>
      </x:c>
      <x:c r="D78" s="22" t="n">
        <x:v>17.1</x:v>
      </x:c>
      <x:c r="E78" s="22" t="n">
        <x:v>6.5</x:v>
      </x:c>
      <x:c r="F78" s="22" t="n">
        <x:v>13.5</x:v>
      </x:c>
      <x:c r="G78" s="22" t="n">
        <x:v>0.7</x:v>
      </x:c>
      <x:c r="H78" s="22" t="n">
        <x:v>3.3</x:v>
      </x:c>
      <x:c r="I78" s="22" t="n">
        <x:v>3.9</x:v>
      </x:c>
      <x:c r="J78" s="22" t="n">
        <x:v>0.8</x:v>
      </x:c>
      <x:c r="K78" s="22" t="n">
        <x:v>4.6</x:v>
      </x:c>
      <x:c r="L78" s="22" t="n">
        <x:v>5.5</x:v>
      </x:c>
      <x:c r="M78" s="22" t="n">
        <x:v>1.2</x:v>
      </x:c>
      <x:c r="N78" s="22" t="n">
        <x:v>0.3</x:v>
      </x:c>
      <x:c r="O78" s="22" t="n">
        <x:v>1.9</x:v>
      </x:c>
      <x:c r="P78" s="22" t="n">
        <x:f>D78*Scoring!$B$6+E78*Scoring!$B$7+(F78-E78)*Scoring!$B$8+H78*Scoring!$B$9+(I78-H78)*Scoring!$B$10+G78*Scoring!$B$11+J78*Scoring!$B$12+K78*Scoring!$B$13+L78*Scoring!$B$14+M78*Scoring!$B$15+N78*Scoring!$B$16+O78*Scoring!$B$17</x:f>
        <x:v>33.50000000000001</x:v>
      </x:c>
      <x:c r="Q78" t="str">
        <x:v>https://basketball.realgm.com/nba/stats/2026/Averages/All/points/All/desc/1/Regular_Season</x:v>
      </x:c>
    </x:row>
    <x:row r="79" ht="22" customHeight="1">
      <x:c r="A79" t="str">
        <x:v>Payton Pritchard</x:v>
      </x:c>
      <x:c r="B79" t="n">
        <x:v>79</x:v>
      </x:c>
      <x:c r="C79" s="22" t="n">
        <x:v>32.3</x:v>
      </x:c>
      <x:c r="D79" s="22" t="n">
        <x:v>17</x:v>
      </x:c>
      <x:c r="E79" s="22" t="n">
        <x:v>6.4</x:v>
      </x:c>
      <x:c r="F79" s="22" t="n">
        <x:v>13.8</x:v>
      </x:c>
      <x:c r="G79" s="22" t="n">
        <x:v>2.7</x:v>
      </x:c>
      <x:c r="H79" s="22" t="n">
        <x:v>1.5</x:v>
      </x:c>
      <x:c r="I79" s="22" t="n">
        <x:v>1.7</x:v>
      </x:c>
      <x:c r="J79" s="22" t="n">
        <x:v>0.9</x:v>
      </x:c>
      <x:c r="K79" s="22" t="n">
        <x:v>3.9</x:v>
      </x:c>
      <x:c r="L79" s="22" t="n">
        <x:v>5.2</x:v>
      </x:c>
      <x:c r="M79" s="22" t="n">
        <x:v>0.7</x:v>
      </x:c>
      <x:c r="N79" s="22" t="n">
        <x:v>0.1</x:v>
      </x:c>
      <x:c r="O79" s="22" t="n">
        <x:v>1.4</x:v>
      </x:c>
      <x:c r="P79" s="22" t="n">
        <x:f>D79*Scoring!$B$6+E79*Scoring!$B$7+(F79-E79)*Scoring!$B$8+H79*Scoring!$B$9+(I79-H79)*Scoring!$B$10+G79*Scoring!$B$11+J79*Scoring!$B$12+K79*Scoring!$B$13+L79*Scoring!$B$14+M79*Scoring!$B$15+N79*Scoring!$B$16+O79*Scoring!$B$17</x:f>
        <x:v>32.25</x:v>
      </x:c>
      <x:c r="Q79" t="str">
        <x:v>https://basketball.realgm.com/nba/stats/2026/Averages/All/points/All/desc/1/Regular_Season</x:v>
      </x:c>
    </x:row>
    <x:row r="80" ht="22" customHeight="1">
      <x:c r="A80" t="str">
        <x:v>Josh Giddey</x:v>
      </x:c>
      <x:c r="B80" t="n">
        <x:v>54</x:v>
      </x:c>
      <x:c r="C80" s="22" t="n">
        <x:v>32.1</x:v>
      </x:c>
      <x:c r="D80" s="22" t="n">
        <x:v>17</x:v>
      </x:c>
      <x:c r="E80" s="22" t="n">
        <x:v>5.9</x:v>
      </x:c>
      <x:c r="F80" s="22" t="n">
        <x:v>13.3</x:v>
      </x:c>
      <x:c r="G80" s="22" t="n">
        <x:v>1.9</x:v>
      </x:c>
      <x:c r="H80" s="22" t="n">
        <x:v>3.2</x:v>
      </x:c>
      <x:c r="I80" s="22" t="n">
        <x:v>4.2</x:v>
      </x:c>
      <x:c r="J80" s="22" t="n">
        <x:v>1.2</x:v>
      </x:c>
      <x:c r="K80" s="22" t="n">
        <x:v>8.3</x:v>
      </x:c>
      <x:c r="L80" s="22" t="n">
        <x:v>9.1</x:v>
      </x:c>
      <x:c r="M80" s="22" t="n">
        <x:v>1</x:v>
      </x:c>
      <x:c r="N80" s="22" t="n">
        <x:v>0.5</x:v>
      </x:c>
      <x:c r="O80" s="22" t="n">
        <x:v>3.6</x:v>
      </x:c>
      <x:c r="P80" s="22" t="n">
        <x:f>D80*Scoring!$B$6+E80*Scoring!$B$7+(F80-E80)*Scoring!$B$8+H80*Scoring!$B$9+(I80-H80)*Scoring!$B$10+G80*Scoring!$B$11+J80*Scoring!$B$12+K80*Scoring!$B$13+L80*Scoring!$B$14+M80*Scoring!$B$15+N80*Scoring!$B$16+O80*Scoring!$B$17</x:f>
        <x:v>39.49999999999999</x:v>
      </x:c>
      <x:c r="Q80" t="str">
        <x:v>https://basketball.realgm.com/nba/stats/2026/Averages/All/points/All/desc/1/Regular_Season</x:v>
      </x:c>
    </x:row>
    <x:row r="81" ht="22" customHeight="1">
      <x:c r="A81" t="str">
        <x:v>Andrew Nembhard</x:v>
      </x:c>
      <x:c r="B81" t="n">
        <x:v>57</x:v>
      </x:c>
      <x:c r="C81" s="22" t="n">
        <x:v>31.3</x:v>
      </x:c>
      <x:c r="D81" s="22" t="n">
        <x:v>16.9</x:v>
      </x:c>
      <x:c r="E81" s="22" t="n">
        <x:v>5.8</x:v>
      </x:c>
      <x:c r="F81" s="22" t="n">
        <x:v>13.2</x:v>
      </x:c>
      <x:c r="G81" s="22" t="n">
        <x:v>1.9</x:v>
      </x:c>
      <x:c r="H81" s="22" t="n">
        <x:v>3.4</x:v>
      </x:c>
      <x:c r="I81" s="22" t="n">
        <x:v>4.1</x:v>
      </x:c>
      <x:c r="J81" s="22" t="n">
        <x:v>0.4</x:v>
      </x:c>
      <x:c r="K81" s="22" t="n">
        <x:v>2.8</x:v>
      </x:c>
      <x:c r="L81" s="22" t="n">
        <x:v>7.7</x:v>
      </x:c>
      <x:c r="M81" s="22" t="n">
        <x:v>0.9</x:v>
      </x:c>
      <x:c r="N81" s="22" t="n">
        <x:v>0.1</x:v>
      </x:c>
      <x:c r="O81" s="22" t="n">
        <x:v>2.4</x:v>
      </x:c>
      <x:c r="P81" s="22" t="n">
        <x:f>D81*Scoring!$B$6+E81*Scoring!$B$7+(F81-E81)*Scoring!$B$8+H81*Scoring!$B$9+(I81-H81)*Scoring!$B$10+G81*Scoring!$B$11+J81*Scoring!$B$12+K81*Scoring!$B$13+L81*Scoring!$B$14+M81*Scoring!$B$15+N81*Scoring!$B$16+O81*Scoring!$B$17</x:f>
        <x:v>32.199999999999996</x:v>
      </x:c>
      <x:c r="Q81" t="str">
        <x:v>https://basketball.realgm.com/nba/stats/2026/Averages/All/points/All/desc/1/Regular_Season</x:v>
      </x:c>
    </x:row>
    <x:row r="82" ht="22" customHeight="1">
      <x:c r="A82" t="str">
        <x:v>Dejounte Murray</x:v>
      </x:c>
      <x:c r="B82" t="n">
        <x:v>14</x:v>
      </x:c>
      <x:c r="C82" s="22" t="n">
        <x:v>27.8</x:v>
      </x:c>
      <x:c r="D82" s="22" t="n">
        <x:v>16.7</x:v>
      </x:c>
      <x:c r="E82" s="22" t="n">
        <x:v>6.3</x:v>
      </x:c>
      <x:c r="F82" s="22" t="n">
        <x:v>13</x:v>
      </x:c>
      <x:c r="G82" s="22" t="n">
        <x:v>1.4</x:v>
      </x:c>
      <x:c r="H82" s="22" t="n">
        <x:v>2.8</x:v>
      </x:c>
      <x:c r="I82" s="22" t="n">
        <x:v>3.2</x:v>
      </x:c>
      <x:c r="J82" s="22" t="n">
        <x:v>0.3</x:v>
      </x:c>
      <x:c r="K82" s="22" t="n">
        <x:v>5.4</x:v>
      </x:c>
      <x:c r="L82" s="22" t="n">
        <x:v>6.4</x:v>
      </x:c>
      <x:c r="M82" s="22" t="n">
        <x:v>1.6</x:v>
      </x:c>
      <x:c r="N82" s="22" t="n">
        <x:v>0.2</x:v>
      </x:c>
      <x:c r="O82" s="22" t="n">
        <x:v>3.4</x:v>
      </x:c>
      <x:c r="P82" s="22" t="n">
        <x:f>D82*Scoring!$B$6+E82*Scoring!$B$7+(F82-E82)*Scoring!$B$8+H82*Scoring!$B$9+(I82-H82)*Scoring!$B$10+G82*Scoring!$B$11+J82*Scoring!$B$12+K82*Scoring!$B$13+L82*Scoring!$B$14+M82*Scoring!$B$15+N82*Scoring!$B$16+O82*Scoring!$B$17</x:f>
        <x:v>32.400000000000006</x:v>
      </x:c>
      <x:c r="Q82" t="str">
        <x:v>https://basketball.realgm.com/nba/stats/2026/Averages/All/points/All/desc/1/Regular_Season</x:v>
      </x:c>
    </x:row>
    <x:row r="83" ht="22" customHeight="1">
      <x:c r="A83" t="str">
        <x:v>OG Anunoby</x:v>
      </x:c>
      <x:c r="B83" t="n">
        <x:v>67</x:v>
      </x:c>
      <x:c r="C83" s="22" t="n">
        <x:v>33.2</x:v>
      </x:c>
      <x:c r="D83" s="22" t="n">
        <x:v>16.7</x:v>
      </x:c>
      <x:c r="E83" s="22" t="n">
        <x:v>5.8</x:v>
      </x:c>
      <x:c r="F83" s="22" t="n">
        <x:v>12</x:v>
      </x:c>
      <x:c r="G83" s="22" t="n">
        <x:v>2.3</x:v>
      </x:c>
      <x:c r="H83" s="22" t="n">
        <x:v>2.7</x:v>
      </x:c>
      <x:c r="I83" s="22" t="n">
        <x:v>3.3</x:v>
      </x:c>
      <x:c r="J83" s="22" t="n">
        <x:v>1.3</x:v>
      </x:c>
      <x:c r="K83" s="22" t="n">
        <x:v>5.2</x:v>
      </x:c>
      <x:c r="L83" s="22" t="n">
        <x:v>2.2</x:v>
      </x:c>
      <x:c r="M83" s="22" t="n">
        <x:v>1.6</x:v>
      </x:c>
      <x:c r="N83" s="22" t="n">
        <x:v>0.7</x:v>
      </x:c>
      <x:c r="O83" s="22" t="n">
        <x:v>1.8</x:v>
      </x:c>
      <x:c r="P83" s="22" t="n">
        <x:f>D83*Scoring!$B$6+E83*Scoring!$B$7+(F83-E83)*Scoring!$B$8+H83*Scoring!$B$9+(I83-H83)*Scoring!$B$10+G83*Scoring!$B$11+J83*Scoring!$B$12+K83*Scoring!$B$13+L83*Scoring!$B$14+M83*Scoring!$B$15+N83*Scoring!$B$16+O83*Scoring!$B$17</x:f>
        <x:v>32.449999999999996</x:v>
      </x:c>
      <x:c r="Q83" t="str">
        <x:v>https://basketball.realgm.com/nba/stats/2026/Averages/All/points/All/desc/1/Regular_Season</x:v>
      </x:c>
    </x:row>
    <x:row r="84" ht="22" customHeight="1">
      <x:c r="A84" t="str">
        <x:v>Stephon Castle</x:v>
      </x:c>
      <x:c r="B84" t="n">
        <x:v>68</x:v>
      </x:c>
      <x:c r="C84" s="22" t="n">
        <x:v>30</x:v>
      </x:c>
      <x:c r="D84" s="22" t="n">
        <x:v>16.7</x:v>
      </x:c>
      <x:c r="E84" s="22" t="n">
        <x:v>5.7</x:v>
      </x:c>
      <x:c r="F84" s="22" t="n">
        <x:v>12</x:v>
      </x:c>
      <x:c r="G84" s="22" t="n">
        <x:v>1.2</x:v>
      </x:c>
      <x:c r="H84" s="22" t="n">
        <x:v>4.1</x:v>
      </x:c>
      <x:c r="I84" s="22" t="n">
        <x:v>5.6</x:v>
      </x:c>
      <x:c r="J84" s="22" t="n">
        <x:v>1.4</x:v>
      </x:c>
      <x:c r="K84" s="22" t="n">
        <x:v>5.3</x:v>
      </x:c>
      <x:c r="L84" s="22" t="n">
        <x:v>7.4</x:v>
      </x:c>
      <x:c r="M84" s="22" t="n">
        <x:v>1.1</x:v>
      </x:c>
      <x:c r="N84" s="22" t="n">
        <x:v>0.3</x:v>
      </x:c>
      <x:c r="O84" s="22" t="n">
        <x:v>3.2</x:v>
      </x:c>
      <x:c r="P84" s="22" t="n">
        <x:f>D84*Scoring!$B$6+E84*Scoring!$B$7+(F84-E84)*Scoring!$B$8+H84*Scoring!$B$9+(I84-H84)*Scoring!$B$10+G84*Scoring!$B$11+J84*Scoring!$B$12+K84*Scoring!$B$13+L84*Scoring!$B$14+M84*Scoring!$B$15+N84*Scoring!$B$16+O84*Scoring!$B$17</x:f>
        <x:v>35.35</x:v>
      </x:c>
      <x:c r="Q84" t="str">
        <x:v>https://basketball.realgm.com/nba/stats/2026/Averages/All/points/All/desc/1/Regular_Season</x:v>
      </x:c>
    </x:row>
    <x:row r="85" ht="22" customHeight="1">
      <x:c r="A85" t="str">
        <x:v>Kristaps Porzingis</x:v>
      </x:c>
      <x:c r="B85" t="n">
        <x:v>32</x:v>
      </x:c>
      <x:c r="C85" s="22" t="n">
        <x:v>24</x:v>
      </x:c>
      <x:c r="D85" s="22" t="n">
        <x:v>16.7</x:v>
      </x:c>
      <x:c r="E85" s="22" t="n">
        <x:v>5.4</x:v>
      </x:c>
      <x:c r="F85" s="22" t="n">
        <x:v>12.1</x:v>
      </x:c>
      <x:c r="G85" s="22" t="n">
        <x:v>1.7</x:v>
      </x:c>
      <x:c r="H85" s="22" t="n">
        <x:v>4.2</x:v>
      </x:c>
      <x:c r="I85" s="22" t="n">
        <x:v>4.9</x:v>
      </x:c>
      <x:c r="J85" s="22" t="n">
        <x:v>1.3</x:v>
      </x:c>
      <x:c r="K85" s="22" t="n">
        <x:v>5.2</x:v>
      </x:c>
      <x:c r="L85" s="22" t="n">
        <x:v>2.5</x:v>
      </x:c>
      <x:c r="M85" s="22" t="n">
        <x:v>0.6</x:v>
      </x:c>
      <x:c r="N85" s="22" t="n">
        <x:v>1.2</x:v>
      </x:c>
      <x:c r="O85" s="22" t="n">
        <x:v>1.3</x:v>
      </x:c>
      <x:c r="P85" s="22" t="n">
        <x:f>D85*Scoring!$B$6+E85*Scoring!$B$7+(F85-E85)*Scoring!$B$8+H85*Scoring!$B$9+(I85-H85)*Scoring!$B$10+G85*Scoring!$B$11+J85*Scoring!$B$12+K85*Scoring!$B$13+L85*Scoring!$B$14+M85*Scoring!$B$15+N85*Scoring!$B$16+O85*Scoring!$B$17</x:f>
        <x:v>32.550000000000004</x:v>
      </x:c>
      <x:c r="Q85" t="str">
        <x:v>https://basketball.realgm.com/nba/stats/2026/Averages/All/points/All/desc/1/Regular_Season</x:v>
      </x:c>
    </x:row>
    <x:row r="86" ht="22" customHeight="1">
      <x:c r="A86" t="str">
        <x:v>Derrick White</x:v>
      </x:c>
      <x:c r="B86" t="n">
        <x:v>77</x:v>
      </x:c>
      <x:c r="C86" s="22" t="n">
        <x:v>34.1</x:v>
      </x:c>
      <x:c r="D86" s="22" t="n">
        <x:v>16.5</x:v>
      </x:c>
      <x:c r="E86" s="22" t="n">
        <x:v>5.7</x:v>
      </x:c>
      <x:c r="F86" s="22" t="n">
        <x:v>14.4</x:v>
      </x:c>
      <x:c r="G86" s="22" t="n">
        <x:v>2.7</x:v>
      </x:c>
      <x:c r="H86" s="22" t="n">
        <x:v>2.4</x:v>
      </x:c>
      <x:c r="I86" s="22" t="n">
        <x:v>2.6</x:v>
      </x:c>
      <x:c r="J86" s="22" t="n">
        <x:v>1.1</x:v>
      </x:c>
      <x:c r="K86" s="22" t="n">
        <x:v>4.4</x:v>
      </x:c>
      <x:c r="L86" s="22" t="n">
        <x:v>5.4</x:v>
      </x:c>
      <x:c r="M86" s="22" t="n">
        <x:v>1.1</x:v>
      </x:c>
      <x:c r="N86" s="22" t="n">
        <x:v>1.3</x:v>
      </x:c>
      <x:c r="O86" s="22" t="n">
        <x:v>1.7</x:v>
      </x:c>
      <x:c r="P86" s="22" t="n">
        <x:f>D86*Scoring!$B$6+E86*Scoring!$B$7+(F86-E86)*Scoring!$B$8+H86*Scoring!$B$9+(I86-H86)*Scoring!$B$10+G86*Scoring!$B$11+J86*Scoring!$B$12+K86*Scoring!$B$13+L86*Scoring!$B$14+M86*Scoring!$B$15+N86*Scoring!$B$16+O86*Scoring!$B$17</x:f>
        <x:v>33.85000000000001</x:v>
      </x:c>
      <x:c r="Q86" t="str">
        <x:v>https://basketball.realgm.com/nba/stats/2026/Averages/All/points/All/desc/1/Regular_Season</x:v>
      </x:c>
    </x:row>
    <x:row r="87" ht="22" customHeight="1">
      <x:c r="A87" t="str">
        <x:v>Immanuel Quickley</x:v>
      </x:c>
      <x:c r="B87" t="n">
        <x:v>70</x:v>
      </x:c>
      <x:c r="C87" s="22" t="n">
        <x:v>31.9</x:v>
      </x:c>
      <x:c r="D87" s="22" t="n">
        <x:v>16.4</x:v>
      </x:c>
      <x:c r="E87" s="22" t="n">
        <x:v>5.7</x:v>
      </x:c>
      <x:c r="F87" s="22" t="n">
        <x:v>12.9</x:v>
      </x:c>
      <x:c r="G87" s="22" t="n">
        <x:v>2.5</x:v>
      </x:c>
      <x:c r="H87" s="22" t="n">
        <x:v>2.4</x:v>
      </x:c>
      <x:c r="I87" s="22" t="n">
        <x:v>3</x:v>
      </x:c>
      <x:c r="J87" s="22" t="n">
        <x:v>0.5</x:v>
      </x:c>
      <x:c r="K87" s="22" t="n">
        <x:v>4</x:v>
      </x:c>
      <x:c r="L87" s="22" t="n">
        <x:v>5.9</x:v>
      </x:c>
      <x:c r="M87" s="22" t="n">
        <x:v>1.3</x:v>
      </x:c>
      <x:c r="N87" s="22" t="n">
        <x:v>0.1</x:v>
      </x:c>
      <x:c r="O87" s="22" t="n">
        <x:v>1.5</x:v>
      </x:c>
      <x:c r="P87" s="22" t="n">
        <x:f>D87*Scoring!$B$6+E87*Scoring!$B$7+(F87-E87)*Scoring!$B$8+H87*Scoring!$B$9+(I87-H87)*Scoring!$B$10+G87*Scoring!$B$11+J87*Scoring!$B$12+K87*Scoring!$B$13+L87*Scoring!$B$14+M87*Scoring!$B$15+N87*Scoring!$B$16+O87*Scoring!$B$17</x:f>
        <x:v>32.8</x:v>
      </x:c>
      <x:c r="Q87" t="str">
        <x:v>https://basketball.realgm.com/nba/stats/2026/Averages/All/points/All/desc/1/Regular_Season</x:v>
      </x:c>
    </x:row>
    <x:row r="88" ht="22" customHeight="1">
      <x:c r="A88" t="str">
        <x:v>Alex Sarr</x:v>
      </x:c>
      <x:c r="B88" t="n">
        <x:v>48</x:v>
      </x:c>
      <x:c r="C88" s="22" t="n">
        <x:v>27.2</x:v>
      </x:c>
      <x:c r="D88" s="22" t="n">
        <x:v>16.3</x:v>
      </x:c>
      <x:c r="E88" s="22" t="n">
        <x:v>6.6</x:v>
      </x:c>
      <x:c r="F88" s="22" t="n">
        <x:v>13.7</x:v>
      </x:c>
      <x:c r="G88" s="22" t="n">
        <x:v>1</x:v>
      </x:c>
      <x:c r="H88" s="22" t="n">
        <x:v>2.1</x:v>
      </x:c>
      <x:c r="I88" s="22" t="n">
        <x:v>3</x:v>
      </x:c>
      <x:c r="J88" s="22" t="n">
        <x:v>2.2</x:v>
      </x:c>
      <x:c r="K88" s="22" t="n">
        <x:v>7.4</x:v>
      </x:c>
      <x:c r="L88" s="22" t="n">
        <x:v>2.7</x:v>
      </x:c>
      <x:c r="M88" s="22" t="n">
        <x:v>0.8</x:v>
      </x:c>
      <x:c r="N88" s="22" t="n">
        <x:v>2</x:v>
      </x:c>
      <x:c r="O88" s="22" t="n">
        <x:v>1.7</x:v>
      </x:c>
      <x:c r="P88" s="22" t="n">
        <x:f>D88*Scoring!$B$6+E88*Scoring!$B$7+(F88-E88)*Scoring!$B$8+H88*Scoring!$B$9+(I88-H88)*Scoring!$B$10+G88*Scoring!$B$11+J88*Scoring!$B$12+K88*Scoring!$B$13+L88*Scoring!$B$14+M88*Scoring!$B$15+N88*Scoring!$B$16+O88*Scoring!$B$17</x:f>
        <x:v>35.05</x:v>
      </x:c>
      <x:c r="Q88" t="str">
        <x:v>https://basketball.realgm.com/nba/stats/2026/Averages/All/points/All/desc/1/Regular_Season</x:v>
      </x:c>
    </x:row>
    <x:row r="89" ht="22" customHeight="1">
      <x:c r="A89" t="str">
        <x:v>Matas Buzelis</x:v>
      </x:c>
      <x:c r="B89" t="n">
        <x:v>77</x:v>
      </x:c>
      <x:c r="C89" s="22" t="n">
        <x:v>29.2</x:v>
      </x:c>
      <x:c r="D89" s="22" t="n">
        <x:v>16.3</x:v>
      </x:c>
      <x:c r="E89" s="22" t="n">
        <x:v>5.8</x:v>
      </x:c>
      <x:c r="F89" s="22" t="n">
        <x:v>12.5</x:v>
      </x:c>
      <x:c r="G89" s="22" t="n">
        <x:v>2.2</x:v>
      </x:c>
      <x:c r="H89" s="22" t="n">
        <x:v>2.4</x:v>
      </x:c>
      <x:c r="I89" s="22" t="n">
        <x:v>3.1</x:v>
      </x:c>
      <x:c r="J89" s="22" t="n">
        <x:v>1</x:v>
      </x:c>
      <x:c r="K89" s="22" t="n">
        <x:v>5.8</x:v>
      </x:c>
      <x:c r="L89" s="22" t="n">
        <x:v>2.1</x:v>
      </x:c>
      <x:c r="M89" s="22" t="n">
        <x:v>0.7</x:v>
      </x:c>
      <x:c r="N89" s="22" t="n">
        <x:v>1.5</x:v>
      </x:c>
      <x:c r="O89" s="22" t="n">
        <x:v>2.1</x:v>
      </x:c>
      <x:c r="P89" s="22" t="n">
        <x:f>D89*Scoring!$B$6+E89*Scoring!$B$7+(F89-E89)*Scoring!$B$8+H89*Scoring!$B$9+(I89-H89)*Scoring!$B$10+G89*Scoring!$B$11+J89*Scoring!$B$12+K89*Scoring!$B$13+L89*Scoring!$B$14+M89*Scoring!$B$15+N89*Scoring!$B$16+O89*Scoring!$B$17</x:f>
        <x:v>29.7</x:v>
      </x:c>
      <x:c r="Q89" t="str">
        <x:v>https://basketball.realgm.com/nba/stats/2026/Averages/All/points/All/desc/1/Regular_Season</x:v>
      </x:c>
    </x:row>
    <x:row r="90" ht="22" customHeight="1">
      <x:c r="A90" t="str">
        <x:v>Aaron Gordon</x:v>
      </x:c>
      <x:c r="B90" t="n">
        <x:v>36</x:v>
      </x:c>
      <x:c r="C90" s="22" t="n">
        <x:v>27.9</x:v>
      </x:c>
      <x:c r="D90" s="22" t="n">
        <x:v>16.2</x:v>
      </x:c>
      <x:c r="E90" s="22" t="n">
        <x:v>5.5</x:v>
      </x:c>
      <x:c r="F90" s="22" t="n">
        <x:v>11.1</x:v>
      </x:c>
      <x:c r="G90" s="22" t="n">
        <x:v>1.7</x:v>
      </x:c>
      <x:c r="H90" s="22" t="n">
        <x:v>3.5</x:v>
      </x:c>
      <x:c r="I90" s="22" t="n">
        <x:v>4.5</x:v>
      </x:c>
      <x:c r="J90" s="22" t="n">
        <x:v>1.4</x:v>
      </x:c>
      <x:c r="K90" s="22" t="n">
        <x:v>5.8</x:v>
      </x:c>
      <x:c r="L90" s="22" t="n">
        <x:v>2.7</x:v>
      </x:c>
      <x:c r="M90" s="22" t="n">
        <x:v>0.6</x:v>
      </x:c>
      <x:c r="N90" s="22" t="n">
        <x:v>0.3</x:v>
      </x:c>
      <x:c r="O90" s="22" t="n">
        <x:v>1.1</x:v>
      </x:c>
      <x:c r="P90" s="22" t="n">
        <x:f>D90*Scoring!$B$6+E90*Scoring!$B$7+(F90-E90)*Scoring!$B$8+H90*Scoring!$B$9+(I90-H90)*Scoring!$B$10+G90*Scoring!$B$11+J90*Scoring!$B$12+K90*Scoring!$B$13+L90*Scoring!$B$14+M90*Scoring!$B$15+N90*Scoring!$B$16+O90*Scoring!$B$17</x:f>
        <x:v>32.400000000000006</x:v>
      </x:c>
      <x:c r="Q90" t="str">
        <x:v>https://basketball.realgm.com/nba/stats/2026/Averages/All/points/All/desc/1/Regular_Season</x:v>
      </x:c>
    </x:row>
    <x:row r="91" ht="22" customHeight="1">
      <x:c r="A91" t="str">
        <x:v>VJ Edgecombe</x:v>
      </x:c>
      <x:c r="B91" t="n">
        <x:v>75</x:v>
      </x:c>
      <x:c r="C91" s="22" t="n">
        <x:v>35</x:v>
      </x:c>
      <x:c r="D91" s="22" t="n">
        <x:v>16</x:v>
      </x:c>
      <x:c r="E91" s="22" t="n">
        <x:v>6</x:v>
      </x:c>
      <x:c r="F91" s="22" t="n">
        <x:v>13.7</x:v>
      </x:c>
      <x:c r="G91" s="22" t="n">
        <x:v>2</x:v>
      </x:c>
      <x:c r="H91" s="22" t="n">
        <x:v>2</x:v>
      </x:c>
      <x:c r="I91" s="22" t="n">
        <x:v>2.4</x:v>
      </x:c>
      <x:c r="J91" s="22" t="n">
        <x:v>1.6</x:v>
      </x:c>
      <x:c r="K91" s="22" t="n">
        <x:v>5.6</x:v>
      </x:c>
      <x:c r="L91" s="22" t="n">
        <x:v>4.2</x:v>
      </x:c>
      <x:c r="M91" s="22" t="n">
        <x:v>1.4</x:v>
      </x:c>
      <x:c r="N91" s="22" t="n">
        <x:v>0.5</x:v>
      </x:c>
      <x:c r="O91" s="22" t="n">
        <x:v>1.8</x:v>
      </x:c>
      <x:c r="P91" s="22" t="n">
        <x:f>D91*Scoring!$B$6+E91*Scoring!$B$7+(F91-E91)*Scoring!$B$8+H91*Scoring!$B$9+(I91-H91)*Scoring!$B$10+G91*Scoring!$B$11+J91*Scoring!$B$12+K91*Scoring!$B$13+L91*Scoring!$B$14+M91*Scoring!$B$15+N91*Scoring!$B$16+O91*Scoring!$B$17</x:f>
        <x:v>32.949999999999996</x:v>
      </x:c>
      <x:c r="Q91" t="str">
        <x:v>https://basketball.realgm.com/nba/stats/2026/Averages/All/points/All/desc/1/Regular_Season</x:v>
      </x:c>
    </x:row>
    <x:row r="92" ht="22" customHeight="1">
      <x:c r="A92" t="str">
        <x:v>Domantas Sabonis</x:v>
      </x:c>
      <x:c r="B92" t="n">
        <x:v>19</x:v>
      </x:c>
      <x:c r="C92" s="22" t="n">
        <x:v>29.7</x:v>
      </x:c>
      <x:c r="D92" s="22" t="n">
        <x:v>15.8</x:v>
      </x:c>
      <x:c r="E92" s="22" t="n">
        <x:v>6.3</x:v>
      </x:c>
      <x:c r="F92" s="22" t="n">
        <x:v>11.6</x:v>
      </x:c>
      <x:c r="G92" s="22" t="n">
        <x:v>0.3</x:v>
      </x:c>
      <x:c r="H92" s="22" t="n">
        <x:v>2.9</x:v>
      </x:c>
      <x:c r="I92" s="22" t="n">
        <x:v>4.1</x:v>
      </x:c>
      <x:c r="J92" s="22" t="n">
        <x:v>3.4</x:v>
      </x:c>
      <x:c r="K92" s="22" t="n">
        <x:v>11.4</x:v>
      </x:c>
      <x:c r="L92" s="22" t="n">
        <x:v>4.1</x:v>
      </x:c>
      <x:c r="M92" s="22" t="n">
        <x:v>0.9</x:v>
      </x:c>
      <x:c r="N92" s="22" t="n">
        <x:v>0.2</x:v>
      </x:c>
      <x:c r="O92" s="22" t="n">
        <x:v>2.7</x:v>
      </x:c>
      <x:c r="P92" s="22" t="n">
        <x:f>D92*Scoring!$B$6+E92*Scoring!$B$7+(F92-E92)*Scoring!$B$8+H92*Scoring!$B$9+(I92-H92)*Scoring!$B$10+G92*Scoring!$B$11+J92*Scoring!$B$12+K92*Scoring!$B$13+L92*Scoring!$B$14+M92*Scoring!$B$15+N92*Scoring!$B$16+O92*Scoring!$B$17</x:f>
        <x:v>39.849999999999994</x:v>
      </x:c>
      <x:c r="Q92" t="str">
        <x:v>https://basketball.realgm.com/nba/stats/2026/Averages/All/points/All/desc/1/Regular_Season</x:v>
      </x:c>
    </x:row>
    <x:row r="93" ht="22" customHeight="1">
      <x:c r="A93" t="str">
        <x:v>Jabari Smith Jr.</x:v>
      </x:c>
      <x:c r="B93" t="n">
        <x:v>77</x:v>
      </x:c>
      <x:c r="C93" s="22" t="n">
        <x:v>35.1</x:v>
      </x:c>
      <x:c r="D93" s="22" t="n">
        <x:v>15.8</x:v>
      </x:c>
      <x:c r="E93" s="22" t="n">
        <x:v>5.7</x:v>
      </x:c>
      <x:c r="F93" s="22" t="n">
        <x:v>12.6</x:v>
      </x:c>
      <x:c r="G93" s="22" t="n">
        <x:v>2.3</x:v>
      </x:c>
      <x:c r="H93" s="22" t="n">
        <x:v>2.1</x:v>
      </x:c>
      <x:c r="I93" s="22" t="n">
        <x:v>2.7</x:v>
      </x:c>
      <x:c r="J93" s="22" t="n">
        <x:v>1.4</x:v>
      </x:c>
      <x:c r="K93" s="22" t="n">
        <x:v>6.9</x:v>
      </x:c>
      <x:c r="L93" s="22" t="n">
        <x:v>1.9</x:v>
      </x:c>
      <x:c r="M93" s="22" t="n">
        <x:v>0.7</x:v>
      </x:c>
      <x:c r="N93" s="22" t="n">
        <x:v>0.9</x:v>
      </x:c>
      <x:c r="O93" s="22" t="n">
        <x:v>1.4</x:v>
      </x:c>
      <x:c r="P93" s="22" t="n">
        <x:f>D93*Scoring!$B$6+E93*Scoring!$B$7+(F93-E93)*Scoring!$B$8+H93*Scoring!$B$9+(I93-H93)*Scoring!$B$10+G93*Scoring!$B$11+J93*Scoring!$B$12+K93*Scoring!$B$13+L93*Scoring!$B$14+M93*Scoring!$B$15+N93*Scoring!$B$16+O93*Scoring!$B$17</x:f>
        <x:v>30.900000000000002</x:v>
      </x:c>
      <x:c r="Q93" t="str">
        <x:v>https://basketball.realgm.com/nba/stats/2026/Averages/All/points/All/desc/1/Regular_Season</x:v>
      </x:c>
    </x:row>
    <x:row r="94" ht="22" customHeight="1">
      <x:c r="A94" t="str">
        <x:v>Jarrett Allen</x:v>
      </x:c>
      <x:c r="B94" t="n">
        <x:v>56</x:v>
      </x:c>
      <x:c r="C94" s="22" t="n">
        <x:v>27.1</x:v>
      </x:c>
      <x:c r="D94" s="22" t="n">
        <x:v>15.4</x:v>
      </x:c>
      <x:c r="E94" s="22" t="n">
        <x:v>6</x:v>
      </x:c>
      <x:c r="F94" s="22" t="n">
        <x:v>9.4</x:v>
      </x:c>
      <x:c r="G94" s="22" t="n">
        <x:v>0</x:v>
      </x:c>
      <x:c r="H94" s="22" t="n">
        <x:v>3.3</x:v>
      </x:c>
      <x:c r="I94" s="22" t="n">
        <x:v>4.7</x:v>
      </x:c>
      <x:c r="J94" s="22" t="n">
        <x:v>2.6</x:v>
      </x:c>
      <x:c r="K94" s="22" t="n">
        <x:v>8.5</x:v>
      </x:c>
      <x:c r="L94" s="22" t="n">
        <x:v>1.8</x:v>
      </x:c>
      <x:c r="M94" s="22" t="n">
        <x:v>1</x:v>
      </x:c>
      <x:c r="N94" s="22" t="n">
        <x:v>0.8</x:v>
      </x:c>
      <x:c r="O94" s="22" t="n">
        <x:v>1.3</x:v>
      </x:c>
      <x:c r="P94" s="22" t="n">
        <x:f>D94*Scoring!$B$6+E94*Scoring!$B$7+(F94-E94)*Scoring!$B$8+H94*Scoring!$B$9+(I94-H94)*Scoring!$B$10+G94*Scoring!$B$11+J94*Scoring!$B$12+K94*Scoring!$B$13+L94*Scoring!$B$14+M94*Scoring!$B$15+N94*Scoring!$B$16+O94*Scoring!$B$17</x:f>
        <x:v>36.9</x:v>
      </x:c>
      <x:c r="Q94" t="str">
        <x:v>https://basketball.realgm.com/nba/stats/2026/Averages/All/points/All/desc/1/Regular_Season</x:v>
      </x:c>
    </x:row>
    <x:row r="95" ht="22" customHeight="1">
      <x:c r="A95" t="str">
        <x:v>Onyeka Okongwu</x:v>
      </x:c>
      <x:c r="B95" t="n">
        <x:v>74</x:v>
      </x:c>
      <x:c r="C95" s="22" t="n">
        <x:v>31</x:v>
      </x:c>
      <x:c r="D95" s="22" t="n">
        <x:v>15.2</x:v>
      </x:c>
      <x:c r="E95" s="22" t="n">
        <x:v>5.6</x:v>
      </x:c>
      <x:c r="F95" s="22" t="n">
        <x:v>11.6</x:v>
      </x:c>
      <x:c r="G95" s="22" t="n">
        <x:v>1.9</x:v>
      </x:c>
      <x:c r="H95" s="22" t="n">
        <x:v>2.1</x:v>
      </x:c>
      <x:c r="I95" s="22" t="n">
        <x:v>2.7</x:v>
      </x:c>
      <x:c r="J95" s="22" t="n">
        <x:v>1.9</x:v>
      </x:c>
      <x:c r="K95" s="22" t="n">
        <x:v>7.6</x:v>
      </x:c>
      <x:c r="L95" s="22" t="n">
        <x:v>3.1</x:v>
      </x:c>
      <x:c r="M95" s="22" t="n">
        <x:v>1.1</x:v>
      </x:c>
      <x:c r="N95" s="22" t="n">
        <x:v>1.1</x:v>
      </x:c>
      <x:c r="O95" s="22" t="n">
        <x:v>1.7</x:v>
      </x:c>
      <x:c r="P95" s="22" t="n">
        <x:f>D95*Scoring!$B$6+E95*Scoring!$B$7+(F95-E95)*Scoring!$B$8+H95*Scoring!$B$9+(I95-H95)*Scoring!$B$10+G95*Scoring!$B$11+J95*Scoring!$B$12+K95*Scoring!$B$13+L95*Scoring!$B$14+M95*Scoring!$B$15+N95*Scoring!$B$16+O95*Scoring!$B$17</x:f>
        <x:v>34.699999999999996</x:v>
      </x:c>
      <x:c r="Q95" t="str">
        <x:v>https://basketball.realgm.com/nba/stats/2026/Averages/All/points/All/desc/1/Regular_Season</x:v>
      </x:c>
    </x:row>
    <x:row r="96" ht="22" customHeight="1">
      <x:c r="A96" t="str">
        <x:v>Nikola Vucevic</x:v>
      </x:c>
      <x:c r="B96" t="n">
        <x:v>64</x:v>
      </x:c>
      <x:c r="C96" s="22" t="n">
        <x:v>28.4</x:v>
      </x:c>
      <x:c r="D96" s="22" t="n">
        <x:v>15.1</x:v>
      </x:c>
      <x:c r="E96" s="22" t="n">
        <x:v>6.2</x:v>
      </x:c>
      <x:c r="F96" s="22" t="n">
        <x:v>12.5</x:v>
      </x:c>
      <x:c r="G96" s="22" t="n">
        <x:v>1.6</x:v>
      </x:c>
      <x:c r="H96" s="22" t="n">
        <x:v>1.2</x:v>
      </x:c>
      <x:c r="I96" s="22" t="n">
        <x:v>1.5</x:v>
      </x:c>
      <x:c r="J96" s="22" t="n">
        <x:v>2</x:v>
      </x:c>
      <x:c r="K96" s="22" t="n">
        <x:v>8.4</x:v>
      </x:c>
      <x:c r="L96" s="22" t="n">
        <x:v>3.3</x:v>
      </x:c>
      <x:c r="M96" s="22" t="n">
        <x:v>0.6</x:v>
      </x:c>
      <x:c r="N96" s="22" t="n">
        <x:v>0.6</x:v>
      </x:c>
      <x:c r="O96" s="22" t="n">
        <x:v>1.3</x:v>
      </x:c>
      <x:c r="P96" s="22" t="n">
        <x:f>D96*Scoring!$B$6+E96*Scoring!$B$7+(F96-E96)*Scoring!$B$8+H96*Scoring!$B$9+(I96-H96)*Scoring!$B$10+G96*Scoring!$B$11+J96*Scoring!$B$12+K96*Scoring!$B$13+L96*Scoring!$B$14+M96*Scoring!$B$15+N96*Scoring!$B$16+O96*Scoring!$B$17</x:f>
        <x:v>34.349999999999994</x:v>
      </x:c>
      <x:c r="Q96" t="str">
        <x:v>https://basketball.realgm.com/nba/stats/2026/Averages/All/points/All/desc/1/Regular_Season</x:v>
      </x:c>
    </x:row>
    <x:row r="97" ht="22" customHeight="1">
      <x:c r="A97" t="str">
        <x:v>Peyton Watson</x:v>
      </x:c>
      <x:c r="B97" t="n">
        <x:v>54</x:v>
      </x:c>
      <x:c r="C97" s="22" t="n">
        <x:v>29.6</x:v>
      </x:c>
      <x:c r="D97" s="22" t="n">
        <x:v>14.6</x:v>
      </x:c>
      <x:c r="E97" s="22" t="n">
        <x:v>5.3</x:v>
      </x:c>
      <x:c r="F97" s="22" t="n">
        <x:v>10.8</x:v>
      </x:c>
      <x:c r="G97" s="22" t="n">
        <x:v>1.5</x:v>
      </x:c>
      <x:c r="H97" s="22" t="n">
        <x:v>2.6</x:v>
      </x:c>
      <x:c r="I97" s="22" t="n">
        <x:v>3.5</x:v>
      </x:c>
      <x:c r="J97" s="22" t="n">
        <x:v>0.9</x:v>
      </x:c>
      <x:c r="K97" s="22" t="n">
        <x:v>4.9</x:v>
      </x:c>
      <x:c r="L97" s="22" t="n">
        <x:v>2.1</x:v>
      </x:c>
      <x:c r="M97" s="22" t="n">
        <x:v>0.9</x:v>
      </x:c>
      <x:c r="N97" s="22" t="n">
        <x:v>1.1</x:v>
      </x:c>
      <x:c r="O97" s="22" t="n">
        <x:v>1.7</x:v>
      </x:c>
      <x:c r="P97" s="22" t="n">
        <x:f>D97*Scoring!$B$6+E97*Scoring!$B$7+(F97-E97)*Scoring!$B$8+H97*Scoring!$B$9+(I97-H97)*Scoring!$B$10+G97*Scoring!$B$11+J97*Scoring!$B$12+K97*Scoring!$B$13+L97*Scoring!$B$14+M97*Scoring!$B$15+N97*Scoring!$B$16+O97*Scoring!$B$17</x:f>
        <x:v>27.500000000000004</x:v>
      </x:c>
      <x:c r="Q97" t="str">
        <x:v>https://basketball.realgm.com/nba/stats/2026/Averages/All/points/All/desc/1/Regular_Season</x:v>
      </x:c>
    </x:row>
    <x:row r="98" ht="22" customHeight="1">
      <x:c r="A98" t="str">
        <x:v>Mikal Bridges</x:v>
      </x:c>
      <x:c r="B98" t="n">
        <x:v>82</x:v>
      </x:c>
      <x:c r="C98" s="22" t="n">
        <x:v>32.8</x:v>
      </x:c>
      <x:c r="D98" s="22" t="n">
        <x:v>14.4</x:v>
      </x:c>
      <x:c r="E98" s="22" t="n">
        <x:v>5.8</x:v>
      </x:c>
      <x:c r="F98" s="22" t="n">
        <x:v>11.7</x:v>
      </x:c>
      <x:c r="G98" s="22" t="n">
        <x:v>1.9</x:v>
      </x:c>
      <x:c r="H98" s="22" t="n">
        <x:v>1</x:v>
      </x:c>
      <x:c r="I98" s="22" t="n">
        <x:v>1.2</x:v>
      </x:c>
      <x:c r="J98" s="22" t="n">
        <x:v>1</x:v>
      </x:c>
      <x:c r="K98" s="22" t="n">
        <x:v>3.8</x:v>
      </x:c>
      <x:c r="L98" s="22" t="n">
        <x:v>3.7</x:v>
      </x:c>
      <x:c r="M98" s="22" t="n">
        <x:v>1.3</x:v>
      </x:c>
      <x:c r="N98" s="22" t="n">
        <x:v>0.8</x:v>
      </x:c>
      <x:c r="O98" s="22" t="n">
        <x:v>1</x:v>
      </x:c>
      <x:c r="P98" s="22" t="n">
        <x:f>D98*Scoring!$B$6+E98*Scoring!$B$7+(F98-E98)*Scoring!$B$8+H98*Scoring!$B$9+(I98-H98)*Scoring!$B$10+G98*Scoring!$B$11+J98*Scoring!$B$12+K98*Scoring!$B$13+L98*Scoring!$B$14+M98*Scoring!$B$15+N98*Scoring!$B$16+O98*Scoring!$B$17</x:f>
        <x:v>30.150000000000006</x:v>
      </x:c>
      <x:c r="Q98" t="str">
        <x:v>https://basketball.realgm.com/nba/stats/2026/Averages/All/points/All/desc/1/Regular_Season</x:v>
      </x:c>
    </x:row>
    <x:row r="99" ht="22" customHeight="1">
      <x:c r="A99" t="str">
        <x:v>Walker Kessler</x:v>
      </x:c>
      <x:c r="B99" t="n">
        <x:v>5</x:v>
      </x:c>
      <x:c r="C99" s="22" t="n">
        <x:v>30.8</x:v>
      </x:c>
      <x:c r="D99" s="22" t="n">
        <x:v>14.4</x:v>
      </x:c>
      <x:c r="E99" s="22" t="n">
        <x:v>5.2</x:v>
      </x:c>
      <x:c r="F99" s="22" t="n">
        <x:v>7.4</x:v>
      </x:c>
      <x:c r="G99" s="22" t="n">
        <x:v>1.2</x:v>
      </x:c>
      <x:c r="H99" s="22" t="n">
        <x:v>2.8</x:v>
      </x:c>
      <x:c r="I99" s="22" t="n">
        <x:v>4</x:v>
      </x:c>
      <x:c r="J99" s="22" t="n">
        <x:v>4.6</x:v>
      </x:c>
      <x:c r="K99" s="22" t="n">
        <x:v>10.8</x:v>
      </x:c>
      <x:c r="L99" s="22" t="n">
        <x:v>3</x:v>
      </x:c>
      <x:c r="M99" s="22" t="n">
        <x:v>1.4</x:v>
      </x:c>
      <x:c r="N99" s="22" t="n">
        <x:v>1.8</x:v>
      </x:c>
      <x:c r="O99" s="22" t="n">
        <x:v>3.2</x:v>
      </x:c>
      <x:c r="P99" s="22" t="n">
        <x:f>D99*Scoring!$B$6+E99*Scoring!$B$7+(F99-E99)*Scoring!$B$8+H99*Scoring!$B$9+(I99-H99)*Scoring!$B$10+G99*Scoring!$B$11+J99*Scoring!$B$12+K99*Scoring!$B$13+L99*Scoring!$B$14+M99*Scoring!$B$15+N99*Scoring!$B$16+O99*Scoring!$B$17</x:f>
        <x:v>43.800000000000004</x:v>
      </x:c>
      <x:c r="Q99" t="str">
        <x:v>https://basketball.realgm.com/nba/stats/2026/Averages/All/points/All/desc/1/Regular_Season</x:v>
      </x:c>
    </x:row>
    <x:row r="100" ht="22" customHeight="1">
      <x:c r="A100" t="str">
        <x:v>PJ Washington</x:v>
      </x:c>
      <x:c r="B100" t="n">
        <x:v>56</x:v>
      </x:c>
      <x:c r="C100" s="22" t="n">
        <x:v>31</x:v>
      </x:c>
      <x:c r="D100" s="22" t="n">
        <x:v>14.2</x:v>
      </x:c>
      <x:c r="E100" s="22" t="n">
        <x:v>5.3</x:v>
      </x:c>
      <x:c r="F100" s="22" t="n">
        <x:v>11.8</x:v>
      </x:c>
      <x:c r="G100" s="22" t="n">
        <x:v>1.4</x:v>
      </x:c>
      <x:c r="H100" s="22" t="n">
        <x:v>2.2</x:v>
      </x:c>
      <x:c r="I100" s="22" t="n">
        <x:v>3.3</x:v>
      </x:c>
      <x:c r="J100" s="22" t="n">
        <x:v>1.5</x:v>
      </x:c>
      <x:c r="K100" s="22" t="n">
        <x:v>7</x:v>
      </x:c>
      <x:c r="L100" s="22" t="n">
        <x:v>1.8</x:v>
      </x:c>
      <x:c r="M100" s="22" t="n">
        <x:v>1</x:v>
      </x:c>
      <x:c r="N100" s="22" t="n">
        <x:v>1.1</x:v>
      </x:c>
      <x:c r="O100" s="22" t="n">
        <x:v>1.7</x:v>
      </x:c>
      <x:c r="P100" s="22" t="n">
        <x:f>D100*Scoring!$B$6+E100*Scoring!$B$7+(F100-E100)*Scoring!$B$8+H100*Scoring!$B$9+(I100-H100)*Scoring!$B$10+G100*Scoring!$B$11+J100*Scoring!$B$12+K100*Scoring!$B$13+L100*Scoring!$B$14+M100*Scoring!$B$15+N100*Scoring!$B$16+O100*Scoring!$B$17</x:f>
        <x:v>28.45</x:v>
      </x:c>
      <x:c r="Q100" t="str">
        <x:v>https://basketball.realgm.com/nba/stats/2026/Averages/All/points/All/desc/1/Regular_Season</x:v>
      </x:c>
    </x:row>
    <x:row r="101" ht="22" customHeight="1">
      <x:c r="A101" t="str">
        <x:v>Ivica Zubac</x:v>
      </x:c>
      <x:c r="B101" t="n">
        <x:v>48</x:v>
      </x:c>
      <x:c r="C101" s="22" t="n">
        <x:v>30.1</x:v>
      </x:c>
      <x:c r="D101" s="22" t="n">
        <x:v>14.1</x:v>
      </x:c>
      <x:c r="E101" s="22" t="n">
        <x:v>6</x:v>
      </x:c>
      <x:c r="F101" s="22" t="n">
        <x:v>10</x:v>
      </x:c>
      <x:c r="G101" s="22" t="n">
        <x:v>0</x:v>
      </x:c>
      <x:c r="H101" s="22" t="n">
        <x:v>2.1</x:v>
      </x:c>
      <x:c r="I101" s="22" t="n">
        <x:v>3</x:v>
      </x:c>
      <x:c r="J101" s="22" t="n">
        <x:v>3.4</x:v>
      </x:c>
      <x:c r="K101" s="22" t="n">
        <x:v>10.6</x:v>
      </x:c>
      <x:c r="L101" s="22" t="n">
        <x:v>2.2</x:v>
      </x:c>
      <x:c r="M101" s="22" t="n">
        <x:v>0.4</x:v>
      </x:c>
      <x:c r="N101" s="22" t="n">
        <x:v>0.8</x:v>
      </x:c>
      <x:c r="O101" s="22" t="n">
        <x:v>1.8</x:v>
      </x:c>
      <x:c r="P101" s="22" t="n">
        <x:f>D101*Scoring!$B$6+E101*Scoring!$B$7+(F101-E101)*Scoring!$B$8+H101*Scoring!$B$9+(I101-H101)*Scoring!$B$10+G101*Scoring!$B$11+J101*Scoring!$B$12+K101*Scoring!$B$13+L101*Scoring!$B$14+M101*Scoring!$B$15+N101*Scoring!$B$16+O101*Scoring!$B$17</x:f>
        <x:v>36.4</x:v>
      </x:c>
      <x:c r="Q101" t="str">
        <x:v>https://basketball.realgm.com/nba/stats/2026/Averages/All/points/All/desc/1/Regular_Season</x:v>
      </x:c>
    </x:row>
    <x:row r="102" ht="22" customHeight="1">
      <x:c r="A102" t="str">
        <x:v>Zach Edey</x:v>
      </x:c>
      <x:c r="B102" t="n">
        <x:v>11</x:v>
      </x:c>
      <x:c r="C102" s="22" t="n">
        <x:v>25.8</x:v>
      </x:c>
      <x:c r="D102" s="22" t="n">
        <x:v>13.6</x:v>
      </x:c>
      <x:c r="E102" s="22" t="n">
        <x:v>5.6</x:v>
      </x:c>
      <x:c r="F102" s="22" t="n">
        <x:v>8.9</x:v>
      </x:c>
      <x:c r="G102" s="22" t="n">
        <x:v>0.1</x:v>
      </x:c>
      <x:c r="H102" s="22" t="n">
        <x:v>2.3</x:v>
      </x:c>
      <x:c r="I102" s="22" t="n">
        <x:v>2.9</x:v>
      </x:c>
      <x:c r="J102" s="22" t="n">
        <x:v>3.9</x:v>
      </x:c>
      <x:c r="K102" s="22" t="n">
        <x:v>11.1</x:v>
      </x:c>
      <x:c r="L102" s="22" t="n">
        <x:v>1.1</x:v>
      </x:c>
      <x:c r="M102" s="22" t="n">
        <x:v>0.6</x:v>
      </x:c>
      <x:c r="N102" s="22" t="n">
        <x:v>1.9</x:v>
      </x:c>
      <x:c r="O102" s="22" t="n">
        <x:v>2.4</x:v>
      </x:c>
      <x:c r="P102" s="22" t="n">
        <x:f>D102*Scoring!$B$6+E102*Scoring!$B$7+(F102-E102)*Scoring!$B$8+H102*Scoring!$B$9+(I102-H102)*Scoring!$B$10+G102*Scoring!$B$11+J102*Scoring!$B$12+K102*Scoring!$B$13+L102*Scoring!$B$14+M102*Scoring!$B$15+N102*Scoring!$B$16+O102*Scoring!$B$17</x:f>
        <x:v>37.50000000000001</x:v>
      </x:c>
      <x:c r="Q102" t="str">
        <x:v>https://basketball.realgm.com/nba/stats/2026/Averages/All/points/All/desc/1/Regular_Season</x:v>
      </x:c>
    </x:row>
    <x:row r="103" ht="22" customHeight="1">
      <x:c r="A103" t="str">
        <x:v>Cedric Coward</x:v>
      </x:c>
      <x:c r="B103" t="n">
        <x:v>62</x:v>
      </x:c>
      <x:c r="C103" s="22" t="n">
        <x:v>25.8</x:v>
      </x:c>
      <x:c r="D103" s="22" t="n">
        <x:v>13.6</x:v>
      </x:c>
      <x:c r="E103" s="22" t="n">
        <x:v>4.9</x:v>
      </x:c>
      <x:c r="F103" s="22" t="n">
        <x:v>10.5</x:v>
      </x:c>
      <x:c r="G103" s="22" t="n">
        <x:v>1.5</x:v>
      </x:c>
      <x:c r="H103" s="22" t="n">
        <x:v>2.3</x:v>
      </x:c>
      <x:c r="I103" s="22" t="n">
        <x:v>2.7</x:v>
      </x:c>
      <x:c r="J103" s="22" t="n">
        <x:v>1.3</x:v>
      </x:c>
      <x:c r="K103" s="22" t="n">
        <x:v>5.9</x:v>
      </x:c>
      <x:c r="L103" s="22" t="n">
        <x:v>2.8</x:v>
      </x:c>
      <x:c r="M103" s="22" t="n">
        <x:v>0.6</x:v>
      </x:c>
      <x:c r="N103" s="22" t="n">
        <x:v>0.4</x:v>
      </x:c>
      <x:c r="O103" s="22" t="n">
        <x:v>1.7</x:v>
      </x:c>
      <x:c r="P103" s="22" t="n">
        <x:f>D103*Scoring!$B$6+E103*Scoring!$B$7+(F103-E103)*Scoring!$B$8+H103*Scoring!$B$9+(I103-H103)*Scoring!$B$10+G103*Scoring!$B$11+J103*Scoring!$B$12+K103*Scoring!$B$13+L103*Scoring!$B$14+M103*Scoring!$B$15+N103*Scoring!$B$16+O103*Scoring!$B$17</x:f>
        <x:v>27.4</x:v>
      </x:c>
      <x:c r="Q103" t="str">
        <x:v>https://basketball.realgm.com/nba/stats/2026/Averages/All/points/All/desc/1/Regular_Season</x:v>
      </x:c>
    </x:row>
    <x:row r="104" ht="22" customHeight="1">
      <x:c r="A104" t="str">
        <x:v>Naz Reid</x:v>
      </x:c>
      <x:c r="B104" t="n">
        <x:v>77</x:v>
      </x:c>
      <x:c r="C104" s="22" t="n">
        <x:v>26.1</x:v>
      </x:c>
      <x:c r="D104" s="22" t="n">
        <x:v>13.6</x:v>
      </x:c>
      <x:c r="E104" s="22" t="n">
        <x:v>5.2</x:v>
      </x:c>
      <x:c r="F104" s="22" t="n">
        <x:v>11.3</x:v>
      </x:c>
      <x:c r="G104" s="22" t="n">
        <x:v>2.1</x:v>
      </x:c>
      <x:c r="H104" s="22" t="n">
        <x:v>1.2</x:v>
      </x:c>
      <x:c r="I104" s="22" t="n">
        <x:v>1.6</x:v>
      </x:c>
      <x:c r="J104" s="22" t="n">
        <x:v>1.2</x:v>
      </x:c>
      <x:c r="K104" s="22" t="n">
        <x:v>6.2</x:v>
      </x:c>
      <x:c r="L104" s="22" t="n">
        <x:v>2.2</x:v>
      </x:c>
      <x:c r="M104" s="22" t="n">
        <x:v>1</x:v>
      </x:c>
      <x:c r="N104" s="22" t="n">
        <x:v>1</x:v>
      </x:c>
      <x:c r="O104" s="22" t="n">
        <x:v>1.6</x:v>
      </x:c>
      <x:c r="P104" s="22" t="n">
        <x:f>D104*Scoring!$B$6+E104*Scoring!$B$7+(F104-E104)*Scoring!$B$8+H104*Scoring!$B$9+(I104-H104)*Scoring!$B$10+G104*Scoring!$B$11+J104*Scoring!$B$12+K104*Scoring!$B$13+L104*Scoring!$B$14+M104*Scoring!$B$15+N104*Scoring!$B$16+O104*Scoring!$B$17</x:f>
        <x:v>27.799999999999997</x:v>
      </x:c>
      <x:c r="Q104" t="str">
        <x:v>https://basketball.realgm.com/nba/stats/2026/Averages/All/points/All/desc/1/Regular_Season</x:v>
      </x:c>
    </x:row>
    <x:row r="105" ht="22" customHeight="1">
      <x:c r="A105" t="str">
        <x:v>John Collins</x:v>
      </x:c>
      <x:c r="B105" t="n">
        <x:v>69</x:v>
      </x:c>
      <x:c r="C105" s="22" t="n">
        <x:v>27.1</x:v>
      </x:c>
      <x:c r="D105" s="22" t="n">
        <x:v>13.6</x:v>
      </x:c>
      <x:c r="E105" s="22" t="n">
        <x:v>5.3</x:v>
      </x:c>
      <x:c r="F105" s="22" t="n">
        <x:v>9.6</x:v>
      </x:c>
      <x:c r="G105" s="22" t="n">
        <x:v>1.3</x:v>
      </x:c>
      <x:c r="H105" s="22" t="n">
        <x:v>1.7</x:v>
      </x:c>
      <x:c r="I105" s="22" t="n">
        <x:v>2.2</x:v>
      </x:c>
      <x:c r="J105" s="22" t="n">
        <x:v>1.6</x:v>
      </x:c>
      <x:c r="K105" s="22" t="n">
        <x:v>5.3</x:v>
      </x:c>
      <x:c r="L105" s="22" t="n">
        <x:v>1</x:v>
      </x:c>
      <x:c r="M105" s="22" t="n">
        <x:v>0.9</x:v>
      </x:c>
      <x:c r="N105" s="22" t="n">
        <x:v>0.7</x:v>
      </x:c>
      <x:c r="O105" s="22" t="n">
        <x:v>1.4</x:v>
      </x:c>
      <x:c r="P105" s="22" t="n">
        <x:f>D105*Scoring!$B$6+E105*Scoring!$B$7+(F105-E105)*Scoring!$B$8+H105*Scoring!$B$9+(I105-H105)*Scoring!$B$10+G105*Scoring!$B$11+J105*Scoring!$B$12+K105*Scoring!$B$13+L105*Scoring!$B$14+M105*Scoring!$B$15+N105*Scoring!$B$16+O105*Scoring!$B$17</x:f>
        <x:v>27.15</x:v>
      </x:c>
      <x:c r="Q105" t="str">
        <x:v>https://basketball.realgm.com/nba/stats/2026/Averages/All/points/All/desc/1/Regular_Season</x:v>
      </x:c>
    </x:row>
    <x:row r="106" ht="22" customHeight="1">
      <x:c r="A106" t="str">
        <x:v>Donovan Clingan</x:v>
      </x:c>
      <x:c r="B106" t="n">
        <x:v>77</x:v>
      </x:c>
      <x:c r="C106" s="22" t="n">
        <x:v>27.2</x:v>
      </x:c>
      <x:c r="D106" s="22" t="n">
        <x:v>12.1</x:v>
      </x:c>
      <x:c r="E106" s="22" t="n">
        <x:v>4.6</x:v>
      </x:c>
      <x:c r="F106" s="22" t="n">
        <x:v>8.9</x:v>
      </x:c>
      <x:c r="G106" s="22" t="n">
        <x:v>1.1</x:v>
      </x:c>
      <x:c r="H106" s="22" t="n">
        <x:v>1.8</x:v>
      </x:c>
      <x:c r="I106" s="22" t="n">
        <x:v>2.6</x:v>
      </x:c>
      <x:c r="J106" s="22" t="n">
        <x:v>4.5</x:v>
      </x:c>
      <x:c r="K106" s="22" t="n">
        <x:v>11.6</x:v>
      </x:c>
      <x:c r="L106" s="22" t="n">
        <x:v>2.1</x:v>
      </x:c>
      <x:c r="M106" s="22" t="n">
        <x:v>0.6</x:v>
      </x:c>
      <x:c r="N106" s="22" t="n">
        <x:v>1.7</x:v>
      </x:c>
      <x:c r="O106" s="22" t="n">
        <x:v>1.2</x:v>
      </x:c>
      <x:c r="P106" s="22" t="n">
        <x:f>D106*Scoring!$B$6+E106*Scoring!$B$7+(F106-E106)*Scoring!$B$8+H106*Scoring!$B$9+(I106-H106)*Scoring!$B$10+G106*Scoring!$B$11+J106*Scoring!$B$12+K106*Scoring!$B$13+L106*Scoring!$B$14+M106*Scoring!$B$15+N106*Scoring!$B$16+O106*Scoring!$B$17</x:f>
        <x:v>39.6</x:v>
      </x:c>
      <x:c r="Q106" t="str">
        <x:v>https://basketball.realgm.com/nba/stats/2026/Averages/All/points/All/desc/1/Regular_Season</x:v>
      </x:c>
    </x:row>
    <x:row r="107" ht="22" customHeight="1">
      <x:c r="A107" t="str">
        <x:v>Josh Hart</x:v>
      </x:c>
      <x:c r="B107" t="n">
        <x:v>66</x:v>
      </x:c>
      <x:c r="C107" s="22" t="n">
        <x:v>30.2</x:v>
      </x:c>
      <x:c r="D107" s="22" t="n">
        <x:v>12</x:v>
      </x:c>
      <x:c r="E107" s="22" t="n">
        <x:v>4.6</x:v>
      </x:c>
      <x:c r="F107" s="22" t="n">
        <x:v>9</x:v>
      </x:c>
      <x:c r="G107" s="22" t="n">
        <x:v>1.5</x:v>
      </x:c>
      <x:c r="H107" s="22" t="n">
        <x:v>1.4</x:v>
      </x:c>
      <x:c r="I107" s="22" t="n">
        <x:v>1.9</x:v>
      </x:c>
      <x:c r="J107" s="22" t="n">
        <x:v>1.4</x:v>
      </x:c>
      <x:c r="K107" s="22" t="n">
        <x:v>7.4</x:v>
      </x:c>
      <x:c r="L107" s="22" t="n">
        <x:v>4.8</x:v>
      </x:c>
      <x:c r="M107" s="22" t="n">
        <x:v>1.1</x:v>
      </x:c>
      <x:c r="N107" s="22" t="n">
        <x:v>0.3</x:v>
      </x:c>
      <x:c r="O107" s="22" t="n">
        <x:v>1.9</x:v>
      </x:c>
      <x:c r="P107" s="22" t="n">
        <x:f>D107*Scoring!$B$6+E107*Scoring!$B$7+(F107-E107)*Scoring!$B$8+H107*Scoring!$B$9+(I107-H107)*Scoring!$B$10+G107*Scoring!$B$11+J107*Scoring!$B$12+K107*Scoring!$B$13+L107*Scoring!$B$14+M107*Scoring!$B$15+N107*Scoring!$B$16+O107*Scoring!$B$17</x:f>
        <x:v>30.850000000000005</x:v>
      </x:c>
      <x:c r="Q107" t="str">
        <x:v>https://basketball.realgm.com/nba/stats/2026/Averages/All/points/All/desc/1/Regular_Season</x:v>
      </x:c>
    </x:row>
    <x:row r="108" ht="22" customHeight="1">
      <x:c r="A108" t="str">
        <x:v>Myles Turner</x:v>
      </x:c>
      <x:c r="B108" t="n">
        <x:v>71</x:v>
      </x:c>
      <x:c r="C108" s="22" t="n">
        <x:v>26.9</x:v>
      </x:c>
      <x:c r="D108" s="22" t="n">
        <x:v>11.9</x:v>
      </x:c>
      <x:c r="E108" s="22" t="n">
        <x:v>4</x:v>
      </x:c>
      <x:c r="F108" s="22" t="n">
        <x:v>9.1</x:v>
      </x:c>
      <x:c r="G108" s="22" t="n">
        <x:v>2.1</x:v>
      </x:c>
      <x:c r="H108" s="22" t="n">
        <x:v>1.8</x:v>
      </x:c>
      <x:c r="I108" s="22" t="n">
        <x:v>2.5</x:v>
      </x:c>
      <x:c r="J108" s="22" t="n">
        <x:v>1.1</x:v>
      </x:c>
      <x:c r="K108" s="22" t="n">
        <x:v>5.3</x:v>
      </x:c>
      <x:c r="L108" s="22" t="n">
        <x:v>1.5</x:v>
      </x:c>
      <x:c r="M108" s="22" t="n">
        <x:v>0.7</x:v>
      </x:c>
      <x:c r="N108" s="22" t="n">
        <x:v>1.6</x:v>
      </x:c>
      <x:c r="O108" s="22" t="n">
        <x:v>1.2</x:v>
      </x:c>
      <x:c r="P108" s="22" t="n">
        <x:f>D108*Scoring!$B$6+E108*Scoring!$B$7+(F108-E108)*Scoring!$B$8+H108*Scoring!$B$9+(I108-H108)*Scoring!$B$10+G108*Scoring!$B$11+J108*Scoring!$B$12+K108*Scoring!$B$13+L108*Scoring!$B$14+M108*Scoring!$B$15+N108*Scoring!$B$16+O108*Scoring!$B$17</x:f>
        <x:v>25.150000000000006</x:v>
      </x:c>
      <x:c r="Q108" t="str">
        <x:v>https://basketball.realgm.com/nba/stats/2026/Averages/All/points/All/desc/1/Regular_Season</x:v>
      </x:c>
    </x:row>
    <x:row r="109" ht="22" customHeight="1">
      <x:c r="A109" t="str">
        <x:v>Dyson Daniels</x:v>
      </x:c>
      <x:c r="B109" t="n">
        <x:v>76</x:v>
      </x:c>
      <x:c r="C109" s="22" t="n">
        <x:v>33.2</x:v>
      </x:c>
      <x:c r="D109" s="22" t="n">
        <x:v>11.9</x:v>
      </x:c>
      <x:c r="E109" s="22" t="n">
        <x:v>5.3</x:v>
      </x:c>
      <x:c r="F109" s="22" t="n">
        <x:v>10.2</x:v>
      </x:c>
      <x:c r="G109" s="22" t="n">
        <x:v>0.3</x:v>
      </x:c>
      <x:c r="H109" s="22" t="n">
        <x:v>1</x:v>
      </x:c>
      <x:c r="I109" s="22" t="n">
        <x:v>1.6</x:v>
      </x:c>
      <x:c r="J109" s="22" t="n">
        <x:v>2.4</x:v>
      </x:c>
      <x:c r="K109" s="22" t="n">
        <x:v>6.8</x:v>
      </x:c>
      <x:c r="L109" s="22" t="n">
        <x:v>5.9</x:v>
      </x:c>
      <x:c r="M109" s="22" t="n">
        <x:v>2</x:v>
      </x:c>
      <x:c r="N109" s="22" t="n">
        <x:v>0.4</x:v>
      </x:c>
      <x:c r="O109" s="22" t="n">
        <x:v>1.8</x:v>
      </x:c>
      <x:c r="P109" s="22" t="n">
        <x:f>D109*Scoring!$B$6+E109*Scoring!$B$7+(F109-E109)*Scoring!$B$8+H109*Scoring!$B$9+(I109-H109)*Scoring!$B$10+G109*Scoring!$B$11+J109*Scoring!$B$12+K109*Scoring!$B$13+L109*Scoring!$B$14+M109*Scoring!$B$15+N109*Scoring!$B$16+O109*Scoring!$B$17</x:f>
        <x:v>34.45</x:v>
      </x:c>
      <x:c r="Q109" t="str">
        <x:v>https://basketball.realgm.com/nba/stats/2026/Averages/All/points/All/desc/1/Regular_Season</x:v>
      </x:c>
    </x:row>
    <x:row r="110" ht="22" customHeight="1">
      <x:c r="A110" t="str">
        <x:v>Nic Claxton</x:v>
      </x:c>
      <x:c r="B110" t="n">
        <x:v>69</x:v>
      </x:c>
      <x:c r="C110" s="22" t="n">
        <x:v>27.8</x:v>
      </x:c>
      <x:c r="D110" s="22" t="n">
        <x:v>11.7</x:v>
      </x:c>
      <x:c r="E110" s="22" t="n">
        <x:v>4.8</x:v>
      </x:c>
      <x:c r="F110" s="22" t="n">
        <x:v>8.4</x:v>
      </x:c>
      <x:c r="G110" s="22" t="n">
        <x:v>0</x:v>
      </x:c>
      <x:c r="H110" s="22" t="n">
        <x:v>2</x:v>
      </x:c>
      <x:c r="I110" s="22" t="n">
        <x:v>3.3</x:v>
      </x:c>
      <x:c r="J110" s="22" t="n">
        <x:v>2.4</x:v>
      </x:c>
      <x:c r="K110" s="22" t="n">
        <x:v>6.9</x:v>
      </x:c>
      <x:c r="L110" s="22" t="n">
        <x:v>3.7</x:v>
      </x:c>
      <x:c r="M110" s="22" t="n">
        <x:v>0.7</x:v>
      </x:c>
      <x:c r="N110" s="22" t="n">
        <x:v>1.1</x:v>
      </x:c>
      <x:c r="O110" s="22" t="n">
        <x:v>1.4</x:v>
      </x:c>
      <x:c r="P110" s="22" t="n">
        <x:f>D110*Scoring!$B$6+E110*Scoring!$B$7+(F110-E110)*Scoring!$B$8+H110*Scoring!$B$9+(I110-H110)*Scoring!$B$10+G110*Scoring!$B$11+J110*Scoring!$B$12+K110*Scoring!$B$13+L110*Scoring!$B$14+M110*Scoring!$B$15+N110*Scoring!$B$16+O110*Scoring!$B$17</x:f>
        <x:v>31.099999999999998</x:v>
      </x:c>
      <x:c r="Q110" t="str">
        <x:v>https://basketball.realgm.com/nba/stats/2026/Averages/All/points/All/desc/1/Regular_Season</x:v>
      </x:c>
    </x:row>
    <x:row r="111" ht="22" customHeight="1">
      <x:c r="A111" t="str">
        <x:v>Mark Williams</x:v>
      </x:c>
      <x:c r="B111" t="n">
        <x:v>60</x:v>
      </x:c>
      <x:c r="C111" s="22" t="n">
        <x:v>23.6</x:v>
      </x:c>
      <x:c r="D111" s="22" t="n">
        <x:v>11.7</x:v>
      </x:c>
      <x:c r="E111" s="22" t="n">
        <x:v>4.7</x:v>
      </x:c>
      <x:c r="F111" s="22" t="n">
        <x:v>7.3</x:v>
      </x:c>
      <x:c r="G111" s="22" t="n">
        <x:v>0</x:v>
      </x:c>
      <x:c r="H111" s="22" t="n">
        <x:v>2.3</x:v>
      </x:c>
      <x:c r="I111" s="22" t="n">
        <x:v>2.9</x:v>
      </x:c>
      <x:c r="J111" s="22" t="n">
        <x:v>3.1</x:v>
      </x:c>
      <x:c r="K111" s="22" t="n">
        <x:v>8</x:v>
      </x:c>
      <x:c r="L111" s="22" t="n">
        <x:v>1</x:v>
      </x:c>
      <x:c r="M111" s="22" t="n">
        <x:v>0.9</x:v>
      </x:c>
      <x:c r="N111" s="22" t="n">
        <x:v>0.9</x:v>
      </x:c>
      <x:c r="O111" s="22" t="n">
        <x:v>1.1</x:v>
      </x:c>
      <x:c r="P111" s="22" t="n">
        <x:f>D111*Scoring!$B$6+E111*Scoring!$B$7+(F111-E111)*Scoring!$B$8+H111*Scoring!$B$9+(I111-H111)*Scoring!$B$10+G111*Scoring!$B$11+J111*Scoring!$B$12+K111*Scoring!$B$13+L111*Scoring!$B$14+M111*Scoring!$B$15+N111*Scoring!$B$16+O111*Scoring!$B$17</x:f>
        <x:v>32.15</x:v>
      </x:c>
      <x:c r="Q111" t="str">
        <x:v>https://basketball.realgm.com/nba/stats/2026/Averages/All/points/All/desc/1/Regular_Season</x:v>
      </x:c>
    </x:row>
    <x:row r="112" ht="22" customHeight="1">
      <x:c r="A112" t="str">
        <x:v>Kel'el Ware</x:v>
      </x:c>
      <x:c r="B112" t="n">
        <x:v>77</x:v>
      </x:c>
      <x:c r="C112" s="22" t="n">
        <x:v>22.1</x:v>
      </x:c>
      <x:c r="D112" s="22" t="n">
        <x:v>11.1</x:v>
      </x:c>
      <x:c r="E112" s="22" t="n">
        <x:v>4.5</x:v>
      </x:c>
      <x:c r="F112" s="22" t="n">
        <x:v>8.4</x:v>
      </x:c>
      <x:c r="G112" s="22" t="n">
        <x:v>1.2</x:v>
      </x:c>
      <x:c r="H112" s="22" t="n">
        <x:v>0.9</x:v>
      </x:c>
      <x:c r="I112" s="22" t="n">
        <x:v>1.2</x:v>
      </x:c>
      <x:c r="J112" s="22" t="n">
        <x:v>2.8</x:v>
      </x:c>
      <x:c r="K112" s="22" t="n">
        <x:v>9</x:v>
      </x:c>
      <x:c r="L112" s="22" t="n">
        <x:v>0.7</x:v>
      </x:c>
      <x:c r="M112" s="22" t="n">
        <x:v>0.8</x:v>
      </x:c>
      <x:c r="N112" s="22" t="n">
        <x:v>1.1</x:v>
      </x:c>
      <x:c r="O112" s="22" t="n">
        <x:v>0.8</x:v>
      </x:c>
      <x:c r="P112" s="22" t="n">
        <x:f>D112*Scoring!$B$6+E112*Scoring!$B$7+(F112-E112)*Scoring!$B$8+H112*Scoring!$B$9+(I112-H112)*Scoring!$B$10+G112*Scoring!$B$11+J112*Scoring!$B$12+K112*Scoring!$B$13+L112*Scoring!$B$14+M112*Scoring!$B$15+N112*Scoring!$B$16+O112*Scoring!$B$17</x:f>
        <x:v>30.799999999999997</x:v>
      </x:c>
      <x:c r="Q112" t="str">
        <x:v>https://basketball.realgm.com/nba/stats/2026/Averages/All/points/All/desc/1/Regular_Season</x:v>
      </x:c>
    </x:row>
    <x:row r="113" ht="22" customHeight="1">
      <x:c r="A113" t="str">
        <x:v>Rudy Gobert</x:v>
      </x:c>
      <x:c r="B113" t="n">
        <x:v>76</x:v>
      </x:c>
      <x:c r="C113" s="22" t="n">
        <x:v>31.3</x:v>
      </x:c>
      <x:c r="D113" s="22" t="n">
        <x:v>10.9</x:v>
      </x:c>
      <x:c r="E113" s="22" t="n">
        <x:v>4.4</x:v>
      </x:c>
      <x:c r="F113" s="22" t="n">
        <x:v>6.5</x:v>
      </x:c>
      <x:c r="G113" s="22" t="n">
        <x:v>0</x:v>
      </x:c>
      <x:c r="H113" s="22" t="n">
        <x:v>2.1</x:v>
      </x:c>
      <x:c r="I113" s="22" t="n">
        <x:v>4</x:v>
      </x:c>
      <x:c r="J113" s="22" t="n">
        <x:v>3.9</x:v>
      </x:c>
      <x:c r="K113" s="22" t="n">
        <x:v>11.5</x:v>
      </x:c>
      <x:c r="L113" s="22" t="n">
        <x:v>1.7</x:v>
      </x:c>
      <x:c r="M113" s="22" t="n">
        <x:v>0.8</x:v>
      </x:c>
      <x:c r="N113" s="22" t="n">
        <x:v>1.6</x:v>
      </x:c>
      <x:c r="O113" s="22" t="n">
        <x:v>1.4</x:v>
      </x:c>
      <x:c r="P113" s="22" t="n">
        <x:f>D113*Scoring!$B$6+E113*Scoring!$B$7+(F113-E113)*Scoring!$B$8+H113*Scoring!$B$9+(I113-H113)*Scoring!$B$10+G113*Scoring!$B$11+J113*Scoring!$B$12+K113*Scoring!$B$13+L113*Scoring!$B$14+M113*Scoring!$B$15+N113*Scoring!$B$16+O113*Scoring!$B$17</x:f>
        <x:v>36.45</x:v>
      </x:c>
      <x:c r="Q113" t="str">
        <x:v>https://basketball.realgm.com/nba/stats/2026/Averages/All/points/All/desc/1/Regular_Season</x:v>
      </x:c>
    </x:row>
    <x:row r="114" ht="22" customHeight="1">
      <x:c r="A114" t="str">
        <x:v>Jakob Poeltl</x:v>
      </x:c>
      <x:c r="B114" t="n">
        <x:v>46</x:v>
      </x:c>
      <x:c r="C114" s="22" t="n">
        <x:v>25</x:v>
      </x:c>
      <x:c r="D114" s="22" t="n">
        <x:v>10.7</x:v>
      </x:c>
      <x:c r="E114" s="22" t="n">
        <x:v>4.7</x:v>
      </x:c>
      <x:c r="F114" s="22" t="n">
        <x:v>6.7</x:v>
      </x:c>
      <x:c r="G114" s="22" t="n">
        <x:v>0</x:v>
      </x:c>
      <x:c r="H114" s="22" t="n">
        <x:v>1.3</x:v>
      </x:c>
      <x:c r="I114" s="22" t="n">
        <x:v>2.1</x:v>
      </x:c>
      <x:c r="J114" s="22" t="n">
        <x:v>2.5</x:v>
      </x:c>
      <x:c r="K114" s="22" t="n">
        <x:v>7</x:v>
      </x:c>
      <x:c r="L114" s="22" t="n">
        <x:v>2</x:v>
      </x:c>
      <x:c r="M114" s="22" t="n">
        <x:v>0.9</x:v>
      </x:c>
      <x:c r="N114" s="22" t="n">
        <x:v>0.7</x:v>
      </x:c>
      <x:c r="O114" s="22" t="n">
        <x:v>1.2</x:v>
      </x:c>
      <x:c r="P114" s="22" t="n">
        <x:f>D114*Scoring!$B$6+E114*Scoring!$B$7+(F114-E114)*Scoring!$B$8+H114*Scoring!$B$9+(I114-H114)*Scoring!$B$10+G114*Scoring!$B$11+J114*Scoring!$B$12+K114*Scoring!$B$13+L114*Scoring!$B$14+M114*Scoring!$B$15+N114*Scoring!$B$16+O114*Scoring!$B$17</x:f>
        <x:v>29.35</x:v>
      </x:c>
      <x:c r="Q114" t="str">
        <x:v>https://basketball.realgm.com/nba/stats/2026/Averages/All/points/All/desc/1/Regular_Season</x:v>
      </x:c>
    </x:row>
    <x:row r="115" ht="22" customHeight="1">
      <x:c r="A115" t="str">
        <x:v>Isaiah Hartenstein</x:v>
      </x:c>
      <x:c r="B115" t="n">
        <x:v>47</x:v>
      </x:c>
      <x:c r="C115" s="22" t="n">
        <x:v>24.2</x:v>
      </x:c>
      <x:c r="D115" s="22" t="n">
        <x:v>9.2</x:v>
      </x:c>
      <x:c r="E115" s="22" t="n">
        <x:v>3.9</x:v>
      </x:c>
      <x:c r="F115" s="22" t="n">
        <x:v>6.3</x:v>
      </x:c>
      <x:c r="G115" s="22" t="n">
        <x:v>0</x:v>
      </x:c>
      <x:c r="H115" s="22" t="n">
        <x:v>1.4</x:v>
      </x:c>
      <x:c r="I115" s="22" t="n">
        <x:v>2.2</x:v>
      </x:c>
      <x:c r="J115" s="22" t="n">
        <x:v>3.2</x:v>
      </x:c>
      <x:c r="K115" s="22" t="n">
        <x:v>9.4</x:v>
      </x:c>
      <x:c r="L115" s="22" t="n">
        <x:v>3.5</x:v>
      </x:c>
      <x:c r="M115" s="22" t="n">
        <x:v>1</x:v>
      </x:c>
      <x:c r="N115" s="22" t="n">
        <x:v>0.8</x:v>
      </x:c>
      <x:c r="O115" s="22" t="n">
        <x:v>1.7</x:v>
      </x:c>
      <x:c r="P115" s="22" t="n">
        <x:f>D115*Scoring!$B$6+E115*Scoring!$B$7+(F115-E115)*Scoring!$B$8+H115*Scoring!$B$9+(I115-H115)*Scoring!$B$10+G115*Scoring!$B$11+J115*Scoring!$B$12+K115*Scoring!$B$13+L115*Scoring!$B$14+M115*Scoring!$B$15+N115*Scoring!$B$16+O115*Scoring!$B$17</x:f>
        <x:v>32.150000000000006</x:v>
      </x:c>
      <x:c r="Q115" t="str">
        <x:v>https://basketball.realgm.com/nba/stats/2026/Averages/All/points/All/desc/1/Regular_Season</x:v>
      </x:c>
    </x:row>
    <x:row r="116" ht="22" customHeight="1">
      <x:c r="A116" t="str">
        <x:v>Dylan Harper</x:v>
      </x:c>
      <x:c r="B116" t="n">
        <x:v>69</x:v>
      </x:c>
      <x:c r="C116" s="22" t="n">
        <x:v>22.6</x:v>
      </x:c>
      <x:c r="D116" s="22" t="n">
        <x:v>11.8</x:v>
      </x:c>
      <x:c r="E116" s="22" t="n">
        <x:v>4.8</x:v>
      </x:c>
      <x:c r="F116" s="22" t="n">
        <x:v>9.5</x:v>
      </x:c>
      <x:c r="G116" s="22" t="n">
        <x:v>0.9</x:v>
      </x:c>
      <x:c r="H116" s="22" t="n">
        <x:v>1.3</x:v>
      </x:c>
      <x:c r="I116" s="22" t="n">
        <x:v>1.7</x:v>
      </x:c>
      <x:c r="J116" s="22" t="n">
        <x:v>0.8</x:v>
      </x:c>
      <x:c r="K116" s="22" t="n">
        <x:v>3.4</x:v>
      </x:c>
      <x:c r="L116" s="22" t="n">
        <x:v>3.9</x:v>
      </x:c>
      <x:c r="M116" s="22" t="n">
        <x:v>0.8</x:v>
      </x:c>
      <x:c r="N116" s="22" t="n">
        <x:v>0.3</x:v>
      </x:c>
      <x:c r="O116" s="22" t="n">
        <x:v>1.4</x:v>
      </x:c>
      <x:c r="P116" s="22" t="n">
        <x:f>D116*Scoring!$B$6+E116*Scoring!$B$7+(F116-E116)*Scoring!$B$8+H116*Scoring!$B$9+(I116-H116)*Scoring!$B$10+G116*Scoring!$B$11+J116*Scoring!$B$12+K116*Scoring!$B$13+L116*Scoring!$B$14+M116*Scoring!$B$15+N116*Scoring!$B$16+O116*Scoring!$B$17</x:f>
        <x:v>23.800000000000004</x:v>
      </x:c>
      <x:c r="Q116" t="str">
        <x:v>https://basketball.realgm.com/nba/stats/2026/Averages/All/points/All/desc/1/Regular_Season</x:v>
      </x:c>
    </x:row>
  </x:sheetData>
  <x:mergeCells>
    <x:mergeCell ref="A1:K1"/>
    <x:mergeCell ref="A2:K3"/>
  </x:mergeCells>
  <x:pageMargins left="0.7" right="0.7" top="0.75" bottom="0.75" header="0.3" footer="0.3"/>
  <x:tableParts count="1">
    <x:tablePart xmlns:r="http://schemas.openxmlformats.org/officeDocument/2006/relationships" r:id="R3d1f40f8a9a04a45"/>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6" hidden="0" customWidth="1"/>
    <x:col min="2" max="2" width="12" hidden="0" customWidth="1"/>
    <x:col min="3" max="3" width="19"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40" hidden="0" customWidth="1"/>
  </x:cols>
  <x:sheetData>
    <x:row r="1" ht="30" customHeight="1">
      <x:c r="A1" s="95" t="str">
        <x:v>FANTASYPROS INPUTS | 2026–27 | DRAFT-DAY REFRESH</x:v>
      </x:c>
      <x:c r="B1" s="95"/>
      <x:c r="C1" s="95"/>
      <x:c r="D1" s="95"/>
      <x:c r="E1" s="95"/>
      <x:c r="F1" s="95"/>
      <x:c r="G1" s="95"/>
      <x:c r="H1" s="95"/>
      <x:c r="I1" s="95"/>
      <x:c r="J1" s="95"/>
      <x:c r="K1" s="95"/>
      <x:c r="L1" s="95"/>
      <x:c r="M1" s="95"/>
      <x:c r="N1" s="95"/>
      <x:c r="O1" s="95"/>
      <x:c r="P1" s="95"/>
      <x:c r="Q1" s="95"/>
      <x:c r="R1" s="95"/>
      <x:c r="S1" s="95"/>
      <x:c r="T1" s="95"/>
      <x:c r="U1" s="95"/>
      <x:c r="V1" s="95"/>
      <x:c r="W1" s="95"/>
      <x:c r="X1" s="95"/>
    </x:row>
    <x:row r="2" ht="23" customHeight="1">
      <x:c r="A2" s="131" t="str">
        <x:v>Updated Oct. 9, 2026 • 150-player public projection snapshot • custom-scored under this league's settings</x:v>
      </x:c>
      <x:c r="B2" s="131"/>
      <x:c r="C2" s="131"/>
      <x:c r="D2" s="131"/>
      <x:c r="E2" s="131"/>
      <x:c r="F2" s="131"/>
      <x:c r="G2" s="131"/>
      <x:c r="H2" s="131"/>
      <x:c r="I2" s="131"/>
      <x:c r="J2" s="131"/>
      <x:c r="K2" s="131"/>
      <x:c r="L2" s="131"/>
      <x:c r="M2" s="131"/>
      <x:c r="N2" s="131"/>
      <x:c r="O2" s="131"/>
      <x:c r="P2" s="131"/>
      <x:c r="Q2" s="131"/>
      <x:c r="R2" s="131"/>
      <x:c r="S2" s="131"/>
      <x:c r="T2" s="131"/>
      <x:c r="U2" s="131"/>
      <x:c r="V2" s="131"/>
      <x:c r="W2" s="131"/>
      <x:c r="X2" s="131"/>
    </x:row>
    <x:row r="3" ht="23" customHeight="1">
      <x:c r="A3" s="42"/>
      <x:c r="B3" s="42"/>
      <x:c r="C3" s="42"/>
      <x:c r="D3" s="42"/>
      <x:c r="E3" s="42"/>
      <x:c r="F3" s="42"/>
      <x:c r="G3" s="42"/>
      <x:c r="H3" s="42"/>
      <x:c r="I3" s="42"/>
      <x:c r="J3" s="42"/>
      <x:c r="K3" s="42"/>
      <x:c r="L3" s="7"/>
      <x:c r="M3" s="7"/>
      <x:c r="N3" s="7"/>
      <x:c r="O3" s="7"/>
      <x:c r="P3" s="7"/>
      <x:c r="Q3" s="7"/>
      <x:c r="R3" s="7"/>
      <x:c r="S3" s="7"/>
      <x:c r="T3" s="7"/>
      <x:c r="U3" s="7"/>
      <x:c r="V3" s="7"/>
      <x:c r="W3" s="7"/>
      <x:c r="X3" s="7"/>
    </x:row>
    <x:row r="5" ht="36" customHeight="1">
      <x:c r="A5" s="134" t="str">
        <x:v>Player</x:v>
      </x:c>
      <x:c r="B5" s="134" t="str">
        <x:v>Team</x:v>
      </x:c>
      <x:c r="C5" s="134" t="str">
        <x:v>Source position tags</x:v>
      </x:c>
      <x:c r="D5" s="134" t="str">
        <x:v>PTS</x:v>
      </x:c>
      <x:c r="E5" s="134" t="str">
        <x:v>REB</x:v>
      </x:c>
      <x:c r="F5" s="134" t="str">
        <x:v>AST</x:v>
      </x:c>
      <x:c r="G5" s="134" t="str">
        <x:v>BLK</x:v>
      </x:c>
      <x:c r="H5" s="134" t="str">
        <x:v>STL</x:v>
      </x:c>
      <x:c r="I5" s="134" t="str">
        <x:v>FG%</x:v>
      </x:c>
      <x:c r="J5" s="134" t="str">
        <x:v>FT%</x:v>
      </x:c>
      <x:c r="K5" s="134" t="str">
        <x:v>3PM</x:v>
      </x:c>
      <x:c r="L5" s="134" t="str">
        <x:v>GP</x:v>
      </x:c>
      <x:c r="M5" s="134" t="str">
        <x:v>MIN</x:v>
      </x:c>
      <x:c r="N5" s="134" t="str">
        <x:v>TO</x:v>
      </x:c>
      <x:c r="O5" s="134" t="str">
        <x:v>FTM / PTS</x:v>
      </x:c>
      <x:c r="P5" s="134" t="str">
        <x:v>OREB / MIN</x:v>
      </x:c>
      <x:c r="Q5" s="134" t="str">
        <x:v>Est. FTM</x:v>
      </x:c>
      <x:c r="R5" s="134" t="str">
        <x:v>Est. FTA</x:v>
      </x:c>
      <x:c r="S5" s="134" t="str">
        <x:v>Est. FGM</x:v>
      </x:c>
      <x:c r="T5" s="134" t="str">
        <x:v>Est. FGA</x:v>
      </x:c>
      <x:c r="U5" s="134" t="str">
        <x:v>Est. OREB</x:v>
      </x:c>
      <x:c r="V5" s="134" t="str">
        <x:v>Custom season FP</x:v>
      </x:c>
      <x:c r="W5" s="134" t="str">
        <x:v>Custom FP/G</x:v>
      </x:c>
      <x:c r="X5" s="134" t="str">
        <x:v>Source</x:v>
      </x:c>
    </x:row>
    <x:row r="6" ht="22" customHeight="1">
      <x:c r="A6" t="str">
        <x:v>Shai Gilgeous-Alexander</x:v>
      </x:c>
      <x:c r="B6" t="str">
        <x:v>OKC</x:v>
      </x:c>
      <x:c r="C6" t="str">
        <x:v>PG</x:v>
      </x:c>
      <x:c r="D6" t="n">
        <x:v>2421</x:v>
      </x:c>
      <x:c r="E6" t="n">
        <x:v>350</x:v>
      </x:c>
      <x:c r="F6" t="n">
        <x:v>484</x:v>
      </x:c>
      <x:c r="G6" t="n">
        <x:v>63</x:v>
      </x:c>
      <x:c r="H6" t="n">
        <x:v>124</x:v>
      </x:c>
      <x:c r="I6" s="26" t="n">
        <x:v>0.528</x:v>
      </x:c>
      <x:c r="J6" s="26" t="n">
        <x:v>0.887</x:v>
      </x:c>
      <x:c r="K6" t="n">
        <x:v>133</x:v>
      </x:c>
      <x:c r="L6" t="n">
        <x:v>77</x:v>
      </x:c>
      <x:c r="M6" t="n">
        <x:v>2641</x:v>
      </x:c>
      <x:c r="N6" t="n">
        <x:v>180</x:v>
      </x:c>
      <x:c r="O6" s="24" t="n">
        <x:v>0.2540192926045016</x:v>
      </x:c>
      <x:c r="P6" s="24" t="n">
        <x:v>0.018072289156626505</x:v>
      </x:c>
      <x:c r="Q6" s="22" t="n">
        <x:v>614.9807073954985</x:v>
      </x:c>
      <x:c r="R6" s="22" t="n">
        <x:v>693.3266148765484</x:v>
      </x:c>
      <x:c r="S6" s="22" t="n">
        <x:v>836.5096463022508</x:v>
      </x:c>
      <x:c r="T6" s="22" t="n">
        <x:v>1584.2985725421415</x:v>
      </x:c>
      <x:c r="U6" s="22" t="n">
        <x:v>47.7289156626506</x:v>
      </x:c>
      <x:c r="V6" s="22" t="n">
        <x:v>4333.31335130211</x:v>
      </x:c>
      <x:c r="W6" s="22" t="n">
        <x:v>56.276796770157276</x:v>
      </x:c>
      <x:c r="X6" t="str">
        <x:v>https://www.fantasypros.com/nba/projections/overall.php</x:v>
      </x:c>
    </x:row>
    <x:row r="7" ht="22" customHeight="1">
      <x:c r="A7" t="str">
        <x:v>Giannis Antetokounmpo</x:v>
      </x:c>
      <x:c r="B7" t="str">
        <x:v>MIA</x:v>
      </x:c>
      <x:c r="C7" t="str">
        <x:v>PF/C</x:v>
      </x:c>
      <x:c r="D7" t="n">
        <x:v>2263</x:v>
      </x:c>
      <x:c r="E7" t="n">
        <x:v>828</x:v>
      </x:c>
      <x:c r="F7" t="n">
        <x:v>474</x:v>
      </x:c>
      <x:c r="G7" t="n">
        <x:v>63</x:v>
      </x:c>
      <x:c r="H7" t="n">
        <x:v>79</x:v>
      </x:c>
      <x:c r="I7" s="26" t="n">
        <x:v>0.607</x:v>
      </x:c>
      <x:c r="J7" s="26" t="n">
        <x:v>0.64</x:v>
      </x:c>
      <x:c r="K7" t="n">
        <x:v>26</x:v>
      </x:c>
      <x:c r="L7" t="n">
        <x:v>73</x:v>
      </x:c>
      <x:c r="M7" t="n">
        <x:v>2407</x:v>
      </x:c>
      <x:c r="N7" t="n">
        <x:v>245</x:v>
      </x:c>
      <x:c r="O7" s="24" t="n">
        <x:v>0.2318840579710145</x:v>
      </x:c>
      <x:c r="P7" s="24" t="n">
        <x:v>0.0934256055363322</x:v>
      </x:c>
      <x:c r="Q7" s="22" t="n">
        <x:v>524.7536231884058</x:v>
      </x:c>
      <x:c r="R7" s="22" t="n">
        <x:v>819.927536231884</x:v>
      </x:c>
      <x:c r="S7" s="22" t="n">
        <x:v>856.1231884057971</x:v>
      </x:c>
      <x:c r="T7" s="22" t="n">
        <x:v>1410.4171143423346</x:v>
      </x:c>
      <x:c r="U7" s="22" t="n">
        <x:v>224.8754325259516</x:v>
      </x:c>
      <x:c r="V7" s="22" t="n">
        <x:v>4571.65983766609</x:v>
      </x:c>
      <x:c r="W7" s="22" t="n">
        <x:v>62.62547722830261</x:v>
      </x:c>
      <x:c r="X7" t="str">
        <x:v>https://www.fantasypros.com/nba/projections/overall.php</x:v>
      </x:c>
    </x:row>
    <x:row r="8" ht="22" customHeight="1">
      <x:c r="A8" t="str">
        <x:v>Luka Doncic</x:v>
      </x:c>
      <x:c r="B8" t="str">
        <x:v>LAL</x:v>
      </x:c>
      <x:c r="C8" t="str">
        <x:v>PG/SG</x:v>
      </x:c>
      <x:c r="D8" t="n">
        <x:v>2293</x:v>
      </x:c>
      <x:c r="E8" t="n">
        <x:v>588</x:v>
      </x:c>
      <x:c r="F8" t="n">
        <x:v>599</x:v>
      </x:c>
      <x:c r="G8" t="n">
        <x:v>34</x:v>
      </x:c>
      <x:c r="H8" t="n">
        <x:v>115</x:v>
      </x:c>
      <x:c r="I8" s="26" t="n">
        <x:v>0.469</x:v>
      </x:c>
      <x:c r="J8" s="26" t="n">
        <x:v>0.787</x:v>
      </x:c>
      <x:c r="K8" t="n">
        <x:v>272</x:v>
      </x:c>
      <x:c r="L8" t="n">
        <x:v>74</x:v>
      </x:c>
      <x:c r="M8" t="n">
        <x:v>2673</x:v>
      </x:c>
      <x:c r="N8" t="n">
        <x:v>298</x:v>
      </x:c>
      <x:c r="O8" s="24" t="n">
        <x:v>0.23582089552238808</x:v>
      </x:c>
      <x:c r="P8" s="24" t="n">
        <x:v>0.01675977653631285</x:v>
      </x:c>
      <x:c r="Q8" s="22" t="n">
        <x:v>540.7373134328359</x:v>
      </x:c>
      <x:c r="R8" s="22" t="n">
        <x:v>687.0868023288892</x:v>
      </x:c>
      <x:c r="S8" s="22" t="n">
        <x:v>740.131343283582</x:v>
      </x:c>
      <x:c r="T8" s="22" t="n">
        <x:v>1578.1052095598766</x:v>
      </x:c>
      <x:c r="U8" s="22" t="n">
        <x:v>44.798882681564244</x:v>
      </x:c>
      <x:c r="V8" s="22" t="n">
        <x:v>4122.643066907198</x:v>
      </x:c>
      <x:c r="W8" s="22" t="n">
        <x:v>55.711392796043214</x:v>
      </x:c>
      <x:c r="X8" t="str">
        <x:v>https://www.fantasypros.com/nba/projections/overall.php</x:v>
      </x:c>
    </x:row>
    <x:row r="9" ht="22" customHeight="1">
      <x:c r="A9" t="str">
        <x:v>Anthony Edwards</x:v>
      </x:c>
      <x:c r="B9" t="str">
        <x:v>MIN</x:v>
      </x:c>
      <x:c r="C9" t="str">
        <x:v>PG/SF/SG</x:v>
      </x:c>
      <x:c r="D9" t="n">
        <x:v>2151</x:v>
      </x:c>
      <x:c r="E9" t="n">
        <x:v>412</x:v>
      </x:c>
      <x:c r="F9" t="n">
        <x:v>318</x:v>
      </x:c>
      <x:c r="G9" t="n">
        <x:v>57</x:v>
      </x:c>
      <x:c r="H9" t="n">
        <x:v>102</x:v>
      </x:c>
      <x:c r="I9" s="26" t="n">
        <x:v>0.47</x:v>
      </x:c>
      <x:c r="J9" s="26" t="n">
        <x:v>0.808</x:v>
      </x:c>
      <x:c r="K9" t="n">
        <x:v>265</x:v>
      </x:c>
      <x:c r="L9" t="n">
        <x:v>75</x:v>
      </x:c>
      <x:c r="M9" t="n">
        <x:v>2693</x:v>
      </x:c>
      <x:c r="N9" t="n">
        <x:v>222</x:v>
      </x:c>
      <x:c r="O9" s="24" t="n">
        <x:v>0.19791666666666666</x:v>
      </x:c>
      <x:c r="P9" s="24" t="n">
        <x:v>0.017142857142857144</x:v>
      </x:c>
      <x:c r="Q9" s="22" t="n">
        <x:v>425.71875</x:v>
      </x:c>
      <x:c r="R9" s="22" t="n">
        <x:v>526.8796410891089</x:v>
      </x:c>
      <x:c r="S9" s="22" t="n">
        <x:v>730.140625</x:v>
      </x:c>
      <x:c r="T9" s="22" t="n">
        <x:v>1553.4906914893618</x:v>
      </x:c>
      <x:c r="U9" s="22" t="n">
        <x:v>46.16571428571429</x:v>
      </x:c>
      <x:c r="V9" s="22" t="n">
        <x:v>3474.179845992958</x:v>
      </x:c>
      <x:c r="W9" s="22" t="n">
        <x:v>46.32239794657277</x:v>
      </x:c>
      <x:c r="X9" t="str">
        <x:v>https://www.fantasypros.com/nba/projections/overall.php</x:v>
      </x:c>
    </x:row>
    <x:row r="10" ht="22" customHeight="1">
      <x:c r="A10" t="str">
        <x:v>Jayson Tatum</x:v>
      </x:c>
      <x:c r="B10" t="str">
        <x:v>BOS</x:v>
      </x:c>
      <x:c r="C10" t="str">
        <x:v>SF/PF</x:v>
      </x:c>
      <x:c r="D10" t="n">
        <x:v>2043</x:v>
      </x:c>
      <x:c r="E10" t="n">
        <x:v>660</x:v>
      </x:c>
      <x:c r="F10" t="n">
        <x:v>421</x:v>
      </x:c>
      <x:c r="G10" t="n">
        <x:v>34</x:v>
      </x:c>
      <x:c r="H10" t="n">
        <x:v>83</x:v>
      </x:c>
      <x:c r="I10" s="26" t="n">
        <x:v>0.447</x:v>
      </x:c>
      <x:c r="J10" s="26" t="n">
        <x:v>0.819</x:v>
      </x:c>
      <x:c r="K10" t="n">
        <x:v>256</x:v>
      </x:c>
      <x:c r="L10" t="n">
        <x:v>74</x:v>
      </x:c>
      <x:c r="M10" t="n">
        <x:v>2671</x:v>
      </x:c>
      <x:c r="N10" t="n">
        <x:v>229</x:v>
      </x:c>
      <x:c r="O10" s="24" t="n">
        <x:v>0.18807339449541283</x:v>
      </x:c>
      <x:c r="P10" s="24" t="n">
        <x:v>0.015337423312883436</x:v>
      </x:c>
      <x:c r="Q10" s="22" t="n">
        <x:v>384.2339449541284</x:v>
      </x:c>
      <x:c r="R10" s="22" t="n">
        <x:v>469.15011593910674</x:v>
      </x:c>
      <x:c r="S10" s="22" t="n">
        <x:v>701.3830275229358</x:v>
      </x:c>
      <x:c r="T10" s="22" t="n">
        <x:v>1569.0895470311762</x:v>
      </x:c>
      <x:c r="U10" s="22" t="n">
        <x:v>40.966257668711656</x:v>
      </x:c>
      <x:c r="V10" s="22" t="n">
        <x:v>3564.4267973212686</x:v>
      </x:c>
      <x:c r="W10" s="22" t="n">
        <x:v>48.16792969353066</x:v>
      </x:c>
      <x:c r="X10" t="str">
        <x:v>https://www.fantasypros.com/nba/projections/overall.php</x:v>
      </x:c>
    </x:row>
    <x:row r="11" ht="22" customHeight="1">
      <x:c r="A11" t="str">
        <x:v>Nikola Jokic</x:v>
      </x:c>
      <x:c r="B11" t="str">
        <x:v>DEN</x:v>
      </x:c>
      <x:c r="C11" t="str">
        <x:v>C</x:v>
      </x:c>
      <x:c r="D11" t="n">
        <x:v>2048</x:v>
      </x:c>
      <x:c r="E11" t="n">
        <x:v>933</x:v>
      </x:c>
      <x:c r="F11" t="n">
        <x:v>722</x:v>
      </x:c>
      <x:c r="G11" t="n">
        <x:v>61</x:v>
      </x:c>
      <x:c r="H11" t="n">
        <x:v>111</x:v>
      </x:c>
      <x:c r="I11" s="26" t="n">
        <x:v>0.563</x:v>
      </x:c>
      <x:c r="J11" s="26" t="n">
        <x:v>0.819</x:v>
      </x:c>
      <x:c r="K11" t="n">
        <x:v>125</x:v>
      </x:c>
      <x:c r="L11" t="n">
        <x:v>75</x:v>
      </x:c>
      <x:c r="M11" t="n">
        <x:v>2718</x:v>
      </x:c>
      <x:c r="N11" t="n">
        <x:v>248</x:v>
      </x:c>
      <x:c r="O11" s="24" t="n">
        <x:v>0.22021660649819494</x:v>
      </x:c>
      <x:c r="P11" s="24" t="n">
        <x:v>0.08620689655172414</x:v>
      </x:c>
      <x:c r="Q11" s="22" t="n">
        <x:v>451.00361010830323</x:v>
      </x:c>
      <x:c r="R11" s="22" t="n">
        <x:v>550.6759586181969</x:v>
      </x:c>
      <x:c r="S11" s="22" t="n">
        <x:v>735.9981949458484</x:v>
      </x:c>
      <x:c r="T11" s="22" t="n">
        <x:v>1307.2792094952904</x:v>
      </x:c>
      <x:c r="U11" s="22" t="n">
        <x:v>234.31034482758622</x:v>
      </x:c>
      <x:c r="V11" s="22" t="n">
        <x:v>4991.169131649989</x:v>
      </x:c>
      <x:c r="W11" s="22" t="n">
        <x:v>66.54892175533318</x:v>
      </x:c>
      <x:c r="X11" t="str">
        <x:v>https://www.fantasypros.com/nba/projections/overall.php</x:v>
      </x:c>
    </x:row>
    <x:row r="12" ht="22" customHeight="1">
      <x:c r="A12" t="str">
        <x:v>Donovan Mitchell</x:v>
      </x:c>
      <x:c r="B12" t="str">
        <x:v>CLE</x:v>
      </x:c>
      <x:c r="C12" t="str">
        <x:v>PG/SG</x:v>
      </x:c>
      <x:c r="D12" t="n">
        <x:v>1996</x:v>
      </x:c>
      <x:c r="E12" t="n">
        <x:v>360</x:v>
      </x:c>
      <x:c r="F12" t="n">
        <x:v>415</x:v>
      </x:c>
      <x:c r="G12" t="n">
        <x:v>22</x:v>
      </x:c>
      <x:c r="H12" t="n">
        <x:v>117</x:v>
      </x:c>
      <x:c r="I12" s="26" t="n">
        <x:v>0.463</x:v>
      </x:c>
      <x:c r="J12" s="26" t="n">
        <x:v>0.842</x:v>
      </x:c>
      <x:c r="K12" t="n">
        <x:v>242</x:v>
      </x:c>
      <x:c r="L12" t="n">
        <x:v>75</x:v>
      </x:c>
      <x:c r="M12" t="n">
        <x:v>2488</x:v>
      </x:c>
      <x:c r="N12" t="n">
        <x:v>194</x:v>
      </x:c>
      <x:c r="O12" s="24" t="n">
        <x:v>0.1899641577060932</x:v>
      </x:c>
      <x:c r="P12" s="24" t="n">
        <x:v>0.0208955223880597</x:v>
      </x:c>
      <x:c r="Q12" s="22" t="n">
        <x:v>379.16845878136206</x:v>
      </x:c>
      <x:c r="R12" s="22" t="n">
        <x:v>450.3188346571996</x:v>
      </x:c>
      <x:c r="S12" s="22" t="n">
        <x:v>687.415770609319</x:v>
      </x:c>
      <x:c r="T12" s="22" t="n">
        <x:v>1484.699288573043</x:v>
      </x:c>
      <x:c r="U12" s="22" t="n">
        <x:v>51.98805970149253</x:v>
      </x:c>
      <x:c r="V12" s="22" t="n">
        <x:v>3401.6264549541047</x:v>
      </x:c>
      <x:c r="W12" s="22" t="n">
        <x:v>45.35501939938806</x:v>
      </x:c>
      <x:c r="X12" t="str">
        <x:v>https://www.fantasypros.com/nba/projections/overall.php</x:v>
      </x:c>
    </x:row>
    <x:row r="13" ht="22" customHeight="1">
      <x:c r="A13" t="str">
        <x:v>Jalen Brunson</x:v>
      </x:c>
      <x:c r="B13" t="str">
        <x:v>NYK</x:v>
      </x:c>
      <x:c r="C13" t="str">
        <x:v>PG</x:v>
      </x:c>
      <x:c r="D13" t="n">
        <x:v>1971</x:v>
      </x:c>
      <x:c r="E13" t="n">
        <x:v>245</x:v>
      </x:c>
      <x:c r="F13" t="n">
        <x:v>511</x:v>
      </x:c>
      <x:c r="G13" t="n">
        <x:v>8</x:v>
      </x:c>
      <x:c r="H13" t="n">
        <x:v>65</x:v>
      </x:c>
      <x:c r="I13" s="26" t="n">
        <x:v>0.473</x:v>
      </x:c>
      <x:c r="J13" s="26" t="n">
        <x:v>0.834</x:v>
      </x:c>
      <x:c r="K13" t="n">
        <x:v>190</x:v>
      </x:c>
      <x:c r="L13" t="n">
        <x:v>75</x:v>
      </x:c>
      <x:c r="M13" t="n">
        <x:v>2673</x:v>
      </x:c>
      <x:c r="N13" t="n">
        <x:v>183</x:v>
      </x:c>
      <x:c r="O13" s="24" t="n">
        <x:v>0.1846153846153846</x:v>
      </x:c>
      <x:c r="P13" s="24" t="n">
        <x:v>0.011428571428571429</x:v>
      </x:c>
      <x:c r="Q13" s="22" t="n">
        <x:v>363.87692307692305</x:v>
      </x:c>
      <x:c r="R13" s="22" t="n">
        <x:v>436.3032650802435</x:v>
      </x:c>
      <x:c r="S13" s="22" t="n">
        <x:v>708.5615384615385</x:v>
      </x:c>
      <x:c r="T13" s="22" t="n">
        <x:v>1498.0159375508215</x:v>
      </x:c>
      <x:c r="U13" s="22" t="n">
        <x:v>30.548571428571428</x:v>
      </x:c>
      <x:c r="V13" s="22" t="n">
        <x:v>3220.154863303001</x:v>
      </x:c>
      <x:c r="W13" s="22" t="n">
        <x:v>42.93539817737335</x:v>
      </x:c>
      <x:c r="X13" t="str">
        <x:v>https://www.fantasypros.com/nba/projections/overall.php</x:v>
      </x:c>
    </x:row>
    <x:row r="14" ht="22" customHeight="1">
      <x:c r="A14" t="str">
        <x:v>Joel Embiid</x:v>
      </x:c>
      <x:c r="B14" t="str">
        <x:v>PHI</x:v>
      </x:c>
      <x:c r="C14" t="str">
        <x:v>C</x:v>
      </x:c>
      <x:c r="D14" t="n">
        <x:v>1522</x:v>
      </x:c>
      <x:c r="E14" t="n">
        <x:v>474</x:v>
      </x:c>
      <x:c r="F14" t="n">
        <x:v>239</x:v>
      </x:c>
      <x:c r="G14" t="n">
        <x:v>70</x:v>
      </x:c>
      <x:c r="H14" t="n">
        <x:v>36</x:v>
      </x:c>
      <x:c r="I14" s="26" t="n">
        <x:v>0.49</x:v>
      </x:c>
      <x:c r="J14" s="26" t="n">
        <x:v>0.861</x:v>
      </x:c>
      <x:c r="K14" t="n">
        <x:v>74</x:v>
      </x:c>
      <x:c r="L14" t="n">
        <x:v>59</x:v>
      </x:c>
      <x:c r="M14" t="n">
        <x:v>1827</x:v>
      </x:c>
      <x:c r="N14" t="n">
        <x:v>173</x:v>
      </x:c>
      <x:c r="O14" s="24" t="n">
        <x:v>0.2788104089219331</x:v>
      </x:c>
      <x:c r="P14" s="24" t="n">
        <x:v>0.06329113924050632</x:v>
      </x:c>
      <x:c r="Q14" s="22" t="n">
        <x:v>424.34944237918216</x:v>
      </x:c>
      <x:c r="R14" s="22" t="n">
        <x:v>492.85649521391656</x:v>
      </x:c>
      <x:c r="S14" s="22" t="n">
        <x:v>511.8252788104089</x:v>
      </x:c>
      <x:c r="T14" s="22" t="n">
        <x:v>1044.541385327365</x:v>
      </x:c>
      <x:c r="U14" s="22" t="n">
        <x:v>115.63291139240505</x:v>
      </x:c>
      <x:c r="V14" s="22" t="n">
        <x:v>2825.7173846227106</x:v>
      </x:c>
      <x:c r="W14" s="22" t="n">
        <x:v>47.893514993605265</x:v>
      </x:c>
      <x:c r="X14" t="str">
        <x:v>https://www.fantasypros.com/nba/projections/overall.php</x:v>
      </x:c>
    </x:row>
    <x:row r="15" ht="22" customHeight="1">
      <x:c r="A15" t="str">
        <x:v>Stephen Curry</x:v>
      </x:c>
      <x:c r="B15" t="str">
        <x:v>GSW</x:v>
      </x:c>
      <x:c r="C15" t="str">
        <x:v>PG</x:v>
      </x:c>
      <x:c r="D15" t="n">
        <x:v>1883</x:v>
      </x:c>
      <x:c r="E15" t="n">
        <x:v>304</x:v>
      </x:c>
      <x:c r="F15" t="n">
        <x:v>388</x:v>
      </x:c>
      <x:c r="G15" t="n">
        <x:v>29</x:v>
      </x:c>
      <x:c r="H15" t="n">
        <x:v>81</x:v>
      </x:c>
      <x:c r="I15" s="26" t="n">
        <x:v>0.452</x:v>
      </x:c>
      <x:c r="J15" s="26" t="n">
        <x:v>0.928</x:v>
      </x:c>
      <x:c r="K15" t="n">
        <x:v>336</x:v>
      </x:c>
      <x:c r="L15" t="n">
        <x:v>73</x:v>
      </x:c>
      <x:c r="M15" t="n">
        <x:v>2312</x:v>
      </x:c>
      <x:c r="N15" t="n">
        <x:v>215</x:v>
      </x:c>
      <x:c r="O15" s="24" t="n">
        <x:v>0.17669172932330826</x:v>
      </x:c>
      <x:c r="P15" s="24" t="n">
        <x:v>0.012944983818770227</x:v>
      </x:c>
      <x:c r="Q15" s="22" t="n">
        <x:v>332.7105263157895</x:v>
      </x:c>
      <x:c r="R15" s="22" t="n">
        <x:v>358.5242740471869</x:v>
      </x:c>
      <x:c r="S15" s="22" t="n">
        <x:v>607.1447368421052</x:v>
      </x:c>
      <x:c r="T15" s="22" t="n">
        <x:v>1343.240568234746</x:v>
      </x:c>
      <x:c r="U15" s="22" t="n">
        <x:v>29.928802588996763</x:v>
      </x:c>
      <x:c r="V15" s="22" t="n">
        <x:v>3118.30328921185</x:v>
      </x:c>
      <x:c r="W15" s="22" t="n">
        <x:v>42.716483413860956</x:v>
      </x:c>
      <x:c r="X15" t="str">
        <x:v>https://www.fantasypros.com/nba/projections/overall.php</x:v>
      </x:c>
    </x:row>
    <x:row r="16" ht="22" customHeight="1">
      <x:c r="A16" t="str">
        <x:v>Devin Booker</x:v>
      </x:c>
      <x:c r="B16" t="str">
        <x:v>PHX</x:v>
      </x:c>
      <x:c r="C16" t="str">
        <x:v>PG/SG</x:v>
      </x:c>
      <x:c r="D16" t="n">
        <x:v>1914</x:v>
      </x:c>
      <x:c r="E16" t="n">
        <x:v>313</x:v>
      </x:c>
      <x:c r="F16" t="n">
        <x:v>483</x:v>
      </x:c>
      <x:c r="G16" t="n">
        <x:v>21</x:v>
      </x:c>
      <x:c r="H16" t="n">
        <x:v>73</x:v>
      </x:c>
      <x:c r="I16" s="26" t="n">
        <x:v>0.459</x:v>
      </x:c>
      <x:c r="J16" s="26" t="n">
        <x:v>0.882</x:v>
      </x:c>
      <x:c r="K16" t="n">
        <x:v>157</x:v>
      </x:c>
      <x:c r="L16" t="n">
        <x:v>75</x:v>
      </x:c>
      <x:c r="M16" t="n">
        <x:v>2690</x:v>
      </x:c>
      <x:c r="N16" t="n">
        <x:v>219</x:v>
      </x:c>
      <x:c r="O16" s="24" t="n">
        <x:v>0.27203065134099613</x:v>
      </x:c>
      <x:c r="P16" s="24" t="n">
        <x:v>0.023880597014925373</x:v>
      </x:c>
      <x:c r="Q16" s="22" t="n">
        <x:v>520.6666666666666</x:v>
      </x:c>
      <x:c r="R16" s="22" t="n">
        <x:v>590.3250188964474</x:v>
      </x:c>
      <x:c r="S16" s="22" t="n">
        <x:v>618.1666666666667</x:v>
      </x:c>
      <x:c r="T16" s="22" t="n">
        <x:v>1346.7683369644155</x:v>
      </x:c>
      <x:c r="U16" s="22" t="n">
        <x:v>64.23880597014926</x:v>
      </x:c>
      <x:c r="V16" s="22" t="n">
        <x:v>3317.0509227461025</x:v>
      </x:c>
      <x:c r="W16" s="22" t="n">
        <x:v>44.2273456366147</x:v>
      </x:c>
      <x:c r="X16" t="str">
        <x:v>https://www.fantasypros.com/nba/projections/overall.php</x:v>
      </x:c>
    </x:row>
    <x:row r="17" ht="22" customHeight="1">
      <x:c r="A17" t="str">
        <x:v>Tyrese Maxey</x:v>
      </x:c>
      <x:c r="B17" t="str">
        <x:v>PHI</x:v>
      </x:c>
      <x:c r="C17" t="str">
        <x:v>PG/SG</x:v>
      </x:c>
      <x:c r="D17" t="n">
        <x:v>1902</x:v>
      </x:c>
      <x:c r="E17" t="n">
        <x:v>284</x:v>
      </x:c>
      <x:c r="F17" t="n">
        <x:v>448</x:v>
      </x:c>
      <x:c r="G17" t="n">
        <x:v>49</x:v>
      </x:c>
      <x:c r="H17" t="n">
        <x:v>119</x:v>
      </x:c>
      <x:c r="I17" s="26" t="n">
        <x:v>0.468</x:v>
      </x:c>
      <x:c r="J17" s="26" t="n">
        <x:v>0.889</x:v>
      </x:c>
      <x:c r="K17" t="n">
        <x:v>207</x:v>
      </x:c>
      <x:c r="L17" t="n">
        <x:v>75</x:v>
      </x:c>
      <x:c r="M17" t="n">
        <x:v>2693</x:v>
      </x:c>
      <x:c r="N17" t="n">
        <x:v>165</x:v>
      </x:c>
      <x:c r="O17" s="24" t="n">
        <x:v>0.1872791519434629</x:v>
      </x:c>
      <x:c r="P17" s="24" t="n">
        <x:v>0.007894736842105263</x:v>
      </x:c>
      <x:c r="Q17" s="22" t="n">
        <x:v>356.20494699646645</x:v>
      </x:c>
      <x:c r="R17" s="22" t="n">
        <x:v>400.6804803109859</x:v>
      </x:c>
      <x:c r="S17" s="22" t="n">
        <x:v>669.3975265017668</x:v>
      </x:c>
      <x:c r="T17" s="22" t="n">
        <x:v>1430.3365950892453</x:v>
      </x:c>
      <x:c r="U17" s="22" t="n">
        <x:v>21.260526315789473</x:v>
      </x:c>
      <x:c r="V17" s="22" t="n">
        <x:v>3309.208924227815</x:v>
      </x:c>
      <x:c r="W17" s="22" t="n">
        <x:v>44.122785656370866</x:v>
      </x:c>
      <x:c r="X17" t="str">
        <x:v>https://www.fantasypros.com/nba/projections/overall.php</x:v>
      </x:c>
    </x:row>
    <x:row r="18" ht="22" customHeight="1">
      <x:c r="A18" t="str">
        <x:v>Kevin Durant</x:v>
      </x:c>
      <x:c r="B18" t="str">
        <x:v>HOU</x:v>
      </x:c>
      <x:c r="C18" t="str">
        <x:v>PF/SF/SG</x:v>
      </x:c>
      <x:c r="D18" t="n">
        <x:v>1888</x:v>
      </x:c>
      <x:c r="E18" t="n">
        <x:v>425</x:v>
      </x:c>
      <x:c r="F18" t="n">
        <x:v>314</x:v>
      </x:c>
      <x:c r="G18" t="n">
        <x:v>77</x:v>
      </x:c>
      <x:c r="H18" t="n">
        <x:v>62</x:v>
      </x:c>
      <x:c r="I18" s="26" t="n">
        <x:v>0.517</x:v>
      </x:c>
      <x:c r="J18" s="26" t="n">
        <x:v>0.86</x:v>
      </x:c>
      <x:c r="K18" t="n">
        <x:v>172</x:v>
      </x:c>
      <x:c r="L18" t="n">
        <x:v>75</x:v>
      </x:c>
      <x:c r="M18" t="n">
        <x:v>2682</x:v>
      </x:c>
      <x:c r="N18" t="n">
        <x:v>229</x:v>
      </x:c>
      <x:c r="O18" s="24" t="n">
        <x:v>0.2</x:v>
      </x:c>
      <x:c r="P18" s="24" t="n">
        <x:v>0.013736263736263736</x:v>
      </x:c>
      <x:c r="Q18" s="22" t="n">
        <x:v>377.6</x:v>
      </x:c>
      <x:c r="R18" s="22" t="n">
        <x:v>439.0697674418605</x:v>
      </x:c>
      <x:c r="S18" s="22" t="n">
        <x:v>669.2</x:v>
      </x:c>
      <x:c r="T18" s="22" t="n">
        <x:v>1294.3907156673115</x:v>
      </x:c>
      <x:c r="U18" s="22" t="n">
        <x:v>36.84065934065934</x:v>
      </x:c>
      <x:c r="V18" s="22" t="n">
        <x:v>3171.3208355721467</x:v>
      </x:c>
      <x:c r="W18" s="22" t="n">
        <x:v>42.28427780762863</x:v>
      </x:c>
      <x:c r="X18" t="str">
        <x:v>https://www.fantasypros.com/nba/projections/overall.php</x:v>
      </x:c>
    </x:row>
    <x:row r="19" ht="22" customHeight="1">
      <x:c r="A19" t="str">
        <x:v>Victor Wembanyama</x:v>
      </x:c>
      <x:c r="B19" t="str">
        <x:v>SAS</x:v>
      </x:c>
      <x:c r="C19" t="str">
        <x:v>C</x:v>
      </x:c>
      <x:c r="D19" t="n">
        <x:v>1824</x:v>
      </x:c>
      <x:c r="E19" t="n">
        <x:v>834</x:v>
      </x:c>
      <x:c r="F19" t="n">
        <x:v>242</x:v>
      </x:c>
      <x:c r="G19" t="n">
        <x:v>227</x:v>
      </x:c>
      <x:c r="H19" t="n">
        <x:v>80</x:v>
      </x:c>
      <x:c r="I19" s="26" t="n">
        <x:v>0.491</x:v>
      </x:c>
      <x:c r="J19" s="26" t="n">
        <x:v>0.827</x:v>
      </x:c>
      <x:c r="K19" t="n">
        <x:v>149</x:v>
      </x:c>
      <x:c r="L19" t="n">
        <x:v>73</x:v>
      </x:c>
      <x:c r="M19" t="n">
        <x:v>2326</x:v>
      </x:c>
      <x:c r="N19" t="n">
        <x:v>195</x:v>
      </x:c>
      <x:c r="O19" s="24" t="n">
        <x:v>0.23199999999999998</x:v>
      </x:c>
      <x:c r="P19" s="24" t="n">
        <x:v>0.0684931506849315</x:v>
      </x:c>
      <x:c r="Q19" s="22" t="n">
        <x:v>423.16799999999995</x:v>
      </x:c>
      <x:c r="R19" s="22" t="n">
        <x:v>511.6904474002418</x:v>
      </x:c>
      <x:c r="S19" s="22" t="n">
        <x:v>625.916</x:v>
      </x:c>
      <x:c r="T19" s="22" t="n">
        <x:v>1274.7780040733198</x:v>
      </x:c>
      <x:c r="U19" s="22" t="n">
        <x:v>159.31506849315068</x:v>
      </x:c>
      <x:c r="V19" s="22" t="n">
        <x:v>3910.82968551274</x:v>
      </x:c>
      <x:c r="W19" s="22" t="n">
        <x:v>53.57300939058548</x:v>
      </x:c>
      <x:c r="X19" t="str">
        <x:v>https://www.fantasypros.com/nba/projections/overall.php</x:v>
      </x:c>
    </x:row>
    <x:row r="20" ht="22" customHeight="1">
      <x:c r="A20" t="str">
        <x:v>Jaylen Brown</x:v>
      </x:c>
      <x:c r="B20" t="str">
        <x:v>PHI</x:v>
      </x:c>
      <x:c r="C20" t="str">
        <x:v>PF/SF/SG</x:v>
      </x:c>
      <x:c r="D20" t="n">
        <x:v>1868</x:v>
      </x:c>
      <x:c r="E20" t="n">
        <x:v>451</x:v>
      </x:c>
      <x:c r="F20" t="n">
        <x:v>323</x:v>
      </x:c>
      <x:c r="G20" t="n">
        <x:v>30</x:v>
      </x:c>
      <x:c r="H20" t="n">
        <x:v>87</x:v>
      </x:c>
      <x:c r="I20" s="26" t="n">
        <x:v>0.48</x:v>
      </x:c>
      <x:c r="J20" s="26" t="n">
        <x:v>0.774</x:v>
      </x:c>
      <x:c r="K20" t="n">
        <x:v>120</x:v>
      </x:c>
      <x:c r="L20" t="n">
        <x:v>75</x:v>
      </x:c>
      <x:c r="M20" t="n">
        <x:v>2509</x:v>
      </x:c>
      <x:c r="N20" t="n">
        <x:v>232</x:v>
      </x:c>
      <x:c r="O20" s="24" t="n">
        <x:v>0.20905923344947736</x:v>
      </x:c>
      <x:c r="P20" s="24" t="n">
        <x:v>0.03197674418604651</x:v>
      </x:c>
      <x:c r="Q20" s="22" t="n">
        <x:v>390.5226480836237</x:v>
      </x:c>
      <x:c r="R20" s="22" t="n">
        <x:v>504.55122491424254</x:v>
      </x:c>
      <x:c r="S20" s="22" t="n">
        <x:v>678.7386759581882</x:v>
      </x:c>
      <x:c r="T20" s="22" t="n">
        <x:v>1414.0389082462254</x:v>
      </x:c>
      <x:c r="U20" s="22" t="n">
        <x:v>80.2296511627907</x:v>
      </x:c>
      <x:c r="V20" s="22" t="n">
        <x:v>3058.8918172487374</x:v>
      </x:c>
      <x:c r="W20" s="22" t="n">
        <x:v>40.785224229983164</x:v>
      </x:c>
      <x:c r="X20" t="str">
        <x:v>https://www.fantasypros.com/nba/projections/overall.php</x:v>
      </x:c>
    </x:row>
    <x:row r="21" ht="22" customHeight="1">
      <x:c r="A21" t="str">
        <x:v>Kawhi Leonard</x:v>
      </x:c>
      <x:c r="B21" t="str">
        <x:v>TOR</x:v>
      </x:c>
      <x:c r="C21" t="str">
        <x:v>PF/SF/SG</x:v>
      </x:c>
      <x:c r="D21" t="n">
        <x:v>1709</x:v>
      </x:c>
      <x:c r="E21" t="n">
        <x:v>426</x:v>
      </x:c>
      <x:c r="F21" t="n">
        <x:v>253</x:v>
      </x:c>
      <x:c r="G21" t="n">
        <x:v>35</x:v>
      </x:c>
      <x:c r="H21" t="n">
        <x:v>110</x:v>
      </x:c>
      <x:c r="I21" s="26" t="n">
        <x:v>0.5</x:v>
      </x:c>
      <x:c r="J21" s="26" t="n">
        <x:v>0.875</x:v>
      </x:c>
      <x:c r="K21" t="n">
        <x:v>154</x:v>
      </x:c>
      <x:c r="L21" t="n">
        <x:v>69</x:v>
      </x:c>
      <x:c r="M21" t="n">
        <x:v>2231</x:v>
      </x:c>
      <x:c r="N21" t="n">
        <x:v>135</x:v>
      </x:c>
      <x:c r="O21" s="24" t="n">
        <x:v>0.20430107526881722</x:v>
      </x:c>
      <x:c r="P21" s="24" t="n">
        <x:v>0.034267912772585674</x:v>
      </x:c>
      <x:c r="Q21" s="22" t="n">
        <x:v>349.15053763440864</x:v>
      </x:c>
      <x:c r="R21" s="22" t="n">
        <x:v>399.0291858678956</x:v>
      </x:c>
      <x:c r="S21" s="22" t="n">
        <x:v>602.9247311827957</x:v>
      </x:c>
      <x:c r="T21" s="22" t="n">
        <x:v>1205.8494623655913</x:v>
      </x:c>
      <x:c r="U21" s="22" t="n">
        <x:v>76.45171339563863</x:v>
      </x:c>
      <x:c r="V21" s="22" t="n">
        <x:v>3123.1753161921984</x:v>
      </x:c>
      <x:c r="W21" s="22" t="n">
        <x:v>45.263410379597076</x:v>
      </x:c>
      <x:c r="X21" t="str">
        <x:v>https://www.fantasypros.com/nba/projections/overall.php</x:v>
      </x:c>
    </x:row>
    <x:row r="22" ht="22" customHeight="1">
      <x:c r="A22" t="str">
        <x:v>Cade Cunningham</x:v>
      </x:c>
      <x:c r="B22" t="str">
        <x:v>DET</x:v>
      </x:c>
      <x:c r="C22" t="str">
        <x:v>PG/SG</x:v>
      </x:c>
      <x:c r="D22" t="n">
        <x:v>1816</x:v>
      </x:c>
      <x:c r="E22" t="n">
        <x:v>427</x:v>
      </x:c>
      <x:c r="F22" t="n">
        <x:v>701</x:v>
      </x:c>
      <x:c r="G22" t="n">
        <x:v>61</x:v>
      </x:c>
      <x:c r="H22" t="n">
        <x:v>99</x:v>
      </x:c>
      <x:c r="I22" s="26" t="n">
        <x:v>0.461</x:v>
      </x:c>
      <x:c r="J22" s="26" t="n">
        <x:v>0.825</x:v>
      </x:c>
      <x:c r="K22" t="n">
        <x:v>152</x:v>
      </x:c>
      <x:c r="L22" t="n">
        <x:v>74</x:v>
      </x:c>
      <x:c r="M22" t="n">
        <x:v>2595</x:v>
      </x:c>
      <x:c r="N22" t="n">
        <x:v>292</x:v>
      </x:c>
      <x:c r="O22" s="24" t="n">
        <x:v>0.200836820083682</x:v>
      </x:c>
      <x:c r="P22" s="24" t="n">
        <x:v>0.026548672566371685</x:v>
      </x:c>
      <x:c r="Q22" s="22" t="n">
        <x:v>364.7196652719665</x:v>
      </x:c>
      <x:c r="R22" s="22" t="n">
        <x:v>442.0844427538988</x:v>
      </x:c>
      <x:c r="S22" s="22" t="n">
        <x:v>649.6401673640167</x:v>
      </x:c>
      <x:c r="T22" s="22" t="n">
        <x:v>1409.197760008713</x:v>
      </x:c>
      <x:c r="U22" s="22" t="n">
        <x:v>68.89380530973452</x:v>
      </x:c>
      <x:c r="V22" s="22" t="n">
        <x:v>3467.2250731288236</x:v>
      </x:c>
      <x:c r="W22" s="22" t="n">
        <x:v>46.854392880119235</x:v>
      </x:c>
      <x:c r="X22" t="str">
        <x:v>https://www.fantasypros.com/nba/projections/overall.php</x:v>
      </x:c>
    </x:row>
    <x:row r="23" ht="22" customHeight="1">
      <x:c r="A23" t="str">
        <x:v>Kyrie Irving</x:v>
      </x:c>
      <x:c r="B23" t="str">
        <x:v>DAL</x:v>
      </x:c>
      <x:c r="C23" t="str">
        <x:v>PG</x:v>
      </x:c>
      <x:c r="D23" t="n">
        <x:v>1648</x:v>
      </x:c>
      <x:c r="E23" t="n">
        <x:v>309</x:v>
      </x:c>
      <x:c r="F23" t="n">
        <x:v>333</x:v>
      </x:c>
      <x:c r="G23" t="n">
        <x:v>30</x:v>
      </x:c>
      <x:c r="H23" t="n">
        <x:v>85</x:v>
      </x:c>
      <x:c r="I23" s="26" t="n">
        <x:v>0.478</x:v>
      </x:c>
      <x:c r="J23" s="26" t="n">
        <x:v>0.915</x:v>
      </x:c>
      <x:c r="K23" t="n">
        <x:v>179</x:v>
      </x:c>
      <x:c r="L23" t="n">
        <x:v>69</x:v>
      </x:c>
      <x:c r="M23" t="n">
        <x:v>2418</x:v>
      </x:c>
      <x:c r="N23" t="n">
        <x:v>136</x:v>
      </x:c>
      <x:c r="O23" s="24" t="n">
        <x:v>0.16</x:v>
      </x:c>
      <x:c r="P23" s="24" t="n">
        <x:v>0.018</x:v>
      </x:c>
      <x:c r="Q23" s="22" t="n">
        <x:v>263.68</x:v>
      </x:c>
      <x:c r="R23" s="22" t="n">
        <x:v>288.1748633879781</x:v>
      </x:c>
      <x:c r="S23" s="22" t="n">
        <x:v>602.66</x:v>
      </x:c>
      <x:c r="T23" s="22" t="n">
        <x:v>1260.7949790794978</x:v>
      </x:c>
      <x:c r="U23" s="22" t="n">
        <x:v>43.523999999999994</x:v>
      </x:c>
      <x:c r="V23" s="22" t="n">
        <x:v>2849.258157532524</x:v>
      </x:c>
      <x:c r="W23" s="22" t="n">
        <x:v>41.293596485978604</x:v>
      </x:c>
      <x:c r="X23" t="str">
        <x:v>https://www.fantasypros.com/nba/projections/overall.php</x:v>
      </x:c>
    </x:row>
    <x:row r="24" ht="22" customHeight="1">
      <x:c r="A24" t="str">
        <x:v>Paolo Banchero</x:v>
      </x:c>
      <x:c r="B24" t="str">
        <x:v>ORL</x:v>
      </x:c>
      <x:c r="C24" t="str">
        <x:v>PF/SF</x:v>
      </x:c>
      <x:c r="D24" t="n">
        <x:v>1757</x:v>
      </x:c>
      <x:c r="E24" t="n">
        <x:v>585</x:v>
      </x:c>
      <x:c r="F24" t="n">
        <x:v>385</x:v>
      </x:c>
      <x:c r="G24" t="n">
        <x:v>44</x:v>
      </x:c>
      <x:c r="H24" t="n">
        <x:v>59</x:v>
      </x:c>
      <x:c r="I24" s="26" t="n">
        <x:v>0.458</x:v>
      </x:c>
      <x:c r="J24" s="26" t="n">
        <x:v>0.751</x:v>
      </x:c>
      <x:c r="K24" t="n">
        <x:v>108</x:v>
      </x:c>
      <x:c r="L24" t="n">
        <x:v>74</x:v>
      </x:c>
      <x:c r="M24" t="n">
        <x:v>2577</x:v>
      </x:c>
      <x:c r="N24" t="n">
        <x:v>230</x:v>
      </x:c>
      <x:c r="O24" s="24" t="n">
        <x:v>0.28378378378378377</x:v>
      </x:c>
      <x:c r="P24" s="24" t="n">
        <x:v>0.034582132564841495</x:v>
      </x:c>
      <x:c r="Q24" s="22" t="n">
        <x:v>498.60810810810807</x:v>
      </x:c>
      <x:c r="R24" s="22" t="n">
        <x:v>663.9255767085327</x:v>
      </x:c>
      <x:c r="S24" s="22" t="n">
        <x:v>575.1959459459459</x:v>
      </x:c>
      <x:c r="T24" s="22" t="n">
        <x:v>1255.886344860144</x:v>
      </x:c>
      <x:c r="U24" s="22" t="n">
        <x:v>89.11815561959654</x:v>
      </x:c>
      <x:c r="V24" s="22" t="n">
        <x:v>3157.532497778624</x:v>
      </x:c>
      <x:c r="W24" s="22" t="n">
        <x:v>42.669358078089516</x:v>
      </x:c>
      <x:c r="X24" t="str">
        <x:v>https://www.fantasypros.com/nba/projections/overall.php</x:v>
      </x:c>
    </x:row>
    <x:row r="25" ht="22" customHeight="1">
      <x:c r="A25" t="str">
        <x:v>Cooper Flagg</x:v>
      </x:c>
      <x:c r="B25" t="str">
        <x:v>DAL</x:v>
      </x:c>
      <x:c r="C25" t="str">
        <x:v>PF/SF/SG</x:v>
      </x:c>
      <x:c r="D25" t="n">
        <x:v>1782</x:v>
      </x:c>
      <x:c r="E25" t="n">
        <x:v>481</x:v>
      </x:c>
      <x:c r="F25" t="n">
        <x:v>376</x:v>
      </x:c>
      <x:c r="G25" t="n">
        <x:v>66</x:v>
      </x:c>
      <x:c r="H25" t="n">
        <x:v>90</x:v>
      </x:c>
      <x:c r="I25" s="26" t="n">
        <x:v>0.476</x:v>
      </x:c>
      <x:c r="J25" s="26" t="n">
        <x:v>0.834</x:v>
      </x:c>
      <x:c r="K25" t="n">
        <x:v>86</x:v>
      </x:c>
      <x:c r="L25" t="n">
        <x:v>75</x:v>
      </x:c>
      <x:c r="M25" t="n">
        <x:v>2602</x:v>
      </x:c>
      <x:c r="N25" t="n">
        <x:v>172</x:v>
      </x:c>
      <x:c r="O25" s="24" t="n">
        <x:v>0.19047619047619047</x:v>
      </x:c>
      <x:c r="P25" s="24" t="n">
        <x:v>0.03582089552238806</x:v>
      </x:c>
      <x:c r="Q25" s="22" t="n">
        <x:v>339.4285714285714</x:v>
      </x:c>
      <x:c r="R25" s="22" t="n">
        <x:v>406.9886947584789</x:v>
      </x:c>
      <x:c r="S25" s="22" t="n">
        <x:v>678.2857142857143</x:v>
      </x:c>
      <x:c r="T25" s="22" t="n">
        <x:v>1424.9699879951982</x:v>
      </x:c>
      <x:c r="U25" s="22" t="n">
        <x:v>93.20597014925373</x:v>
      </x:c>
      <x:c r="V25" s="22" t="n">
        <x:v>3237.8818289734018</x:v>
      </x:c>
      <x:c r="W25" s="22" t="n">
        <x:v>43.171757719645356</x:v>
      </x:c>
      <x:c r="X25" t="str">
        <x:v>https://www.fantasypros.com/nba/projections/overall.php</x:v>
      </x:c>
    </x:row>
    <x:row r="26" ht="22" customHeight="1">
      <x:c r="A26" t="str">
        <x:v>Austin Reaves</x:v>
      </x:c>
      <x:c r="B26" t="str">
        <x:v>LAL</x:v>
      </x:c>
      <x:c r="C26" t="str">
        <x:v>PG/SF/SG</x:v>
      </x:c>
      <x:c r="D26" t="n">
        <x:v>1672</x:v>
      </x:c>
      <x:c r="E26" t="n">
        <x:v>343</x:v>
      </x:c>
      <x:c r="F26" t="n">
        <x:v>402</x:v>
      </x:c>
      <x:c r="G26" t="n">
        <x:v>27</x:v>
      </x:c>
      <x:c r="H26" t="n">
        <x:v>77</x:v>
      </x:c>
      <x:c r="I26" s="26" t="n">
        <x:v>0.472</x:v>
      </x:c>
      <x:c r="J26" s="26" t="n">
        <x:v>0.871</x:v>
      </x:c>
      <x:c r="K26" t="n">
        <x:v>187</x:v>
      </x:c>
      <x:c r="L26" t="n">
        <x:v>73</x:v>
      </x:c>
      <x:c r="M26" t="n">
        <x:v>2611</x:v>
      </x:c>
      <x:c r="N26" t="n">
        <x:v>215</x:v>
      </x:c>
      <x:c r="O26" s="24" t="n">
        <x:v>0.27038626609442057</x:v>
      </x:c>
      <x:c r="P26" s="24" t="n">
        <x:v>0.017391304347826087</x:v>
      </x:c>
      <x:c r="Q26" s="22" t="n">
        <x:v>452.0858369098712</x:v>
      </x:c>
      <x:c r="R26" s="22" t="n">
        <x:v>519.0422926634571</x:v>
      </x:c>
      <x:c r="S26" s="22" t="n">
        <x:v>516.4570815450644</x:v>
      </x:c>
      <x:c r="T26" s="22" t="n">
        <x:v>1094.188732087001</x:v>
      </x:c>
      <x:c r="U26" s="22" t="n">
        <x:v>45.40869565217391</x:v>
      </x:c>
      <x:c r="V26" s="22" t="n">
        <x:v>2984.172203463761</x:v>
      </x:c>
      <x:c r="W26" s="22" t="n">
        <x:v>40.87907128032549</x:v>
      </x:c>
      <x:c r="X26" t="str">
        <x:v>https://www.fantasypros.com/nba/projections/overall.php</x:v>
      </x:c>
    </x:row>
    <x:row r="27" ht="22" customHeight="1">
      <x:c r="A27" t="str">
        <x:v>LaMelo Ball</x:v>
      </x:c>
      <x:c r="B27" t="str">
        <x:v>MIN</x:v>
      </x:c>
      <x:c r="C27" t="str">
        <x:v>PG</x:v>
      </x:c>
      <x:c r="D27" t="n">
        <x:v>1669</x:v>
      </x:c>
      <x:c r="E27" t="n">
        <x:v>381</x:v>
      </x:c>
      <x:c r="F27" t="n">
        <x:v>581</x:v>
      </x:c>
      <x:c r="G27" t="n">
        <x:v>21</x:v>
      </x:c>
      <x:c r="H27" t="n">
        <x:v>105</x:v>
      </x:c>
      <x:c r="I27" s="26" t="n">
        <x:v>0.414</x:v>
      </x:c>
      <x:c r="J27" s="26" t="n">
        <x:v>0.88</x:v>
      </x:c>
      <x:c r="K27" t="n">
        <x:v>279</x:v>
      </x:c>
      <x:c r="L27" t="n">
        <x:v>73</x:v>
      </x:c>
      <x:c r="M27" t="n">
        <x:v>2285</x:v>
      </x:c>
      <x:c r="N27" t="n">
        <x:v>226</x:v>
      </x:c>
      <x:c r="O27" s="24" t="n">
        <x:v>0.10945273631840796</x:v>
      </x:c>
      <x:c r="P27" s="24" t="n">
        <x:v>0.03214285714285715</x:v>
      </x:c>
      <x:c r="Q27" s="22" t="n">
        <x:v>182.6766169154229</x:v>
      </x:c>
      <x:c r="R27" s="22" t="n">
        <x:v>207.58706467661693</x:v>
      </x:c>
      <x:c r="S27" s="22" t="n">
        <x:v>603.6616915422885</x:v>
      </x:c>
      <x:c r="T27" s="22" t="n">
        <x:v>1458.120027879924</x:v>
      </x:c>
      <x:c r="U27" s="22" t="n">
        <x:v>73.44642857142858</x:v>
      </x:c>
      <x:c r="V27" s="22" t="n">
        <x:v>3043.862381501739</x:v>
      </x:c>
      <x:c r="W27" s="22" t="n">
        <x:v>41.69674495207862</x:v>
      </x:c>
      <x:c r="X27" t="str">
        <x:v>https://www.fantasypros.com/nba/projections/overall.php</x:v>
      </x:c>
    </x:row>
    <x:row r="28" ht="22" customHeight="1">
      <x:c r="A28" t="str">
        <x:v>Jamal Murray</x:v>
      </x:c>
      <x:c r="B28" t="str">
        <x:v>DEN</x:v>
      </x:c>
      <x:c r="C28" t="str">
        <x:v>PG</x:v>
      </x:c>
      <x:c r="D28" t="n">
        <x:v>1655</x:v>
      </x:c>
      <x:c r="E28" t="n">
        <x:v>304</x:v>
      </x:c>
      <x:c r="F28" t="n">
        <x:v>462</x:v>
      </x:c>
      <x:c r="G28" t="n">
        <x:v>37</x:v>
      </x:c>
      <x:c r="H28" t="n">
        <x:v>75</x:v>
      </x:c>
      <x:c r="I28" s="26" t="n">
        <x:v>0.475</x:v>
      </x:c>
      <x:c r="J28" s="26" t="n">
        <x:v>0.887</x:v>
      </x:c>
      <x:c r="K28" t="n">
        <x:v>193</x:v>
      </x:c>
      <x:c r="L28" t="n">
        <x:v>74</x:v>
      </x:c>
      <x:c r="M28" t="n">
        <x:v>2641</x:v>
      </x:c>
      <x:c r="N28" t="n">
        <x:v>159</x:v>
      </x:c>
      <x:c r="O28" s="24" t="n">
        <x:v>0.1811023622047244</x:v>
      </x:c>
      <x:c r="P28" s="24" t="n">
        <x:v>0.01129943502824859</x:v>
      </x:c>
      <x:c r="Q28" s="22" t="n">
        <x:v>299.72440944881885</x:v>
      </x:c>
      <x:c r="R28" s="22" t="n">
        <x:v>337.90801516214077</x:v>
      </x:c>
      <x:c r="S28" s="22" t="n">
        <x:v>581.1377952755906</x:v>
      </x:c>
      <x:c r="T28" s="22" t="n">
        <x:v>1223.4479900538752</x:v>
      </x:c>
      <x:c r="U28" s="22" t="n">
        <x:v>29.841807909604523</x:v>
      </x:c>
      <x:c r="V28" s="22" t="n">
        <x:v>2992.5520200520123</x:v>
      </x:c>
      <x:c r="W28" s="22" t="n">
        <x:v>40.43989216286503</x:v>
      </x:c>
      <x:c r="X28" t="str">
        <x:v>https://www.fantasypros.com/nba/projections/overall.php</x:v>
      </x:c>
    </x:row>
    <x:row r="29" ht="22" customHeight="1">
      <x:c r="A29" t="str">
        <x:v>Deni Avdija</x:v>
      </x:c>
      <x:c r="B29" t="str">
        <x:v>POR</x:v>
      </x:c>
      <x:c r="C29" t="str">
        <x:v>PF/SF/SG</x:v>
      </x:c>
      <x:c r="D29" t="n">
        <x:v>1680</x:v>
      </x:c>
      <x:c r="E29" t="n">
        <x:v>546</x:v>
      </x:c>
      <x:c r="F29" t="n">
        <x:v>435</x:v>
      </x:c>
      <x:c r="G29" t="n">
        <x:v>45</x:v>
      </x:c>
      <x:c r="H29" t="n">
        <x:v>64</x:v>
      </x:c>
      <x:c r="I29" s="26" t="n">
        <x:v>0.469</x:v>
      </x:c>
      <x:c r="J29" s="26" t="n">
        <x:v>0.794</x:v>
      </x:c>
      <x:c r="K29" t="n">
        <x:v>139</x:v>
      </x:c>
      <x:c r="L29" t="n">
        <x:v>75</x:v>
      </x:c>
      <x:c r="M29" t="n">
        <x:v>2530</x:v>
      </x:c>
      <x:c r="N29" t="n">
        <x:v>267</x:v>
      </x:c>
      <x:c r="O29" s="24" t="n">
        <x:v>0.3057851239669422</x:v>
      </x:c>
      <x:c r="P29" s="24" t="n">
        <x:v>0.03303303303303304</x:v>
      </x:c>
      <x:c r="Q29" s="22" t="n">
        <x:v>513.7190082644629</x:v>
      </x:c>
      <x:c r="R29" s="22" t="n">
        <x:v>647.0012698544873</x:v>
      </x:c>
      <x:c r="S29" s="22" t="n">
        <x:v>513.6404958677685</x:v>
      </x:c>
      <x:c r="T29" s="22" t="n">
        <x:v>1095.182293961127</x:v>
      </x:c>
      <x:c r="U29" s="22" t="n">
        <x:v>83.57357357357358</x:v>
      </x:c>
      <x:c r="V29" s="22" t="n">
        <x:v>3158.6825915959957</x:v>
      </x:c>
      <x:c r="W29" s="22" t="n">
        <x:v>42.11576788794661</x:v>
      </x:c>
      <x:c r="X29" t="str">
        <x:v>https://www.fantasypros.com/nba/projections/overall.php</x:v>
      </x:c>
    </x:row>
    <x:row r="30" ht="22" customHeight="1">
      <x:c r="A30" t="str">
        <x:v>Damian Lillard</x:v>
      </x:c>
      <x:c r="B30" t="str">
        <x:v>POR</x:v>
      </x:c>
      <x:c r="C30" t="str">
        <x:v>PG</x:v>
      </x:c>
      <x:c r="D30" t="n">
        <x:v>1600</x:v>
      </x:c>
      <x:c r="E30" t="n">
        <x:v>300</x:v>
      </x:c>
      <x:c r="F30" t="n">
        <x:v>440</x:v>
      </x:c>
      <x:c r="G30" t="n">
        <x:v>15</x:v>
      </x:c>
      <x:c r="H30" t="n">
        <x:v>86</x:v>
      </x:c>
      <x:c r="I30" s="26" t="n">
        <x:v>0.435</x:v>
      </x:c>
      <x:c r="J30" s="26" t="n">
        <x:v>0.921</x:v>
      </x:c>
      <x:c r="K30" t="n">
        <x:v>212</x:v>
      </x:c>
      <x:c r="L30" t="n">
        <x:v>72</x:v>
      </x:c>
      <x:c r="M30" t="n">
        <x:v>2409</x:v>
      </x:c>
      <x:c r="N30" t="n">
        <x:v>201</x:v>
      </x:c>
      <x:c r="O30" s="24" t="n">
        <x:v>0.248995983935743</x:v>
      </x:c>
      <x:c r="P30" s="24" t="n">
        <x:v>0.013850415512465374</x:v>
      </x:c>
      <x:c r="Q30" s="22" t="n">
        <x:v>398.39357429718876</x:v>
      </x:c>
      <x:c r="R30" s="22" t="n">
        <x:v>432.5663130262636</x:v>
      </x:c>
      <x:c r="S30" s="22" t="n">
        <x:v>494.80321285140565</x:v>
      </x:c>
      <x:c r="T30" s="22" t="n">
        <x:v>1137.4786502331165</x:v>
      </x:c>
      <x:c r="U30" s="22" t="n">
        <x:v>33.365650969529085</x:v>
      </x:c>
      <x:c r="V30" s="22" t="n">
        <x:v>2847.579912976867</x:v>
      </x:c>
      <x:c r="W30" s="22" t="n">
        <x:v>39.5497210135676</x:v>
      </x:c>
      <x:c r="X30" t="str">
        <x:v>https://www.fantasypros.com/nba/projections/overall.php</x:v>
      </x:c>
    </x:row>
    <x:row r="31" ht="22" customHeight="1">
      <x:c r="A31" t="str">
        <x:v>Franz Wagner</x:v>
      </x:c>
      <x:c r="B31" t="str">
        <x:v>ORL</x:v>
      </x:c>
      <x:c r="C31" t="str">
        <x:v>PF/SF</x:v>
      </x:c>
      <x:c r="D31" t="n">
        <x:v>1604</x:v>
      </x:c>
      <x:c r="E31" t="n">
        <x:v>402</x:v>
      </x:c>
      <x:c r="F31" t="n">
        <x:v>306</x:v>
      </x:c>
      <x:c r="G31" t="n">
        <x:v>26</x:v>
      </x:c>
      <x:c r="H31" t="n">
        <x:v>87</x:v>
      </x:c>
      <x:c r="I31" s="26" t="n">
        <x:v>0.472</x:v>
      </x:c>
      <x:c r="J31" s="26" t="n">
        <x:v>0.85</x:v>
      </x:c>
      <x:c r="K31" t="n">
        <x:v>109</x:v>
      </x:c>
      <x:c r="L31" t="n">
        <x:v>72</x:v>
      </x:c>
      <x:c r="M31" t="n">
        <x:v>2405</x:v>
      </x:c>
      <x:c r="N31" t="n">
        <x:v>147</x:v>
      </x:c>
      <x:c r="O31" s="24" t="n">
        <x:v>0.23300970873786406</x:v>
      </x:c>
      <x:c r="P31" s="24" t="n">
        <x:v>0.043333333333333335</x:v>
      </x:c>
      <x:c r="Q31" s="22" t="n">
        <x:v>373.74757281553394</x:v>
      </x:c>
      <x:c r="R31" s="22" t="n">
        <x:v>439.7030268418047</x:v>
      </x:c>
      <x:c r="S31" s="22" t="n">
        <x:v>560.6262135922331</x:v>
      </x:c>
      <x:c r="T31" s="22" t="n">
        <x:v>1187.76740167846</x:v>
      </x:c>
      <x:c r="U31" s="22" t="n">
        <x:v>104.21666666666667</x:v>
      </x:c>
      <x:c r="V31" s="22" t="n">
        <x:v>2942.7104776286023</x:v>
      </x:c>
      <x:c r="W31" s="22" t="n">
        <x:v>40.87097885595281</x:v>
      </x:c>
      <x:c r="X31" t="str">
        <x:v>https://www.fantasypros.com/nba/projections/overall.php</x:v>
      </x:c>
    </x:row>
    <x:row r="32" ht="22" customHeight="1">
      <x:c r="A32" t="str">
        <x:v>Lauri Markkanen</x:v>
      </x:c>
      <x:c r="B32" t="str">
        <x:v>UTA</x:v>
      </x:c>
      <x:c r="C32" t="str">
        <x:v>SF/PF</x:v>
      </x:c>
      <x:c r="D32" t="n">
        <x:v>1636</x:v>
      </x:c>
      <x:c r="E32" t="n">
        <x:v>458</x:v>
      </x:c>
      <x:c r="F32" t="n">
        <x:v>133</x:v>
      </x:c>
      <x:c r="G32" t="n">
        <x:v>32</x:v>
      </x:c>
      <x:c r="H32" t="n">
        <x:v>65</x:v>
      </x:c>
      <x:c r="I32" s="26" t="n">
        <x:v>0.457</x:v>
      </x:c>
      <x:c r="J32" s="26" t="n">
        <x:v>0.891</x:v>
      </x:c>
      <x:c r="K32" t="n">
        <x:v>201</x:v>
      </x:c>
      <x:c r="L32" t="n">
        <x:v>74</x:v>
      </x:c>
      <x:c r="M32" t="n">
        <x:v>2457</x:v>
      </x:c>
      <x:c r="N32" t="n">
        <x:v>99</x:v>
      </x:c>
      <x:c r="O32" s="24" t="n">
        <x:v>0.21348314606741575</x:v>
      </x:c>
      <x:c r="P32" s="24" t="n">
        <x:v>0.05830903790087464</x:v>
      </x:c>
      <x:c r="Q32" s="22" t="n">
        <x:v>349.2584269662922</x:v>
      </x:c>
      <x:c r="R32" s="22" t="n">
        <x:v>391.9847665166018</x:v>
      </x:c>
      <x:c r="S32" s="22" t="n">
        <x:v>542.870786516854</x:v>
      </x:c>
      <x:c r="T32" s="22" t="n">
        <x:v>1187.9010645883018</x:v>
      </x:c>
      <x:c r="U32" s="22" t="n">
        <x:v>143.26530612244898</x:v>
      </x:c>
      <x:c r="V32" s="22" t="n">
        <x:v>2965.4032081062865</x:v>
      </x:c>
      <x:c r="W32" s="22" t="n">
        <x:v>40.073016325760626</x:v>
      </x:c>
      <x:c r="X32" t="str">
        <x:v>https://www.fantasypros.com/nba/projections/overall.php</x:v>
      </x:c>
    </x:row>
    <x:row r="33" ht="22" customHeight="1">
      <x:c r="A33" t="str">
        <x:v>Zion Williamson</x:v>
      </x:c>
      <x:c r="B33" t="str">
        <x:v>NOP</x:v>
      </x:c>
      <x:c r="C33" t="str">
        <x:v>C/PF</x:v>
      </x:c>
      <x:c r="D33" t="n">
        <x:v>1533</x:v>
      </x:c>
      <x:c r="E33" t="n">
        <x:v>403</x:v>
      </x:c>
      <x:c r="F33" t="n">
        <x:v>295</x:v>
      </x:c>
      <x:c r="G33" t="n">
        <x:v>42</x:v>
      </x:c>
      <x:c r="H33" t="n">
        <x:v>70</x:v>
      </x:c>
      <x:c r="I33" s="26" t="n">
        <x:v>0.586</x:v>
      </x:c>
      <x:c r="J33" s="26" t="n">
        <x:v>0.7</x:v>
      </x:c>
      <x:c r="K33" t="n">
        <x:v>2</x:v>
      </x:c>
      <x:c r="L33" t="n">
        <x:v>69</x:v>
      </x:c>
      <x:c r="M33" t="n">
        <x:v>2070</x:v>
      </x:c>
      <x:c r="N33" t="n">
        <x:v>166</x:v>
      </x:c>
      <x:c r="O33" s="24" t="n">
        <x:v>0.2571428571428572</x:v>
      </x:c>
      <x:c r="P33" s="24" t="n">
        <x:v>0.06734006734006734</x:v>
      </x:c>
      <x:c r="Q33" s="22" t="n">
        <x:v>394.20000000000005</x:v>
      </x:c>
      <x:c r="R33" s="22" t="n">
        <x:v>563.1428571428572</x:v>
      </x:c>
      <x:c r="S33" s="22" t="n">
        <x:v>568.4</x:v>
      </x:c>
      <x:c r="T33" s="22" t="n">
        <x:v>969.9658703071673</x:v>
      </x:c>
      <x:c r="U33" s="22" t="n">
        <x:v>139.3939393939394</x:v>
      </x:c>
      <x:c r="V33" s="22" t="n">
        <x:v>2922.3791513378546</x:v>
      </x:c>
      <x:c r="W33" s="22" t="n">
        <x:v>42.353321033881954</x:v>
      </x:c>
      <x:c r="X33" t="str">
        <x:v>https://www.fantasypros.com/nba/projections/overall.php</x:v>
      </x:c>
    </x:row>
    <x:row r="34" ht="22" customHeight="1">
      <x:c r="A34" t="str">
        <x:v>Pascal Siakam</x:v>
      </x:c>
      <x:c r="B34" t="str">
        <x:v>IND</x:v>
      </x:c>
      <x:c r="C34" t="str">
        <x:v>C/PF/SF</x:v>
      </x:c>
      <x:c r="D34" t="n">
        <x:v>1688</x:v>
      </x:c>
      <x:c r="E34" t="n">
        <x:v>517</x:v>
      </x:c>
      <x:c r="F34" t="n">
        <x:v>290</x:v>
      </x:c>
      <x:c r="G34" t="n">
        <x:v>35</x:v>
      </x:c>
      <x:c r="H34" t="n">
        <x:v>70</x:v>
      </x:c>
      <x:c r="I34" s="26" t="n">
        <x:v>0.517</x:v>
      </x:c>
      <x:c r="J34" s="26" t="n">
        <x:v>0.715</x:v>
      </x:c>
      <x:c r="K34" t="n">
        <x:v>116</x:v>
      </x:c>
      <x:c r="L34" t="n">
        <x:v>76</x:v>
      </x:c>
      <x:c r="M34" t="n">
        <x:v>2572</x:v>
      </x:c>
      <x:c r="N34" t="n">
        <x:v>127</x:v>
      </x:c>
      <x:c r="O34" s="24" t="n">
        <x:v>0.17500000000000002</x:v>
      </x:c>
      <x:c r="P34" s="24" t="n">
        <x:v>0.04216867469879518</x:v>
      </x:c>
      <x:c r="Q34" s="22" t="n">
        <x:v>295.40000000000003</x:v>
      </x:c>
      <x:c r="R34" s="22" t="n">
        <x:v>413.14685314685323</x:v>
      </x:c>
      <x:c r="S34" s="22" t="n">
        <x:v>638.3</x:v>
      </x:c>
      <x:c r="T34" s="22" t="n">
        <x:v>1234.622823984526</x:v>
      </x:c>
      <x:c r="U34" s="22" t="n">
        <x:v>108.4578313253012</x:v>
      </x:c>
      <x:c r="V34" s="22" t="n">
        <x:v>3131.0459855192234</x:v>
      </x:c>
      <x:c r="W34" s="22" t="n">
        <x:v>41.19797349367399</x:v>
      </x:c>
      <x:c r="X34" t="str">
        <x:v>https://www.fantasypros.com/nba/projections/overall.php</x:v>
      </x:c>
    </x:row>
    <x:row r="35" ht="22" customHeight="1">
      <x:c r="A35" t="str">
        <x:v>Anthony Davis</x:v>
      </x:c>
      <x:c r="B35" t="str">
        <x:v>WAS</x:v>
      </x:c>
      <x:c r="C35" t="str">
        <x:v>PF/C</x:v>
      </x:c>
      <x:c r="D35" t="n">
        <x:v>1533</x:v>
      </x:c>
      <x:c r="E35" t="n">
        <x:v>765</x:v>
      </x:c>
      <x:c r="F35" t="n">
        <x:v>209</x:v>
      </x:c>
      <x:c r="G35" t="n">
        <x:v>138</x:v>
      </x:c>
      <x:c r="H35" t="n">
        <x:v>76</x:v>
      </x:c>
      <x:c r="I35" s="26" t="n">
        <x:v>0.514</x:v>
      </x:c>
      <x:c r="J35" s="26" t="n">
        <x:v>0.783</x:v>
      </x:c>
      <x:c r="K35" t="n">
        <x:v>38</x:v>
      </x:c>
      <x:c r="L35" t="n">
        <x:v>70</x:v>
      </x:c>
      <x:c r="M35" t="n">
        <x:v>2258</x:v>
      </x:c>
      <x:c r="N35" t="n">
        <x:v>150</x:v>
      </x:c>
      <x:c r="O35" s="24" t="n">
        <x:v>0.14705882352941177</x:v>
      </x:c>
      <x:c r="P35" s="24" t="n">
        <x:v>0.09904153354632587</x:v>
      </x:c>
      <x:c r="Q35" s="22" t="n">
        <x:v>225.44117647058823</x:v>
      </x:c>
      <x:c r="R35" s="22" t="n">
        <x:v>287.9197656073924</x:v>
      </x:c>
      <x:c r="S35" s="22" t="n">
        <x:v>634.7794117647059</x:v>
      </x:c>
      <x:c r="T35" s="22" t="n">
        <x:v>1234.9794003204395</x:v>
      </x:c>
      <x:c r="U35" s="22" t="n">
        <x:v>223.63578274760383</x:v>
      </x:c>
      <x:c r="V35" s="22" t="n">
        <x:v>3353.313576037964</x:v>
      </x:c>
      <x:c r="W35" s="22" t="n">
        <x:v>47.9044796576852</x:v>
      </x:c>
      <x:c r="X35" t="str">
        <x:v>https://www.fantasypros.com/nba/projections/overall.php</x:v>
      </x:c>
    </x:row>
    <x:row r="36" ht="22" customHeight="1">
      <x:c r="A36" t="str">
        <x:v>Tyler Herro</x:v>
      </x:c>
      <x:c r="B36" t="str">
        <x:v>MIL</x:v>
      </x:c>
      <x:c r="C36" t="str">
        <x:v>PG/SG</x:v>
      </x:c>
      <x:c r="D36" t="n">
        <x:v>1579</x:v>
      </x:c>
      <x:c r="E36" t="n">
        <x:v>340</x:v>
      </x:c>
      <x:c r="F36" t="n">
        <x:v>333</x:v>
      </x:c>
      <x:c r="G36" t="n">
        <x:v>18</x:v>
      </x:c>
      <x:c r="H36" t="n">
        <x:v>55</x:v>
      </x:c>
      <x:c r="I36" s="26" t="n">
        <x:v>0.474</x:v>
      </x:c>
      <x:c r="J36" s="26" t="n">
        <x:v>0.897</x:v>
      </x:c>
      <x:c r="K36" t="n">
        <x:v>209</x:v>
      </x:c>
      <x:c r="L36" t="n">
        <x:v>73</x:v>
      </x:c>
      <x:c r="M36" t="n">
        <x:v>2493</x:v>
      </x:c>
      <x:c r="N36" t="n">
        <x:v>169</x:v>
      </x:c>
      <x:c r="O36" s="24" t="n">
        <x:v>0.14634146341463414</x:v>
      </x:c>
      <x:c r="P36" s="24" t="n">
        <x:v>0.012779552715654953</x:v>
      </x:c>
      <x:c r="Q36" s="22" t="n">
        <x:v>231.0731707317073</x:v>
      </x:c>
      <x:c r="R36" s="22" t="n">
        <x:v>257.60665633412185</x:v>
      </x:c>
      <x:c r="S36" s="22" t="n">
        <x:v>569.4634146341464</x:v>
      </x:c>
      <x:c r="T36" s="22" t="n">
        <x:v>1201.3996089327984</x:v>
      </x:c>
      <x:c r="U36" s="22" t="n">
        <x:v>31.859424920127797</x:v>
      </x:c>
      <x:c r="V36" s="22" t="n">
        <x:v>2632.2857553050426</x:v>
      </x:c>
      <x:c r="W36" s="22" t="n">
        <x:v>36.0587089767814</x:v>
      </x:c>
      <x:c r="X36" t="str">
        <x:v>https://www.fantasypros.com/nba/projections/overall.php</x:v>
      </x:c>
    </x:row>
    <x:row r="37" ht="22" customHeight="1">
      <x:c r="A37" t="str">
        <x:v>Norman Powell</x:v>
      </x:c>
      <x:c r="B37" t="str">
        <x:v>CHI</x:v>
      </x:c>
      <x:c r="C37" t="str">
        <x:v>SG/SF</x:v>
      </x:c>
      <x:c r="D37" t="n">
        <x:v>1594</x:v>
      </x:c>
      <x:c r="E37" t="n">
        <x:v>243</x:v>
      </x:c>
      <x:c r="F37" t="n">
        <x:v>174</x:v>
      </x:c>
      <x:c r="G37" t="n">
        <x:v>18</x:v>
      </x:c>
      <x:c r="H37" t="n">
        <x:v>77</x:v>
      </x:c>
      <x:c r="I37" s="26" t="n">
        <x:v>0.472</x:v>
      </x:c>
      <x:c r="J37" s="26" t="n">
        <x:v>0.822</x:v>
      </x:c>
      <x:c r="K37" t="n">
        <x:v>208</x:v>
      </x:c>
      <x:c r="L37" t="n">
        <x:v>74</x:v>
      </x:c>
      <x:c r="M37" t="n">
        <x:v>2404</x:v>
      </x:c>
      <x:c r="N37" t="n">
        <x:v>143</x:v>
      </x:c>
      <x:c r="O37" s="24" t="n">
        <x:v>0.20737327188940094</x:v>
      </x:c>
      <x:c r="P37" s="24" t="n">
        <x:v>0.013513513513513514</x:v>
      </x:c>
      <x:c r="Q37" s="22" t="n">
        <x:v>330.5529953917051</x:v>
      </x:c>
      <x:c r="R37" s="22" t="n">
        <x:v>402.1325978001279</x:v>
      </x:c>
      <x:c r="S37" s="22" t="n">
        <x:v>527.7235023041475</x:v>
      </x:c>
      <x:c r="T37" s="22" t="n">
        <x:v>1118.058267593533</x:v>
      </x:c>
      <x:c r="U37" s="22" t="n">
        <x:v>32.48648648648649</x:v>
      </x:c>
      <x:c r="V37" s="22" t="n">
        <x:v>2462.3351029710175</x:v>
      </x:c>
      <x:c r="W37" s="22" t="n">
        <x:v>33.27479868879753</x:v>
      </x:c>
      <x:c r="X37" t="str">
        <x:v>https://www.fantasypros.com/nba/projections/overall.php</x:v>
      </x:c>
    </x:row>
    <x:row r="38" ht="22" customHeight="1">
      <x:c r="A38" t="str">
        <x:v>LeBron James</x:v>
      </x:c>
      <x:c r="B38" t="str">
        <x:v>PHI</x:v>
      </x:c>
      <x:c r="C38" t="str">
        <x:v>SF/PF</x:v>
      </x:c>
      <x:c r="D38" t="n">
        <x:v>1466</x:v>
      </x:c>
      <x:c r="E38" t="n">
        <x:v>466</x:v>
      </x:c>
      <x:c r="F38" t="n">
        <x:v>472</x:v>
      </x:c>
      <x:c r="G38" t="n">
        <x:v>42</x:v>
      </x:c>
      <x:c r="H38" t="n">
        <x:v>75</x:v>
      </x:c>
      <x:c r="I38" s="26" t="n">
        <x:v>0.511</x:v>
      </x:c>
      <x:c r="J38" s="26" t="n">
        <x:v>0.758</x:v>
      </x:c>
      <x:c r="K38" t="n">
        <x:v>109</x:v>
      </x:c>
      <x:c r="L38" t="n">
        <x:v>68</x:v>
      </x:c>
      <x:c r="M38" t="n">
        <x:v>2228</x:v>
      </x:c>
      <x:c r="N38" t="n">
        <x:v>208</x:v>
      </x:c>
      <x:c r="O38" s="24" t="n">
        <x:v>0.18660287081339713</x:v>
      </x:c>
      <x:c r="P38" s="24" t="n">
        <x:v>0.02108433734939759</x:v>
      </x:c>
      <x:c r="Q38" s="22" t="n">
        <x:v>273.5598086124402</x:v>
      </x:c>
      <x:c r="R38" s="22" t="n">
        <x:v>360.8968451351453</x:v>
      </x:c>
      <x:c r="S38" s="22" t="n">
        <x:v>541.72009569378</x:v>
      </x:c>
      <x:c r="T38" s="22" t="n">
        <x:v>1060.1176040974167</x:v>
      </x:c>
      <x:c r="U38" s="22" t="n">
        <x:v>46.97590361445783</x:v>
      </x:c>
      <x:c r="V38" s="22" t="n">
        <x:v>2849.497166608794</x:v>
      </x:c>
      <x:c r="W38" s="22" t="n">
        <x:v>41.90437009718815</x:v>
      </x:c>
      <x:c r="X38" t="str">
        <x:v>https://www.fantasypros.com/nba/projections/overall.php</x:v>
      </x:c>
    </x:row>
    <x:row r="39" ht="22" customHeight="1">
      <x:c r="A39" t="str">
        <x:v>Brandon Ingram</x:v>
      </x:c>
      <x:c r="B39" t="str">
        <x:v>LAC</x:v>
      </x:c>
      <x:c r="C39" t="str">
        <x:v>SG/SF/PF</x:v>
      </x:c>
      <x:c r="D39" t="n">
        <x:v>1367</x:v>
      </x:c>
      <x:c r="E39" t="n">
        <x:v>362</x:v>
      </x:c>
      <x:c r="F39" t="n">
        <x:v>260</x:v>
      </x:c>
      <x:c r="G39" t="n">
        <x:v>43</x:v>
      </x:c>
      <x:c r="H39" t="n">
        <x:v>50</x:v>
      </x:c>
      <x:c r="I39" s="26" t="n">
        <x:v>0.485</x:v>
      </x:c>
      <x:c r="J39" s="26" t="n">
        <x:v>0.818</x:v>
      </x:c>
      <x:c r="K39" t="n">
        <x:v>124</x:v>
      </x:c>
      <x:c r="L39" t="n">
        <x:v>64</x:v>
      </x:c>
      <x:c r="M39" t="n">
        <x:v>2186</x:v>
      </x:c>
      <x:c r="N39" t="n">
        <x:v>168</x:v>
      </x:c>
      <x:c r="O39" s="24" t="n">
        <x:v>0.17674418604651163</x:v>
      </x:c>
      <x:c r="P39" s="24" t="n">
        <x:v>0.02366863905325444</x:v>
      </x:c>
      <x:c r="Q39" s="22" t="n">
        <x:v>241.60930232558138</x:v>
      </x:c>
      <x:c r="R39" s="22" t="n">
        <x:v>295.3658952635469</x:v>
      </x:c>
      <x:c r="S39" s="22" t="n">
        <x:v>500.6953488372093</x:v>
      </x:c>
      <x:c r="T39" s="22" t="n">
        <x:v>1032.361543994246</x:v>
      </x:c>
      <x:c r="U39" s="22" t="n">
        <x:v>51.739644970414204</x:v>
      </x:c>
      <x:c r="V39" s="22" t="n">
        <x:v>2331.861153008617</x:v>
      </x:c>
      <x:c r="W39" s="22" t="n">
        <x:v>36.43533051575964</x:v>
      </x:c>
      <x:c r="X39" t="str">
        <x:v>https://www.fantasypros.com/nba/projections/overall.php</x:v>
      </x:c>
    </x:row>
    <x:row r="40" ht="22" customHeight="1">
      <x:c r="A40" t="str">
        <x:v>Jalen Johnson</x:v>
      </x:c>
      <x:c r="B40" t="str">
        <x:v>ATL</x:v>
      </x:c>
      <x:c r="C40" t="str">
        <x:v>PF/SF</x:v>
      </x:c>
      <x:c r="D40" t="n">
        <x:v>1600</x:v>
      </x:c>
      <x:c r="E40" t="n">
        <x:v>736</x:v>
      </x:c>
      <x:c r="F40" t="n">
        <x:v>537</x:v>
      </x:c>
      <x:c r="G40" t="n">
        <x:v>39</x:v>
      </x:c>
      <x:c r="H40" t="n">
        <x:v>91</x:v>
      </x:c>
      <x:c r="I40" s="26" t="n">
        <x:v>0.49</x:v>
      </x:c>
      <x:c r="J40" s="26" t="n">
        <x:v>0.783</x:v>
      </x:c>
      <x:c r="K40" t="n">
        <x:v>117</x:v>
      </x:c>
      <x:c r="L40" t="n">
        <x:v>75</x:v>
      </x:c>
      <x:c r="M40" t="n">
        <x:v>2721</x:v>
      </x:c>
      <x:c r="N40" t="n">
        <x:v>236</x:v>
      </x:c>
      <x:c r="O40" s="24" t="n">
        <x:v>0.18666666666666668</x:v>
      </x:c>
      <x:c r="P40" s="24" t="n">
        <x:v>0.039772727272727265</x:v>
      </x:c>
      <x:c r="Q40" s="22" t="n">
        <x:v>298.6666666666667</x:v>
      </x:c>
      <x:c r="R40" s="22" t="n">
        <x:v>381.43891017454234</x:v>
      </x:c>
      <x:c r="S40" s="22" t="n">
        <x:v>592.1666666666666</x:v>
      </x:c>
      <x:c r="T40" s="22" t="n">
        <x:v>1208.503401360544</x:v>
      </x:c>
      <x:c r="U40" s="22" t="n">
        <x:v>108.22159090909089</x:v>
      </x:c>
      <x:c r="V40" s="22" t="n">
        <x:v>3435.167536949762</x:v>
      </x:c>
      <x:c r="W40" s="22" t="n">
        <x:v>45.80223382599683</x:v>
      </x:c>
      <x:c r="X40" t="str">
        <x:v>https://www.fantasypros.com/nba/projections/overall.php</x:v>
      </x:c>
    </x:row>
    <x:row r="41" ht="22" customHeight="1">
      <x:c r="A41" t="str">
        <x:v>Trae Young</x:v>
      </x:c>
      <x:c r="B41" t="str">
        <x:v>WAS</x:v>
      </x:c>
      <x:c r="C41" t="str">
        <x:v>PG</x:v>
      </x:c>
      <x:c r="D41" t="n">
        <x:v>1583</x:v>
      </x:c>
      <x:c r="E41" t="n">
        <x:v>205</x:v>
      </x:c>
      <x:c r="F41" t="n">
        <x:v>689</x:v>
      </x:c>
      <x:c r="G41" t="n">
        <x:v>15</x:v>
      </x:c>
      <x:c r="H41" t="n">
        <x:v>77</x:v>
      </x:c>
      <x:c r="I41" s="26" t="n">
        <x:v>0.415</x:v>
      </x:c>
      <x:c r="J41" s="26" t="n">
        <x:v>0.868</x:v>
      </x:c>
      <x:c r="K41" t="n">
        <x:v>179</x:v>
      </x:c>
      <x:c r="L41" t="n">
        <x:v>75</x:v>
      </x:c>
      <x:c r="M41" t="n">
        <x:v>2581</x:v>
      </x:c>
      <x:c r="N41" t="n">
        <x:v>307</x:v>
      </x:c>
      <x:c r="O41" s="24" t="n">
        <x:v>0.29608938547486036</x:v>
      </x:c>
      <x:c r="P41" s="24" t="n">
        <x:v>0.011718749999999998</x:v>
      </x:c>
      <x:c r="Q41" s="22" t="n">
        <x:v>468.70949720670393</x:v>
      </x:c>
      <x:c r="R41" s="22" t="n">
        <x:v>539.9879000077234</x:v>
      </x:c>
      <x:c r="S41" s="22" t="n">
        <x:v>467.64525139664806</x:v>
      </x:c>
      <x:c r="T41" s="22" t="n">
        <x:v>1126.8560274618026</x:v>
      </x:c>
      <x:c r="U41" s="22" t="n">
        <x:v>30.246093749999996</x:v>
      </x:c>
      <x:c r="V41" s="22" t="n">
        <x:v>2829.357757237178</x:v>
      </x:c>
      <x:c r="W41" s="22" t="n">
        <x:v>37.7247700964957</x:v>
      </x:c>
      <x:c r="X41" t="str">
        <x:v>https://www.fantasypros.com/nba/projections/overall.php</x:v>
      </x:c>
    </x:row>
    <x:row r="42" ht="22" customHeight="1">
      <x:c r="A42" t="str">
        <x:v>Karl-Anthony Towns</x:v>
      </x:c>
      <x:c r="B42" t="str">
        <x:v>NYK</x:v>
      </x:c>
      <x:c r="C42" t="str">
        <x:v>PF/C</x:v>
      </x:c>
      <x:c r="D42" t="n">
        <x:v>1571</x:v>
      </x:c>
      <x:c r="E42" t="n">
        <x:v>869</x:v>
      </x:c>
      <x:c r="F42" t="n">
        <x:v>271</x:v>
      </x:c>
      <x:c r="G42" t="n">
        <x:v>50</x:v>
      </x:c>
      <x:c r="H42" t="n">
        <x:v>68</x:v>
      </x:c>
      <x:c r="I42" s="26" t="n">
        <x:v>0.51</x:v>
      </x:c>
      <x:c r="J42" s="26" t="n">
        <x:v>0.851</x:v>
      </x:c>
      <x:c r="K42" t="n">
        <x:v>128</x:v>
      </x:c>
      <x:c r="L42" t="n">
        <x:v>74</x:v>
      </x:c>
      <x:c r="M42" t="n">
        <x:v>2424</x:v>
      </x:c>
      <x:c r="N42" t="n">
        <x:v>188</x:v>
      </x:c>
      <x:c r="O42" s="24" t="n">
        <x:v>0.2388059701492537</x:v>
      </x:c>
      <x:c r="P42" s="24" t="n">
        <x:v>0.1</x:v>
      </x:c>
      <x:c r="Q42" s="22" t="n">
        <x:v>375.16417910447757</x:v>
      </x:c>
      <x:c r="R42" s="22" t="n">
        <x:v>440.85097427083144</x:v>
      </x:c>
      <x:c r="S42" s="22" t="n">
        <x:v>533.9179104477612</x:v>
      </x:c>
      <x:c r="T42" s="22" t="n">
        <x:v>1046.897863623061</x:v>
      </x:c>
      <x:c r="U42" s="22" t="n">
        <x:v>242.4</x:v>
      </x:c>
      <x:c r="V42" s="22" t="n">
        <x:v>3624.715341210585</x:v>
      </x:c>
      <x:c r="W42" s="22" t="n">
        <x:v>48.982639746088985</x:v>
      </x:c>
      <x:c r="X42" t="str">
        <x:v>https://www.fantasypros.com/nba/projections/overall.php</x:v>
      </x:c>
    </x:row>
    <x:row r="43" ht="22" customHeight="1">
      <x:c r="A43" t="str">
        <x:v>Brandon Miller</x:v>
      </x:c>
      <x:c r="B43" t="str">
        <x:v>CHA</x:v>
      </x:c>
      <x:c r="C43" t="str">
        <x:v>PF/SF/SG</x:v>
      </x:c>
      <x:c r="D43" t="n">
        <x:v>1526</x:v>
      </x:c>
      <x:c r="E43" t="n">
        <x:v>356</x:v>
      </x:c>
      <x:c r="F43" t="n">
        <x:v>252</x:v>
      </x:c>
      <x:c r="G43" t="n">
        <x:v>49</x:v>
      </x:c>
      <x:c r="H43" t="n">
        <x:v>73</x:v>
      </x:c>
      <x:c r="I43" s="26" t="n">
        <x:v>0.432</x:v>
      </x:c>
      <x:c r="J43" s="26" t="n">
        <x:v>0.884</x:v>
      </x:c>
      <x:c r="K43" t="n">
        <x:v>252</x:v>
      </x:c>
      <x:c r="L43" t="n">
        <x:v>73</x:v>
      </x:c>
      <x:c r="M43" t="n">
        <x:v>2397</x:v>
      </x:c>
      <x:c r="N43" t="n">
        <x:v>190</x:v>
      </x:c>
      <x:c r="O43" s="24" t="n">
        <x:v>0.15346534653465346</x:v>
      </x:c>
      <x:c r="P43" s="24" t="n">
        <x:v>0.036303630363036306</x:v>
      </x:c>
      <x:c r="Q43" s="22" t="n">
        <x:v>234.1881188118812</x:v>
      </x:c>
      <x:c r="R43" s="22" t="n">
        <x:v>264.9186864387796</x:v>
      </x:c>
      <x:c r="S43" s="22" t="n">
        <x:v>519.9059405940594</x:v>
      </x:c>
      <x:c r="T43" s="22" t="n">
        <x:v>1203.4859735973598</x:v>
      </x:c>
      <x:c r="U43" s="22" t="n">
        <x:v>87.01980198019803</x:v>
      </x:c>
      <x:c r="V43" s="22" t="n">
        <x:v>2565.323062736138</x:v>
      </x:c>
      <x:c r="W43" s="22" t="n">
        <x:v>35.14141181830326</x:v>
      </x:c>
      <x:c r="X43" t="str">
        <x:v>https://www.fantasypros.com/nba/projections/overall.php</x:v>
      </x:c>
    </x:row>
    <x:row r="44" ht="22" customHeight="1">
      <x:c r="A44" t="str">
        <x:v>Michael Porter Jr.</x:v>
      </x:c>
      <x:c r="B44" t="str">
        <x:v>BKN</x:v>
      </x:c>
      <x:c r="C44" t="str">
        <x:v>SF/PF</x:v>
      </x:c>
      <x:c r="D44" t="n">
        <x:v>1525</x:v>
      </x:c>
      <x:c r="E44" t="n">
        <x:v>474</x:v>
      </x:c>
      <x:c r="F44" t="n">
        <x:v>181</x:v>
      </x:c>
      <x:c r="G44" t="n">
        <x:v>26</x:v>
      </x:c>
      <x:c r="H44" t="n">
        <x:v>64</x:v>
      </x:c>
      <x:c r="I44" s="26" t="n">
        <x:v>0.455</x:v>
      </x:c>
      <x:c r="J44" s="26" t="n">
        <x:v>0.835</x:v>
      </x:c>
      <x:c r="K44" t="n">
        <x:v>224</x:v>
      </x:c>
      <x:c r="L44" t="n">
        <x:v>74</x:v>
      </x:c>
      <x:c r="M44" t="n">
        <x:v>2438</x:v>
      </x:c>
      <x:c r="N44" t="n">
        <x:v>144</x:v>
      </x:c>
      <x:c r="O44" s="24" t="n">
        <x:v>0.15702479338842976</x:v>
      </x:c>
      <x:c r="P44" s="24" t="n">
        <x:v>0.04</x:v>
      </x:c>
      <x:c r="Q44" s="22" t="n">
        <x:v>239.46280991735537</x:v>
      </x:c>
      <x:c r="R44" s="22" t="n">
        <x:v>286.7818082842579</x:v>
      </x:c>
      <x:c r="S44" s="22" t="n">
        <x:v>530.7685950413223</x:v>
      </x:c>
      <x:c r="T44" s="22" t="n">
        <x:v>1166.524384706203</x:v>
      </x:c>
      <x:c r="U44" s="22" t="n">
        <x:v>97.52</x:v>
      </x:c>
      <x:c r="V44" s="22" t="n">
        <x:v>2655.6966169268944</x:v>
      </x:c>
      <x:c r="W44" s="22" t="n">
        <x:v>35.887792120633705</x:v>
      </x:c>
      <x:c r="X44" t="str">
        <x:v>https://www.fantasypros.com/nba/projections/overall.php</x:v>
      </x:c>
    </x:row>
    <x:row r="45" ht="22" customHeight="1">
      <x:c r="A45" t="str">
        <x:v>Ja Morant</x:v>
      </x:c>
      <x:c r="B45" t="str">
        <x:v>POR</x:v>
      </x:c>
      <x:c r="C45" t="str">
        <x:v>PG</x:v>
      </x:c>
      <x:c r="D45" t="n">
        <x:v>1476</x:v>
      </x:c>
      <x:c r="E45" t="n">
        <x:v>270</x:v>
      </x:c>
      <x:c r="F45" t="n">
        <x:v>479</x:v>
      </x:c>
      <x:c r="G45" t="n">
        <x:v>22</x:v>
      </x:c>
      <x:c r="H45" t="n">
        <x:v>79</x:v>
      </x:c>
      <x:c r="I45" s="26" t="n">
        <x:v>0.437</x:v>
      </x:c>
      <x:c r="J45" s="26" t="n">
        <x:v>0.842</x:v>
      </x:c>
      <x:c r="K45" t="n">
        <x:v>103</x:v>
      </x:c>
      <x:c r="L45" t="n">
        <x:v>72</x:v>
      </x:c>
      <x:c r="M45" t="n">
        <x:v>2116</x:v>
      </x:c>
      <x:c r="N45" t="n">
        <x:v>254</x:v>
      </x:c>
      <x:c r="O45" s="24" t="n">
        <x:v>0.2717948717948718</x:v>
      </x:c>
      <x:c r="P45" s="24" t="n">
        <x:v>0.014084507042253523</x:v>
      </x:c>
      <x:c r="Q45" s="22" t="n">
        <x:v>401.16923076923075</x:v>
      </x:c>
      <x:c r="R45" s="22" t="n">
        <x:v>476.4480175406541</x:v>
      </x:c>
      <x:c r="S45" s="22" t="n">
        <x:v>485.9153846153846</x:v>
      </x:c>
      <x:c r="T45" s="22" t="n">
        <x:v>1111.934518570674</x:v>
      </x:c>
      <x:c r="U45" s="22" t="n">
        <x:v>29.802816901408455</x:v>
      </x:c>
      <x:c r="V45" s="22" t="n">
        <x:v>2495.8923284607195</x:v>
      </x:c>
      <x:c r="W45" s="22" t="n">
        <x:v>34.665171228621105</x:v>
      </x:c>
      <x:c r="X45" t="str">
        <x:v>https://www.fantasypros.com/nba/projections/overall.php</x:v>
      </x:c>
    </x:row>
    <x:row r="46" ht="22" customHeight="1">
      <x:c r="A46" t="str">
        <x:v>James Harden</x:v>
      </x:c>
      <x:c r="B46" t="str">
        <x:v>CLE</x:v>
      </x:c>
      <x:c r="C46" t="str">
        <x:v>PG/SG</x:v>
      </x:c>
      <x:c r="D46" t="n">
        <x:v>1543</x:v>
      </x:c>
      <x:c r="E46" t="n">
        <x:v>399</x:v>
      </x:c>
      <x:c r="F46" t="n">
        <x:v>607</x:v>
      </x:c>
      <x:c r="G46" t="n">
        <x:v>43</x:v>
      </x:c>
      <x:c r="H46" t="n">
        <x:v>96</x:v>
      </x:c>
      <x:c r="I46" s="26" t="n">
        <x:v>0.427</x:v>
      </x:c>
      <x:c r="J46" s="26" t="n">
        <x:v>0.875</x:v>
      </x:c>
      <x:c r="K46" t="n">
        <x:v>210</x:v>
      </x:c>
      <x:c r="L46" t="n">
        <x:v>76</x:v>
      </x:c>
      <x:c r="M46" t="n">
        <x:v>2548</x:v>
      </x:c>
      <x:c r="N46" t="n">
        <x:v>252</x:v>
      </x:c>
      <x:c r="O46" s="24" t="n">
        <x:v>0.2796610169491525</x:v>
      </x:c>
      <x:c r="P46" s="24" t="n">
        <x:v>0.017241379310344827</x:v>
      </x:c>
      <x:c r="Q46" s="22" t="n">
        <x:v>431.51694915254234</x:v>
      </x:c>
      <x:c r="R46" s="22" t="n">
        <x:v>493.16222760290555</x:v>
      </x:c>
      <x:c r="S46" s="22" t="n">
        <x:v>450.74152542372883</x:v>
      </x:c>
      <x:c r="T46" s="22" t="n">
        <x:v>1055.600762116461</x:v>
      </x:c>
      <x:c r="U46" s="22" t="n">
        <x:v>43.93103448275862</x:v>
      </x:c>
      <x:c r="V46" s="22" t="n">
        <x:v>3118.616028398693</x:v>
      </x:c>
      <x:c r="W46" s="22" t="n">
        <x:v>41.03442142629859</x:v>
      </x:c>
      <x:c r="X46" t="str">
        <x:v>https://www.fantasypros.com/nba/projections/overall.php</x:v>
      </x:c>
    </x:row>
    <x:row r="47" ht="22" customHeight="1">
      <x:c r="A47" t="str">
        <x:v>Jalen Williams</x:v>
      </x:c>
      <x:c r="B47" t="str">
        <x:v>OKC</x:v>
      </x:c>
      <x:c r="C47" t="str">
        <x:v>PF/SF/SG</x:v>
      </x:c>
      <x:c r="D47" t="n">
        <x:v>1512</x:v>
      </x:c>
      <x:c r="E47" t="n">
        <x:v>356</x:v>
      </x:c>
      <x:c r="F47" t="n">
        <x:v>373</x:v>
      </x:c>
      <x:c r="G47" t="n">
        <x:v>39</x:v>
      </x:c>
      <x:c r="H47" t="n">
        <x:v>102</x:v>
      </x:c>
      <x:c r="I47" s="26" t="n">
        <x:v>0.492</x:v>
      </x:c>
      <x:c r="J47" s="26" t="n">
        <x:v>0.805</x:v>
      </x:c>
      <x:c r="K47" t="n">
        <x:v>106</x:v>
      </x:c>
      <x:c r="L47" t="n">
        <x:v>74</x:v>
      </x:c>
      <x:c r="M47" t="n">
        <x:v>2385</x:v>
      </x:c>
      <x:c r="N47" t="n">
        <x:v>148</x:v>
      </x:c>
      <x:c r="O47" s="24" t="n">
        <x:v>0.19298245614035084</x:v>
      </x:c>
      <x:c r="P47" s="24" t="n">
        <x:v>0.028169014084507046</x:v>
      </x:c>
      <x:c r="Q47" s="22" t="n">
        <x:v>291.78947368421046</x:v>
      </x:c>
      <x:c r="R47" s="22" t="n">
        <x:v>362.47139588100674</x:v>
      </x:c>
      <x:c r="S47" s="22" t="n">
        <x:v>557.1052631578948</x:v>
      </x:c>
      <x:c r="T47" s="22" t="n">
        <x:v>1132.3277706461276</x:v>
      </x:c>
      <x:c r="U47" s="22" t="n">
        <x:v>67.18309859154931</x:v>
      </x:c>
      <x:c r="V47" s="22" t="n">
        <x:v>2837.356504340175</x:v>
      </x:c>
      <x:c r="W47" s="22" t="n">
        <x:v>38.34265546405642</x:v>
      </x:c>
      <x:c r="X47" t="str">
        <x:v>https://www.fantasypros.com/nba/projections/overall.php</x:v>
      </x:c>
    </x:row>
    <x:row r="48" ht="22" customHeight="1">
      <x:c r="A48" t="str">
        <x:v>Jalen Green</x:v>
      </x:c>
      <x:c r="B48" t="str">
        <x:v>PHX</x:v>
      </x:c>
      <x:c r="C48" t="str">
        <x:v>SF/SG</x:v>
      </x:c>
      <x:c r="D48" t="n">
        <x:v>1505</x:v>
      </x:c>
      <x:c r="E48" t="n">
        <x:v>334</x:v>
      </x:c>
      <x:c r="F48" t="n">
        <x:v>259</x:v>
      </x:c>
      <x:c r="G48" t="n">
        <x:v>24</x:v>
      </x:c>
      <x:c r="H48" t="n">
        <x:v>83</x:v>
      </x:c>
      <x:c r="I48" s="26" t="n">
        <x:v>0.426</x:v>
      </x:c>
      <x:c r="J48" s="26" t="n">
        <x:v>0.784</x:v>
      </x:c>
      <x:c r="K48" t="n">
        <x:v>202</x:v>
      </x:c>
      <x:c r="L48" t="n">
        <x:v>74</x:v>
      </x:c>
      <x:c r="M48" t="n">
        <x:v>2369</x:v>
      </x:c>
      <x:c r="N48" t="n">
        <x:v>185</x:v>
      </x:c>
      <x:c r="O48" s="24" t="n">
        <x:v>0.11235955056179775</x:v>
      </x:c>
      <x:c r="P48" s="24" t="n">
        <x:v>0.019305019305019305</x:v>
      </x:c>
      <x:c r="Q48" s="22" t="n">
        <x:v>169.1011235955056</x:v>
      </x:c>
      <x:c r="R48" s="22" t="n">
        <x:v>215.69020866773675</x:v>
      </x:c>
      <x:c r="S48" s="22" t="n">
        <x:v>566.9494382022472</x:v>
      </x:c>
      <x:c r="T48" s="22" t="n">
        <x:v>1330.8672258268714</x:v>
      </x:c>
      <x:c r="U48" s="22" t="n">
        <x:v>45.73359073359073</x:v>
      </x:c>
      <x:c r="V48" s="22" t="n">
        <x:v>2278.5108705680786</x:v>
      </x:c>
      <x:c r="W48" s="22" t="n">
        <x:v>30.79068744010917</x:v>
      </x:c>
      <x:c r="X48" t="str">
        <x:v>https://www.fantasypros.com/nba/projections/overall.php</x:v>
      </x:c>
    </x:row>
    <x:row r="49" ht="22" customHeight="1">
      <x:c r="A49" t="str">
        <x:v>Jaren Jackson Jr.</x:v>
      </x:c>
      <x:c r="B49" t="str">
        <x:v>UTA</x:v>
      </x:c>
      <x:c r="C49" t="str">
        <x:v>PF/C</x:v>
      </x:c>
      <x:c r="D49" t="n">
        <x:v>1419</x:v>
      </x:c>
      <x:c r="E49" t="n">
        <x:v>360</x:v>
      </x:c>
      <x:c r="F49" t="n">
        <x:v>138</x:v>
      </x:c>
      <x:c r="G49" t="n">
        <x:v>88</x:v>
      </x:c>
      <x:c r="H49" t="n">
        <x:v>81</x:v>
      </x:c>
      <x:c r="I49" s="26" t="n">
        <x:v>0.47</x:v>
      </x:c>
      <x:c r="J49" s="26" t="n">
        <x:v>0.794</x:v>
      </x:c>
      <x:c r="K49" t="n">
        <x:v>123</x:v>
      </x:c>
      <x:c r="L49" t="n">
        <x:v>70</x:v>
      </x:c>
      <x:c r="M49" t="n">
        <x:v>2171</x:v>
      </x:c>
      <x:c r="N49" t="n">
        <x:v>146</x:v>
      </x:c>
      <x:c r="O49" s="24" t="n">
        <x:v>0.1752577319587629</x:v>
      </x:c>
      <x:c r="P49" s="24" t="n">
        <x:v>0.0297029702970297</x:v>
      </x:c>
      <x:c r="Q49" s="22" t="n">
        <x:v>248.69072164948454</x:v>
      </x:c>
      <x:c r="R49" s="22" t="n">
        <x:v>313.21249578020723</x:v>
      </x:c>
      <x:c r="S49" s="22" t="n">
        <x:v>523.6546391752577</x:v>
      </x:c>
      <x:c r="T49" s="22" t="n">
        <x:v>1114.1588067558675</x:v>
      </x:c>
      <x:c r="U49" s="22" t="n">
        <x:v>64.48514851485149</x:v>
      </x:c>
      <x:c r="V49" s="22" t="n">
        <x:v>2357.289716143113</x:v>
      </x:c>
      <x:c r="W49" s="22" t="n">
        <x:v>33.675567373473044</x:v>
      </x:c>
      <x:c r="X49" t="str">
        <x:v>https://www.fantasypros.com/nba/projections/overall.php</x:v>
      </x:c>
    </x:row>
    <x:row r="50" ht="22" customHeight="1">
      <x:c r="A50" t="str">
        <x:v>Coby White</x:v>
      </x:c>
      <x:c r="B50" t="str">
        <x:v>CHA</x:v>
      </x:c>
      <x:c r="C50" t="str">
        <x:v>PG/SG</x:v>
      </x:c>
      <x:c r="D50" t="n">
        <x:v>1518</x:v>
      </x:c>
      <x:c r="E50" t="n">
        <x:v>292</x:v>
      </x:c>
      <x:c r="F50" t="n">
        <x:v>335</x:v>
      </x:c>
      <x:c r="G50" t="n">
        <x:v>14</x:v>
      </x:c>
      <x:c r="H50" t="n">
        <x:v>55</x:v>
      </x:c>
      <x:c r="I50" s="26" t="n">
        <x:v>0.445</x:v>
      </x:c>
      <x:c r="J50" s="26" t="n">
        <x:v>0.857</x:v>
      </x:c>
      <x:c r="K50" t="n">
        <x:v>224</x:v>
      </x:c>
      <x:c r="L50" t="n">
        <x:v>75</x:v>
      </x:c>
      <x:c r="M50" t="n">
        <x:v>2561</x:v>
      </x:c>
      <x:c r="N50" t="n">
        <x:v>199</x:v>
      </x:c>
      <x:c r="O50" s="24" t="n">
        <x:v>0.22413793103448276</x:v>
      </x:c>
      <x:c r="P50" s="24" t="n">
        <x:v>0.012</x:v>
      </x:c>
      <x:c r="Q50" s="22" t="n">
        <x:v>340.2413793103448</x:v>
      </x:c>
      <x:c r="R50" s="22" t="n">
        <x:v>397.014444936225</x:v>
      </x:c>
      <x:c r="S50" s="22" t="n">
        <x:v>476.87931034482756</x:v>
      </x:c>
      <x:c r="T50" s="22" t="n">
        <x:v>1071.6388996512978</x:v>
      </x:c>
      <x:c r="U50" s="22" t="n">
        <x:v>30.732</x:v>
      </x:c>
      <x:c r="V50" s="22" t="n">
        <x:v>2496.5520347228216</x:v>
      </x:c>
      <x:c r="W50" s="22" t="n">
        <x:v>33.28736046297095</x:v>
      </x:c>
      <x:c r="X50" t="str">
        <x:v>https://www.fantasypros.com/nba/projections/overall.php</x:v>
      </x:c>
    </x:row>
    <x:row r="51" ht="22" customHeight="1">
      <x:c r="A51" t="str">
        <x:v>Keyonte George</x:v>
      </x:c>
      <x:c r="B51" t="str">
        <x:v>UTA</x:v>
      </x:c>
      <x:c r="C51" t="str">
        <x:v>PG/SG</x:v>
      </x:c>
      <x:c r="D51" t="n">
        <x:v>1475</x:v>
      </x:c>
      <x:c r="E51" t="n">
        <x:v>254</x:v>
      </x:c>
      <x:c r="F51" t="n">
        <x:v>425</x:v>
      </x:c>
      <x:c r="G51" t="n">
        <x:v>15</x:v>
      </x:c>
      <x:c r="H51" t="n">
        <x:v>71</x:v>
      </x:c>
      <x:c r="I51" s="26" t="n">
        <x:v>0.432</x:v>
      </x:c>
      <x:c r="J51" s="26" t="n">
        <x:v>0.871</x:v>
      </x:c>
      <x:c r="K51" t="n">
        <x:v>172</x:v>
      </x:c>
      <x:c r="L51" t="n">
        <x:v>73</x:v>
      </x:c>
      <x:c r="M51" t="n">
        <x:v>2405</x:v>
      </x:c>
      <x:c r="N51" t="n">
        <x:v>202</x:v>
      </x:c>
      <x:c r="O51" s="24" t="n">
        <x:v>0.2627118644067796</x:v>
      </x:c>
      <x:c r="P51" s="24" t="n">
        <x:v>0.012084592145015106</x:v>
      </x:c>
      <x:c r="Q51" s="22" t="n">
        <x:v>387.49999999999994</x:v>
      </x:c>
      <x:c r="R51" s="22" t="n">
        <x:v>444.8909299655568</x:v>
      </x:c>
      <x:c r="S51" s="22" t="n">
        <x:v>457.75</x:v>
      </x:c>
      <x:c r="T51" s="22" t="n">
        <x:v>1059.6064814814815</x:v>
      </x:c>
      <x:c r="U51" s="22" t="n">
        <x:v>29.063444108761328</x:v>
      </x:c>
      <x:c r="V51" s="22" t="n">
        <x:v>2543.1294767704844</x:v>
      </x:c>
      <x:c r="W51" s="22" t="n">
        <x:v>34.83739009274636</x:v>
      </x:c>
      <x:c r="X51" t="str">
        <x:v>https://www.fantasypros.com/nba/projections/overall.php</x:v>
      </x:c>
    </x:row>
    <x:row r="52" ht="22" customHeight="1">
      <x:c r="A52" t="str">
        <x:v>Trey Murphy III</x:v>
      </x:c>
      <x:c r="B52" t="str">
        <x:v>NOP</x:v>
      </x:c>
      <x:c r="C52" t="str">
        <x:v>PF/SF/SG</x:v>
      </x:c>
      <x:c r="D52" t="n">
        <x:v>1464</x:v>
      </x:c>
      <x:c r="E52" t="n">
        <x:v>376</x:v>
      </x:c>
      <x:c r="F52" t="n">
        <x:v>244</x:v>
      </x:c>
      <x:c r="G52" t="n">
        <x:v>32</x:v>
      </x:c>
      <x:c r="H52" t="n">
        <x:v>89</x:v>
      </x:c>
      <x:c r="I52" s="26" t="n">
        <x:v>0.474</x:v>
      </x:c>
      <x:c r="J52" s="26" t="n">
        <x:v>0.887</x:v>
      </x:c>
      <x:c r="K52" t="n">
        <x:v>213</x:v>
      </x:c>
      <x:c r="L52" t="n">
        <x:v>73</x:v>
      </x:c>
      <x:c r="M52" t="n">
        <x:v>2494</x:v>
      </x:c>
      <x:c r="N52" t="n">
        <x:v>126</x:v>
      </x:c>
      <x:c r="O52" s="24" t="n">
        <x:v>0.15348837209302324</x:v>
      </x:c>
      <x:c r="P52" s="24" t="n">
        <x:v>0.028169014084507043</x:v>
      </x:c>
      <x:c r="Q52" s="22" t="n">
        <x:v>224.70697674418602</x:v>
      </x:c>
      <x:c r="R52" s="22" t="n">
        <x:v>253.33368291340025</x:v>
      </x:c>
      <x:c r="S52" s="22" t="n">
        <x:v>513.146511627907</x:v>
      </x:c>
      <x:c r="T52" s="22" t="n">
        <x:v>1082.5875772740653</x:v>
      </x:c>
      <x:c r="U52" s="22" t="n">
        <x:v>70.25352112676056</x:v>
      </x:c>
      <x:c r="V52" s="22" t="n">
        <x:v>2673.2927588102416</x:v>
      </x:c>
      <x:c r="W52" s="22" t="n">
        <x:v>36.620448750825226</x:v>
      </x:c>
      <x:c r="X52" t="str">
        <x:v>https://www.fantasypros.com/nba/projections/overall.php</x:v>
      </x:c>
    </x:row>
    <x:row r="53" ht="22" customHeight="1">
      <x:c r="A53" t="str">
        <x:v>Darius Garland</x:v>
      </x:c>
      <x:c r="B53" t="str">
        <x:v>LAC</x:v>
      </x:c>
      <x:c r="C53" t="str">
        <x:v>PG</x:v>
      </x:c>
      <x:c r="D53" t="n">
        <x:v>1467</x:v>
      </x:c>
      <x:c r="E53" t="n">
        <x:v>207</x:v>
      </x:c>
      <x:c r="F53" t="n">
        <x:v>491</x:v>
      </x:c>
      <x:c r="G53" t="n">
        <x:v>14</x:v>
      </x:c>
      <x:c r="H53" t="n">
        <x:v>88</x:v>
      </x:c>
      <x:c r="I53" s="26" t="n">
        <x:v>0.466</x:v>
      </x:c>
      <x:c r="J53" s="26" t="n">
        <x:v>0.87</x:v>
      </x:c>
      <x:c r="K53" t="n">
        <x:v>197</x:v>
      </x:c>
      <x:c r="L53" t="n">
        <x:v>74</x:v>
      </x:c>
      <x:c r="M53" t="n">
        <x:v>2418</x:v>
      </x:c>
      <x:c r="N53" t="n">
        <x:v>213</x:v>
      </x:c>
      <x:c r="O53" s="24" t="n">
        <x:v>0.12234042553191488</x:v>
      </x:c>
      <x:c r="P53" s="24" t="n">
        <x:v>0.013377926421404684</x:v>
      </x:c>
      <x:c r="Q53" s="22" t="n">
        <x:v>179.4734042553191</x:v>
      </x:c>
      <x:c r="R53" s="22" t="n">
        <x:v>206.29126925898748</x:v>
      </x:c>
      <x:c r="S53" s="22" t="n">
        <x:v>545.2632978723404</x:v>
      </x:c>
      <x:c r="T53" s="22" t="n">
        <x:v>1170.0929138891424</x:v>
      </x:c>
      <x:c r="U53" s="22" t="n">
        <x:v>32.34782608695652</x:v>
      </x:c>
      <x:c r="V53" s="22" t="n">
        <x:v>2516.284873281102</x:v>
      </x:c>
      <x:c r="W53" s="22" t="n">
        <x:v>34.003849638933815</x:v>
      </x:c>
      <x:c r="X53" t="str">
        <x:v>https://www.fantasypros.com/nba/projections/overall.php</x:v>
      </x:c>
    </x:row>
    <x:row r="54" ht="22" customHeight="1">
      <x:c r="A54" t="str">
        <x:v>AJ Dybantsa</x:v>
      </x:c>
      <x:c r="B54" t="str">
        <x:v>WAS</x:v>
      </x:c>
      <x:c r="C54" t="str">
        <x:v>SF</x:v>
      </x:c>
      <x:c r="D54" t="n">
        <x:v>1491</x:v>
      </x:c>
      <x:c r="E54" t="n">
        <x:v>459</x:v>
      </x:c>
      <x:c r="F54" t="n">
        <x:v>230</x:v>
      </x:c>
      <x:c r="G54" t="n">
        <x:v>52</x:v>
      </x:c>
      <x:c r="H54" t="n">
        <x:v>84</x:v>
      </x:c>
      <x:c r="I54" s="26" t="n">
        <x:v>0.464</x:v>
      </x:c>
      <x:c r="J54" s="26" t="n">
        <x:v>0.79</x:v>
      </x:c>
      <x:c r="K54" t="n">
        <x:v>129</x:v>
      </x:c>
      <x:c r="L54" t="n">
        <x:v>75</x:v>
      </x:c>
      <x:c r="M54" t="n">
        <x:v>2439</x:v>
      </x:c>
      <x:c r="N54" t="n">
        <x:v>158</x:v>
      </x:c>
      <x:c r="O54" s="24" t="n">
        <x:v>0.22</x:v>
      </x:c>
      <x:c r="P54" s="24" t="n">
        <x:v>0.05</x:v>
      </x:c>
      <x:c r="Q54" s="22" t="n">
        <x:v>328.02</x:v>
      </x:c>
      <x:c r="R54" s="22" t="n">
        <x:v>415.21518987341767</x:v>
      </x:c>
      <x:c r="S54" s="22" t="n">
        <x:v>516.99</x:v>
      </x:c>
      <x:c r="T54" s="22" t="n">
        <x:v>1114.2025862068965</x:v>
      </x:c>
      <x:c r="U54" s="22" t="n">
        <x:v>121.95</x:v>
      </x:c>
      <x:c r="V54" s="22" t="n">
        <x:v>2758.502223919686</x:v>
      </x:c>
      <x:c r="W54" s="22" t="n">
        <x:v>36.78002965226248</x:v>
      </x:c>
      <x:c r="X54" t="str">
        <x:v>https://www.fantasypros.com/nba/projections/overall.php</x:v>
      </x:c>
    </x:row>
    <x:row r="55" ht="22" customHeight="1">
      <x:c r="A55" t="str">
        <x:v>Zach LaVine</x:v>
      </x:c>
      <x:c r="B55" t="str">
        <x:v>SAC</x:v>
      </x:c>
      <x:c r="C55" t="str">
        <x:v>PG/SF/SG</x:v>
      </x:c>
      <x:c r="D55" t="n">
        <x:v>1380</x:v>
      </x:c>
      <x:c r="E55" t="n">
        <x:v>248</x:v>
      </x:c>
      <x:c r="F55" t="n">
        <x:v>227</x:v>
      </x:c>
      <x:c r="G55" t="n">
        <x:v>15</x:v>
      </x:c>
      <x:c r="H55" t="n">
        <x:v>52</x:v>
      </x:c>
      <x:c r="I55" s="26" t="n">
        <x:v>0.501</x:v>
      </x:c>
      <x:c r="J55" s="26" t="n">
        <x:v>0.844</x:v>
      </x:c>
      <x:c r="K55" t="n">
        <x:v>179</x:v>
      </x:c>
      <x:c r="L55" t="n">
        <x:v>70</x:v>
      </x:c>
      <x:c r="M55" t="n">
        <x:v>2316</x:v>
      </x:c>
      <x:c r="N55" t="n">
        <x:v>160</x:v>
      </x:c>
      <x:c r="O55" s="24" t="n">
        <x:v>0.16666666666666669</x:v>
      </x:c>
      <x:c r="P55" s="24" t="n">
        <x:v>0.006369426751592357</x:v>
      </x:c>
      <x:c r="Q55" s="22" t="n">
        <x:v>230.00000000000003</x:v>
      </x:c>
      <x:c r="R55" s="22" t="n">
        <x:v>272.5118483412323</x:v>
      </x:c>
      <x:c r="S55" s="22" t="n">
        <x:v>485.5</x:v>
      </x:c>
      <x:c r="T55" s="22" t="n">
        <x:v>969.061876247505</x:v>
      </x:c>
      <x:c r="U55" s="22" t="n">
        <x:v>14.7515923566879</x:v>
      </x:c>
      <x:c r="V55" s="22" t="n">
        <x:v>2172.9294601246384</x:v>
      </x:c>
      <x:c r="W55" s="22" t="n">
        <x:v>31.041849430351977</x:v>
      </x:c>
      <x:c r="X55" t="str">
        <x:v>https://www.fantasypros.com/nba/projections/overall.php</x:v>
      </x:c>
    </x:row>
    <x:row r="56" ht="22" customHeight="1">
      <x:c r="A56" t="str">
        <x:v>RJ Barrett</x:v>
      </x:c>
      <x:c r="B56" t="str">
        <x:v>TOR</x:v>
      </x:c>
      <x:c r="C56" t="str">
        <x:v>PF/SF/SG</x:v>
      </x:c>
      <x:c r="D56" t="n">
        <x:v>1412</x:v>
      </x:c>
      <x:c r="E56" t="n">
        <x:v>404</x:v>
      </x:c>
      <x:c r="F56" t="n">
        <x:v>287</x:v>
      </x:c>
      <x:c r="G56" t="n">
        <x:v>22</x:v>
      </x:c>
      <x:c r="H56" t="n">
        <x:v>53</x:v>
      </x:c>
      <x:c r="I56" s="26" t="n">
        <x:v>0.482</x:v>
      </x:c>
      <x:c r="J56" s="26" t="n">
        <x:v>0.68</x:v>
      </x:c>
      <x:c r="K56" t="n">
        <x:v>125</x:v>
      </x:c>
      <x:c r="L56" t="n">
        <x:v>72</x:v>
      </x:c>
      <x:c r="M56" t="n">
        <x:v>2253</x:v>
      </x:c>
      <x:c r="N56" t="n">
        <x:v>156</x:v>
      </x:c>
      <x:c r="O56" s="24" t="n">
        <x:v>0.18134715025906736</x:v>
      </x:c>
      <x:c r="P56" s="24" t="n">
        <x:v>0.033003300330033</x:v>
      </x:c>
      <x:c r="Q56" s="22" t="n">
        <x:v>256.0621761658031</x:v>
      </x:c>
      <x:c r="R56" s="22" t="n">
        <x:v>376.56202377323984</x:v>
      </x:c>
      <x:c r="S56" s="22" t="n">
        <x:v>515.4689119170985</x:v>
      </x:c>
      <x:c r="T56" s="22" t="n">
        <x:v>1069.4375765914906</x:v>
      </x:c>
      <x:c r="U56" s="22" t="n">
        <x:v>74.35643564356435</x:v>
      </x:c>
      <x:c r="V56" s="22" t="n">
        <x:v>2444.2754470882014</x:v>
      </x:c>
      <x:c r="W56" s="22" t="n">
        <x:v>33.94827009844724</x:v>
      </x:c>
      <x:c r="X56" t="str">
        <x:v>https://www.fantasypros.com/nba/projections/overall.php</x:v>
      </x:c>
    </x:row>
    <x:row r="57" ht="22" customHeight="1">
      <x:c r="A57" t="str">
        <x:v>Bam Adebayo</x:v>
      </x:c>
      <x:c r="B57" t="str">
        <x:v>MIA</x:v>
      </x:c>
      <x:c r="C57" t="str">
        <x:v>C/PF</x:v>
      </x:c>
      <x:c r="D57" t="n">
        <x:v>1479</x:v>
      </x:c>
      <x:c r="E57" t="n">
        <x:v>732</x:v>
      </x:c>
      <x:c r="F57" t="n">
        <x:v>267</x:v>
      </x:c>
      <x:c r="G57" t="n">
        <x:v>54</x:v>
      </x:c>
      <x:c r="H57" t="n">
        <x:v>95</x:v>
      </x:c>
      <x:c r="I57" s="26" t="n">
        <x:v>0.456</x:v>
      </x:c>
      <x:c r="J57" s="26" t="n">
        <x:v>0.774</x:v>
      </x:c>
      <x:c r="K57" t="n">
        <x:v>112</x:v>
      </x:c>
      <x:c r="L57" t="n">
        <x:v>76</x:v>
      </x:c>
      <x:c r="M57" t="n">
        <x:v>2497</x:v>
      </x:c>
      <x:c r="N57" t="n">
        <x:v>128</x:v>
      </x:c>
      <x:c r="O57" s="24" t="n">
        <x:v>0.22388059701492535</x:v>
      </x:c>
      <x:c r="P57" s="24" t="n">
        <x:v>0.0617283950617284</x:v>
      </x:c>
      <x:c r="Q57" s="22" t="n">
        <x:v>331.1194029850746</x:v>
      </x:c>
      <x:c r="R57" s="22" t="n">
        <x:v>427.8028462339465</x:v>
      </x:c>
      <x:c r="S57" s="22" t="n">
        <x:v>517.9402985074627</x:v>
      </x:c>
      <x:c r="T57" s="22" t="n">
        <x:v>1135.833987954962</x:v>
      </x:c>
      <x:c r="U57" s="22" t="n">
        <x:v>154.13580246913583</x:v>
      </x:c>
      <x:c r="V57" s="22" t="n">
        <x:v>3181.2541737344377</x:v>
      </x:c>
      <x:c r="W57" s="22" t="n">
        <x:v>41.85860754913734</x:v>
      </x:c>
      <x:c r="X57" t="str">
        <x:v>https://www.fantasypros.com/nba/projections/overall.php</x:v>
      </x:c>
    </x:row>
    <x:row r="58" ht="22" customHeight="1">
      <x:c r="A58" t="str">
        <x:v>Julius Randle</x:v>
      </x:c>
      <x:c r="B58" t="str">
        <x:v>BKN</x:v>
      </x:c>
      <x:c r="C58" t="str">
        <x:v>PF</x:v>
      </x:c>
      <x:c r="D58" t="n">
        <x:v>1467</x:v>
      </x:c>
      <x:c r="E58" t="n">
        <x:v>512</x:v>
      </x:c>
      <x:c r="F58" t="n">
        <x:v>349</x:v>
      </x:c>
      <x:c r="G58" t="n">
        <x:v>15</x:v>
      </x:c>
      <x:c r="H58" t="n">
        <x:v>55</x:v>
      </x:c>
      <x:c r="I58" s="26" t="n">
        <x:v>0.464</x:v>
      </x:c>
      <x:c r="J58" s="26" t="n">
        <x:v>0.801</x:v>
      </x:c>
      <x:c r="K58" t="n">
        <x:v>106</x:v>
      </x:c>
      <x:c r="L58" t="n">
        <x:v>75</x:v>
      </x:c>
      <x:c r="M58" t="n">
        <x:v>2518</x:v>
      </x:c>
      <x:c r="N58" t="n">
        <x:v>220</x:v>
      </x:c>
      <x:c r="O58" s="24" t="n">
        <x:v>0.23696682464454974</x:v>
      </x:c>
      <x:c r="P58" s="24" t="n">
        <x:v>0.051515151515151514</x:v>
      </x:c>
      <x:c r="Q58" s="22" t="n">
        <x:v>347.63033175355446</x:v>
      </x:c>
      <x:c r="R58" s="22" t="n">
        <x:v>433.9954204164225</x:v>
      </x:c>
      <x:c r="S58" s="22" t="n">
        <x:v>506.6848341232228</x:v>
      </x:c>
      <x:c r="T58" s="22" t="n">
        <x:v>1091.9931769897044</x:v>
      </x:c>
      <x:c r="U58" s="22" t="n">
        <x:v>129.71515151515152</x:v>
      </x:c>
      <x:c r="V58" s="22" t="n">
        <x:v>2743.072037377731</x:v>
      </x:c>
      <x:c r="W58" s="22" t="n">
        <x:v>36.57429383170308</x:v>
      </x:c>
      <x:c r="X58" t="str">
        <x:v>https://www.fantasypros.com/nba/projections/overall.php</x:v>
      </x:c>
    </x:row>
    <x:row r="59" ht="22" customHeight="1">
      <x:c r="A59" t="str">
        <x:v>Alperen Sengun</x:v>
      </x:c>
      <x:c r="B59" t="str">
        <x:v>HOU</x:v>
      </x:c>
      <x:c r="C59" t="str">
        <x:v>C/PF</x:v>
      </x:c>
      <x:c r="D59" t="n">
        <x:v>1455</x:v>
      </x:c>
      <x:c r="E59" t="n">
        <x:v>704</x:v>
      </x:c>
      <x:c r="F59" t="n">
        <x:v>412</x:v>
      </x:c>
      <x:c r="G59" t="n">
        <x:v>73</x:v>
      </x:c>
      <x:c r="H59" t="n">
        <x:v>86</x:v>
      </x:c>
      <x:c r="I59" s="26" t="n">
        <x:v>0.512</x:v>
      </x:c>
      <x:c r="J59" s="26" t="n">
        <x:v>0.691</x:v>
      </x:c>
      <x:c r="K59" t="n">
        <x:v>32</x:v>
      </x:c>
      <x:c r="L59" t="n">
        <x:v>75</x:v>
      </x:c>
      <x:c r="M59" t="n">
        <x:v>2459</x:v>
      </x:c>
      <x:c r="N59" t="n">
        <x:v>217</x:v>
      </x:c>
      <x:c r="O59" s="24" t="n">
        <x:v>0.17647058823529413</x:v>
      </x:c>
      <x:c r="P59" s="24" t="n">
        <x:v>0.0900900900900901</x:v>
      </x:c>
      <x:c r="Q59" s="22" t="n">
        <x:v>256.764705882353</x:v>
      </x:c>
      <x:c r="R59" s="22" t="n">
        <x:v>371.5842342725803</x:v>
      </x:c>
      <x:c r="S59" s="22" t="n">
        <x:v>583.1176470588235</x:v>
      </x:c>
      <x:c r="T59" s="22" t="n">
        <x:v>1138.9016544117646</x:v>
      </x:c>
      <x:c r="U59" s="22" t="n">
        <x:v>221.53153153153156</x:v>
      </x:c>
      <x:c r="V59" s="22" t="n">
        <x:v>3268.8418802610713</x:v>
      </x:c>
      <x:c r="W59" s="22" t="n">
        <x:v>43.58455840348095</x:v>
      </x:c>
      <x:c r="X59" t="str">
        <x:v>https://www.fantasypros.com/nba/projections/overall.php</x:v>
      </x:c>
    </x:row>
    <x:row r="60" ht="22" customHeight="1">
      <x:c r="A60" t="str">
        <x:v>Desmond Bane</x:v>
      </x:c>
      <x:c r="B60" t="str">
        <x:v>ORL</x:v>
      </x:c>
      <x:c r="C60" t="str">
        <x:v>SG/SF</x:v>
      </x:c>
      <x:c r="D60" t="n">
        <x:v>1452</x:v>
      </x:c>
      <x:c r="E60" t="n">
        <x:v>359</x:v>
      </x:c>
      <x:c r="F60" t="n">
        <x:v>334</x:v>
      </x:c>
      <x:c r="G60" t="n">
        <x:v>35</x:v>
      </x:c>
      <x:c r="H60" t="n">
        <x:v>85</x:v>
      </x:c>
      <x:c r="I60" s="26" t="n">
        <x:v>0.475</x:v>
      </x:c>
      <x:c r="J60" s="26" t="n">
        <x:v>0.899</x:v>
      </x:c>
      <x:c r="K60" t="n">
        <x:v>162</x:v>
      </x:c>
      <x:c r="L60" t="n">
        <x:v>75</x:v>
      </x:c>
      <x:c r="M60" t="n">
        <x:v>2496</x:v>
      </x:c>
      <x:c r="N60" t="n">
        <x:v>162</x:v>
      </x:c>
      <x:c r="O60" s="24" t="n">
        <x:v>0.18905472636815918</x:v>
      </x:c>
      <x:c r="P60" s="24" t="n">
        <x:v>0.03571428571428571</x:v>
      </x:c>
      <x:c r="Q60" s="22" t="n">
        <x:v>274.5074626865671</x:v>
      </x:c>
      <x:c r="R60" s="22" t="n">
        <x:v>305.3475669483505</x:v>
      </x:c>
      <x:c r="S60" s="22" t="n">
        <x:v>507.74626865671644</x:v>
      </x:c>
      <x:c r="T60" s="22" t="n">
        <x:v>1068.9395129615084</x:v>
      </x:c>
      <x:c r="U60" s="22" t="n">
        <x:v>89.14285714285714</x:v>
      </x:c>
      <x:c r="V60" s="22" t="n">
        <x:v>2741.0060970624227</x:v>
      </x:c>
      <x:c r="W60" s="22" t="n">
        <x:v>36.5467479608323</x:v>
      </x:c>
      <x:c r="X60" t="str">
        <x:v>https://www.fantasypros.com/nba/projections/overall.php</x:v>
      </x:c>
    </x:row>
    <x:row r="61" ht="22" customHeight="1">
      <x:c r="A61" t="str">
        <x:v>De'Aaron Fox</x:v>
      </x:c>
      <x:c r="B61" t="str">
        <x:v>SAS</x:v>
      </x:c>
      <x:c r="C61" t="str">
        <x:v>PG/SG</x:v>
      </x:c>
      <x:c r="D61" t="n">
        <x:v>1427</x:v>
      </x:c>
      <x:c r="E61" t="n">
        <x:v>292</x:v>
      </x:c>
      <x:c r="F61" t="n">
        <x:v>416</x:v>
      </x:c>
      <x:c r="G61" t="n">
        <x:v>22</x:v>
      </x:c>
      <x:c r="H61" t="n">
        <x:v>96</x:v>
      </x:c>
      <x:c r="I61" s="26" t="n">
        <x:v>0.471</x:v>
      </x:c>
      <x:c r="J61" s="26" t="n">
        <x:v>0.781</x:v>
      </x:c>
      <x:c r="K61" t="n">
        <x:v>134</x:v>
      </x:c>
      <x:c r="L61" t="n">
        <x:v>75</x:v>
      </x:c>
      <x:c r="M61" t="n">
        <x:v>2350</x:v>
      </x:c>
      <x:c r="N61" t="n">
        <x:v>169</x:v>
      </x:c>
      <x:c r="O61" s="24" t="n">
        <x:v>0.13978494623655913</x:v>
      </x:c>
      <x:c r="P61" s="24" t="n">
        <x:v>0.01935483870967742</x:v>
      </x:c>
      <x:c r="Q61" s="22" t="n">
        <x:v>199.47311827956986</x:v>
      </x:c>
      <x:c r="R61" s="22" t="n">
        <x:v>255.40732174080648</x:v>
      </x:c>
      <x:c r="S61" s="22" t="n">
        <x:v>546.763440860215</x:v>
      </x:c>
      <x:c r="T61" s="22" t="n">
        <x:v>1160.8565623359132</x:v>
      </x:c>
      <x:c r="U61" s="22" t="n">
        <x:v>45.483870967741936</x:v>
      </x:c>
      <x:c r="V61" s="22" t="n">
        <x:v>2531.176976138334</x:v>
      </x:c>
      <x:c r="W61" s="22" t="n">
        <x:v>33.749026348511116</x:v>
      </x:c>
      <x:c r="X61" t="str">
        <x:v>https://www.fantasypros.com/nba/projections/overall.php</x:v>
      </x:c>
    </x:row>
    <x:row r="62" ht="22" customHeight="1">
      <x:c r="A62" t="str">
        <x:v>Paul George</x:v>
      </x:c>
      <x:c r="B62" t="str">
        <x:v>BOS</x:v>
      </x:c>
      <x:c r="C62" t="str">
        <x:v>PF/SF</x:v>
      </x:c>
      <x:c r="D62" t="n">
        <x:v>1190</x:v>
      </x:c>
      <x:c r="E62" t="n">
        <x:v>339</x:v>
      </x:c>
      <x:c r="F62" t="n">
        <x:v>232</x:v>
      </x:c>
      <x:c r="G62" t="n">
        <x:v>30</x:v>
      </x:c>
      <x:c r="H62" t="n">
        <x:v>90</x:v>
      </x:c>
      <x:c r="I62" s="26" t="n">
        <x:v>0.447</x:v>
      </x:c>
      <x:c r="J62" s="26" t="n">
        <x:v>0.838</x:v>
      </x:c>
      <x:c r="K62" t="n">
        <x:v>197</x:v>
      </x:c>
      <x:c r="L62" t="n">
        <x:v>63</x:v>
      </x:c>
      <x:c r="M62" t="n">
        <x:v>2002</x:v>
      </x:c>
      <x:c r="N62" t="n">
        <x:v>133</x:v>
      </x:c>
      <x:c r="O62" s="24" t="n">
        <x:v>0.1445086705202312</x:v>
      </x:c>
      <x:c r="P62" s="24" t="n">
        <x:v>0.016286644951140065</x:v>
      </x:c>
      <x:c r="Q62" s="22" t="n">
        <x:v>171.96531791907512</x:v>
      </x:c>
      <x:c r="R62" s="22" t="n">
        <x:v>205.20920992729728</x:v>
      </x:c>
      <x:c r="S62" s="22" t="n">
        <x:v>410.51734104046244</x:v>
      </x:c>
      <x:c r="T62" s="22" t="n">
        <x:v>918.3833132896251</x:v>
      </x:c>
      <x:c r="U62" s="22" t="n">
        <x:v>32.60586319218241</x:v>
      </x:c>
      <x:c r="V62" s="22" t="n">
        <x:v>2139.5845210865173</x:v>
      </x:c>
      <x:c r="W62" s="22" t="n">
        <x:v>33.96165906486535</x:v>
      </x:c>
      <x:c r="X62" t="str">
        <x:v>https://www.fantasypros.com/nba/projections/overall.php</x:v>
      </x:c>
    </x:row>
    <x:row r="63" ht="22" customHeight="1">
      <x:c r="A63" t="str">
        <x:v>CJ McCollum</x:v>
      </x:c>
      <x:c r="B63" t="str">
        <x:v>ATL</x:v>
      </x:c>
      <x:c r="C63" t="str">
        <x:v>PG/SG</x:v>
      </x:c>
      <x:c r="D63" t="n">
        <x:v>1435</x:v>
      </x:c>
      <x:c r="E63" t="n">
        <x:v>245</x:v>
      </x:c>
      <x:c r="F63" t="n">
        <x:v>299</x:v>
      </x:c>
      <x:c r="G63" t="n">
        <x:v>35</x:v>
      </x:c>
      <x:c r="H63" t="n">
        <x:v>61</x:v>
      </x:c>
      <x:c r="I63" s="26" t="n">
        <x:v>0.457</x:v>
      </x:c>
      <x:c r="J63" s="26" t="n">
        <x:v>0.754</x:v>
      </x:c>
      <x:c r="K63" t="n">
        <x:v>200</x:v>
      </x:c>
      <x:c r="L63" t="n">
        <x:v>76</x:v>
      </x:c>
      <x:c r="M63" t="n">
        <x:v>2335</x:v>
      </x:c>
      <x:c r="N63" t="n">
        <x:v>134</x:v>
      </x:c>
      <x:c r="O63" s="24" t="n">
        <x:v>0.12834224598930483</x:v>
      </x:c>
      <x:c r="P63" s="24" t="n">
        <x:v>0.026845637583892617</x:v>
      </x:c>
      <x:c r="Q63" s="22" t="n">
        <x:v>184.17112299465242</x:v>
      </x:c>
      <x:c r="R63" s="22" t="n">
        <x:v>244.25878381253636</x:v>
      </x:c>
      <x:c r="S63" s="22" t="n">
        <x:v>525.4144385026738</x:v>
      </x:c>
      <x:c r="T63" s="22" t="n">
        <x:v>1149.7033665266383</x:v>
      </x:c>
      <x:c r="U63" s="22" t="n">
        <x:v>62.68456375838926</x:v>
      </x:c>
      <x:c r="V63" s="22" t="n">
        <x:v>2385.578100172256</x:v>
      </x:c>
      <x:c r="W63" s="22" t="n">
        <x:v>31.389185528582317</x:v>
      </x:c>
      <x:c r="X63" t="str">
        <x:v>https://www.fantasypros.com/nba/projections/overall.php</x:v>
      </x:c>
    </x:row>
    <x:row r="64" ht="22" customHeight="1">
      <x:c r="A64" t="str">
        <x:v>Darryn Peterson</x:v>
      </x:c>
      <x:c r="B64" t="str">
        <x:v>UTA</x:v>
      </x:c>
      <x:c r="C64" t="str">
        <x:v>PG/SG</x:v>
      </x:c>
      <x:c r="D64" t="n">
        <x:v>1434</x:v>
      </x:c>
      <x:c r="E64" t="n">
        <x:v>300</x:v>
      </x:c>
      <x:c r="F64" t="n">
        <x:v>242</x:v>
      </x:c>
      <x:c r="G64" t="n">
        <x:v>20</x:v>
      </x:c>
      <x:c r="H64" t="n">
        <x:v>108</x:v>
      </x:c>
      <x:c r="I64" s="26" t="n">
        <x:v>0.446</x:v>
      </x:c>
      <x:c r="J64" s="26" t="n">
        <x:v>0.807</x:v>
      </x:c>
      <x:c r="K64" t="n">
        <x:v>147</x:v>
      </x:c>
      <x:c r="L64" t="n">
        <x:v>76</x:v>
      </x:c>
      <x:c r="M64" t="n">
        <x:v>2360</x:v>
      </x:c>
      <x:c r="N64" t="n">
        <x:v>160</x:v>
      </x:c>
      <x:c r="O64" s="24" t="n">
        <x:v>0.19</x:v>
      </x:c>
      <x:c r="P64" s="24" t="n">
        <x:v>0.025</x:v>
      </x:c>
      <x:c r="Q64" s="22" t="n">
        <x:v>272.46</x:v>
      </x:c>
      <x:c r="R64" s="22" t="n">
        <x:v>337.6208178438661</x:v>
      </x:c>
      <x:c r="S64" s="22" t="n">
        <x:v>507.27</x:v>
      </x:c>
      <x:c r="T64" s="22" t="n">
        <x:v>1137.3766816143498</x:v>
      </x:c>
      <x:c r="U64" s="22" t="n">
        <x:v>59</x:v>
      </x:c>
      <x:c r="V64" s="22" t="n">
        <x:v>2372.462500541784</x:v>
      </x:c>
      <x:c r="W64" s="22" t="n">
        <x:v>31.216611849234</x:v>
      </x:c>
      <x:c r="X64" t="str">
        <x:v>https://www.fantasypros.com/nba/projections/overall.php</x:v>
      </x:c>
    </x:row>
    <x:row r="65" ht="22" customHeight="1">
      <x:c r="A65" t="str">
        <x:v>Evan Mobley</x:v>
      </x:c>
      <x:c r="B65" t="str">
        <x:v>CLE</x:v>
      </x:c>
      <x:c r="C65" t="str">
        <x:v>PF/C</x:v>
      </x:c>
      <x:c r="D65" t="n">
        <x:v>1354</x:v>
      </x:c>
      <x:c r="E65" t="n">
        <x:v>693</x:v>
      </x:c>
      <x:c r="F65" t="n">
        <x:v>262</x:v>
      </x:c>
      <x:c r="G65" t="n">
        <x:v>118</x:v>
      </x:c>
      <x:c r="H65" t="n">
        <x:v>65</x:v>
      </x:c>
      <x:c r="I65" s="26" t="n">
        <x:v>0.554</x:v>
      </x:c>
      <x:c r="J65" s="26" t="n">
        <x:v>0.67</x:v>
      </x:c>
      <x:c r="K65" t="n">
        <x:v>77</x:v>
      </x:c>
      <x:c r="L65" t="n">
        <x:v>72</x:v>
      </x:c>
      <x:c r="M65" t="n">
        <x:v>2345</x:v>
      </x:c>
      <x:c r="N65" t="n">
        <x:v>145</x:v>
      </x:c>
      <x:c r="O65" s="24" t="n">
        <x:v>0.15384615384615385</x:v>
      </x:c>
      <x:c r="P65" s="24" t="n">
        <x:v>0.07523510971786834</x:v>
      </x:c>
      <x:c r="Q65" s="22" t="n">
        <x:v>208.30769230769232</x:v>
      </x:c>
      <x:c r="R65" s="22" t="n">
        <x:v>310.9070034443169</x:v>
      </x:c>
      <x:c r="S65" s="22" t="n">
        <x:v>534.3461538461538</x:v>
      </x:c>
      <x:c r="T65" s="22" t="n">
        <x:v>964.5237434046097</x:v>
      </x:c>
      <x:c r="U65" s="22" t="n">
        <x:v>176.42633228840126</x:v>
      </x:c>
      <x:c r="V65" s="22" t="n">
        <x:v>3096.729610035568</x:v>
      </x:c>
      <x:c r="W65" s="22" t="n">
        <x:v>43.01013347271622</x:v>
      </x:c>
      <x:c r="X65" t="str">
        <x:v>https://www.fantasypros.com/nba/projections/overall.php</x:v>
      </x:c>
    </x:row>
    <x:row r="66" ht="22" customHeight="1">
      <x:c r="A66" t="str">
        <x:v>Tyrese Haliburton</x:v>
      </x:c>
      <x:c r="B66" t="str">
        <x:v>IND</x:v>
      </x:c>
      <x:c r="C66" t="str">
        <x:v>PG/SG</x:v>
      </x:c>
      <x:c r="D66" t="n">
        <x:v>1335</x:v>
      </x:c>
      <x:c r="E66" t="n">
        <x:v>264</x:v>
      </x:c>
      <x:c r="F66" t="n">
        <x:v>691</x:v>
      </x:c>
      <x:c r="G66" t="n">
        <x:v>44</x:v>
      </x:c>
      <x:c r="H66" t="n">
        <x:v>87</x:v>
      </x:c>
      <x:c r="I66" s="26" t="n">
        <x:v>0.478</x:v>
      </x:c>
      <x:c r="J66" s="26" t="n">
        <x:v>0.852</x:v>
      </x:c>
      <x:c r="K66" t="n">
        <x:v>200</x:v>
      </x:c>
      <x:c r="L66" t="n">
        <x:v>71</x:v>
      </x:c>
      <x:c r="M66" t="n">
        <x:v>2379</x:v>
      </x:c>
      <x:c r="N66" t="n">
        <x:v>131</x:v>
      </x:c>
      <x:c r="O66" s="24" t="n">
        <x:v>0.13978494623655913</x:v>
      </x:c>
      <x:c r="P66" s="24" t="n">
        <x:v>0.017857142857142856</x:v>
      </x:c>
      <x:c r="Q66" s="22" t="n">
        <x:v>186.61290322580643</x:v>
      </x:c>
      <x:c r="R66" s="22" t="n">
        <x:v>219.02922913827047</x:v>
      </x:c>
      <x:c r="S66" s="22" t="n">
        <x:v>474.19354838709677</x:v>
      </x:c>
      <x:c r="T66" s="22" t="n">
        <x:v>992.0367121068971</x:v>
      </x:c>
      <x:c r="U66" s="22" t="n">
        <x:v>42.482142857142854</x:v>
      </x:c>
      <x:c r="V66" s="22" t="n">
        <x:v>3009.0112476949244</x:v>
      </x:c>
      <x:c r="W66" s="22" t="n">
        <x:v>42.38044010837922</x:v>
      </x:c>
      <x:c r="X66" t="str">
        <x:v>https://www.fantasypros.com/nba/projections/overall.php</x:v>
      </x:c>
    </x:row>
    <x:row r="67" ht="22" customHeight="1">
      <x:c r="A67" t="str">
        <x:v>Darius Acuff Jr.</x:v>
      </x:c>
      <x:c r="B67" t="str">
        <x:v>SAC</x:v>
      </x:c>
      <x:c r="C67" t="str">
        <x:v>PG</x:v>
      </x:c>
      <x:c r="D67" t="n">
        <x:v>1410</x:v>
      </x:c>
      <x:c r="E67" t="n">
        <x:v>252</x:v>
      </x:c>
      <x:c r="F67" t="n">
        <x:v>500</x:v>
      </x:c>
      <x:c r="G67" t="n">
        <x:v>20</x:v>
      </x:c>
      <x:c r="H67" t="n">
        <x:v>106</x:v>
      </x:c>
      <x:c r="I67" s="26" t="n">
        <x:v>0.457</x:v>
      </x:c>
      <x:c r="J67" s="26" t="n">
        <x:v>0.817</x:v>
      </x:c>
      <x:c r="K67" t="n">
        <x:v>143</x:v>
      </x:c>
      <x:c r="L67" t="n">
        <x:v>76</x:v>
      </x:c>
      <x:c r="M67" t="n">
        <x:v>2394</x:v>
      </x:c>
      <x:c r="N67" t="n">
        <x:v>259</x:v>
      </x:c>
      <x:c r="O67" s="24" t="n">
        <x:v>0.18</x:v>
      </x:c>
      <x:c r="P67" s="24" t="n">
        <x:v>0.02</x:v>
      </x:c>
      <x:c r="Q67" s="22" t="n">
        <x:v>253.79999999999998</x:v>
      </x:c>
      <x:c r="R67" s="22" t="n">
        <x:v>310.6487148102815</x:v>
      </x:c>
      <x:c r="S67" s="22" t="n">
        <x:v>506.6</x:v>
      </x:c>
      <x:c r="T67" s="22" t="n">
        <x:v>1108.5339168490152</x:v>
      </x:c>
      <x:c r="U67" s="22" t="n">
        <x:v>47.88</x:v>
      </x:c>
      <x:c r="V67" s="22" t="n">
        <x:v>2476.3773683407035</x:v>
      </x:c>
      <x:c r="W67" s="22" t="n">
        <x:v>32.583912741325044</x:v>
      </x:c>
      <x:c r="X67" t="str">
        <x:v>https://www.fantasypros.com/nba/projections/overall.php</x:v>
      </x:c>
    </x:row>
    <x:row r="68" ht="22" customHeight="1">
      <x:c r="A68" t="str">
        <x:v>Scottie Barnes</x:v>
      </x:c>
      <x:c r="B68" t="str">
        <x:v>TOR</x:v>
      </x:c>
      <x:c r="C68" t="str">
        <x:v>C/PF/SF/SG</x:v>
      </x:c>
      <x:c r="D68" t="n">
        <x:v>1398</x:v>
      </x:c>
      <x:c r="E68" t="n">
        <x:v>560</x:v>
      </x:c>
      <x:c r="F68" t="n">
        <x:v>440</x:v>
      </x:c>
      <x:c r="G68" t="n">
        <x:v>98</x:v>
      </x:c>
      <x:c r="H68" t="n">
        <x:v>104</x:v>
      </x:c>
      <x:c r="I68" s="26" t="n">
        <x:v>0.487</x:v>
      </x:c>
      <x:c r="J68" s="26" t="n">
        <x:v>0.791</x:v>
      </x:c>
      <x:c r="K68" t="n">
        <x:v>76</x:v>
      </x:c>
      <x:c r="L68" t="n">
        <x:v>75</x:v>
      </x:c>
      <x:c r="M68" t="n">
        <x:v>2533</x:v>
      </x:c>
      <x:c r="N68" t="n">
        <x:v>197</x:v>
      </x:c>
      <x:c r="O68" s="24" t="n">
        <x:v>0.16574585635359115</x:v>
      </x:c>
      <x:c r="P68" s="24" t="n">
        <x:v>0.05671641791044776</x:v>
      </x:c>
      <x:c r="Q68" s="22" t="n">
        <x:v>231.71270718232043</x:v>
      </x:c>
      <x:c r="R68" s="22" t="n">
        <x:v>292.9364186881421</x:v>
      </x:c>
      <x:c r="S68" s="22" t="n">
        <x:v>545.1436464088398</x:v>
      </x:c>
      <x:c r="T68" s="22" t="n">
        <x:v>1119.3914710653794</x:v>
      </x:c>
      <x:c r="U68" s="22" t="n">
        <x:v>143.66268656716417</x:v>
      </x:c>
      <x:c r="V68" s="22" t="n">
        <x:v>3083.710190563127</x:v>
      </x:c>
      <x:c r="W68" s="22" t="n">
        <x:v>41.11613587417503</x:v>
      </x:c>
      <x:c r="X68" t="str">
        <x:v>https://www.fantasypros.com/nba/projections/overall.php</x:v>
      </x:c>
    </x:row>
    <x:row r="69" ht="22" customHeight="1">
      <x:c r="A69" t="str">
        <x:v>Kon Knueppel</x:v>
      </x:c>
      <x:c r="B69" t="str">
        <x:v>CHA</x:v>
      </x:c>
      <x:c r="C69" t="str">
        <x:v>SF/SG</x:v>
      </x:c>
      <x:c r="D69" t="n">
        <x:v>1448</x:v>
      </x:c>
      <x:c r="E69" t="n">
        <x:v>409</x:v>
      </x:c>
      <x:c r="F69" t="n">
        <x:v>265</x:v>
      </x:c>
      <x:c r="G69" t="n">
        <x:v>19</x:v>
      </x:c>
      <x:c r="H69" t="n">
        <x:v>56</x:v>
      </x:c>
      <x:c r="I69" s="26" t="n">
        <x:v>0.469</x:v>
      </x:c>
      <x:c r="J69" s="26" t="n">
        <x:v>0.867</x:v>
      </x:c>
      <x:c r="K69" t="n">
        <x:v>269</x:v>
      </x:c>
      <x:c r="L69" t="n">
        <x:v>78</x:v>
      </x:c>
      <x:c r="M69" t="n">
        <x:v>2569</x:v>
      </x:c>
      <x:c r="N69" t="n">
        <x:v>157</x:v>
      </x:c>
      <x:c r="O69" s="24" t="n">
        <x:v>0.12972972972972974</x:v>
      </x:c>
      <x:c r="P69" s="24" t="n">
        <x:v>0.03809523809523809</x:v>
      </x:c>
      <x:c r="Q69" s="22" t="n">
        <x:v>187.84864864864866</x:v>
      </x:c>
      <x:c r="R69" s="22" t="n">
        <x:v>216.665108014589</x:v>
      </x:c>
      <x:c r="S69" s="22" t="n">
        <x:v>495.57567567567565</x:v>
      </x:c>
      <x:c r="T69" s="22" t="n">
        <x:v>1056.664553679479</x:v>
      </x:c>
      <x:c r="U69" s="22" t="n">
        <x:v>97.86666666666666</x:v>
      </x:c>
      <x:c r="V69" s="22" t="n">
        <x:v>2639.252320287914</x:v>
      </x:c>
      <x:c r="W69" s="22" t="n">
        <x:v>33.83656820881941</x:v>
      </x:c>
      <x:c r="X69" t="str">
        <x:v>https://www.fantasypros.com/nba/projections/overall.php</x:v>
      </x:c>
    </x:row>
    <x:row r="70" ht="22" customHeight="1">
      <x:c r="A70" t="str">
        <x:v>Jimmy Butler III</x:v>
      </x:c>
      <x:c r="B70" t="str">
        <x:v>GSW</x:v>
      </x:c>
      <x:c r="C70" t="str">
        <x:v>PF/SF/SG</x:v>
      </x:c>
      <x:c r="D70" t="n">
        <x:v>805</x:v>
      </x:c>
      <x:c r="E70" t="n">
        <x:v>229</x:v>
      </x:c>
      <x:c r="F70" t="n">
        <x:v>216</x:v>
      </x:c>
      <x:c r="G70" t="n">
        <x:v>13</x:v>
      </x:c>
      <x:c r="H70" t="n">
        <x:v>62</x:v>
      </x:c>
      <x:c r="I70" s="26" t="n">
        <x:v>0.504</x:v>
      </x:c>
      <x:c r="J70" s="26" t="n">
        <x:v>0.848</x:v>
      </x:c>
      <x:c r="K70" t="n">
        <x:v>34</x:v>
      </x:c>
      <x:c r="L70" t="n">
        <x:v>44</x:v>
      </x:c>
      <x:c r="M70" t="n">
        <x:v>1400</x:v>
      </x:c>
      <x:c r="N70" t="n">
        <x:v>64</x:v>
      </x:c>
      <x:c r="O70" s="24" t="n">
        <x:v>0.325</x:v>
      </x:c>
      <x:c r="P70" s="24" t="n">
        <x:v>0.07395498392282958</x:v>
      </x:c>
      <x:c r="Q70" s="22" t="n">
        <x:v>261.625</x:v>
      </x:c>
      <x:c r="R70" s="22" t="n">
        <x:v>308.52004716981133</x:v>
      </x:c>
      <x:c r="S70" s="22" t="n">
        <x:v>254.6875</x:v>
      </x:c>
      <x:c r="T70" s="22" t="n">
        <x:v>505.33234126984127</x:v>
      </x:c>
      <x:c r="U70" s="22" t="n">
        <x:v>103.53697749196141</x:v>
      </x:c>
      <x:c r="V70" s="22" t="n">
        <x:v>1833.3465665442704</x:v>
      </x:c>
      <x:c r="W70" s="22" t="n">
        <x:v>41.66696742146069</x:v>
      </x:c>
      <x:c r="X70" t="str">
        <x:v>https://www.fantasypros.com/nba/projections/overall.php</x:v>
      </x:c>
    </x:row>
    <x:row r="71" ht="22" customHeight="1">
      <x:c r="A71" t="str">
        <x:v>Josh Giddey</x:v>
      </x:c>
      <x:c r="B71" t="str">
        <x:v>CHI</x:v>
      </x:c>
      <x:c r="C71" t="str">
        <x:v>PG/SG/SF</x:v>
      </x:c>
      <x:c r="D71" t="n">
        <x:v>1302</x:v>
      </x:c>
      <x:c r="E71" t="n">
        <x:v>621</x:v>
      </x:c>
      <x:c r="F71" t="n">
        <x:v>664</x:v>
      </x:c>
      <x:c r="G71" t="n">
        <x:v>44</x:v>
      </x:c>
      <x:c r="H71" t="n">
        <x:v>88</x:v>
      </x:c>
      <x:c r="I71" s="26" t="n">
        <x:v>0.451</x:v>
      </x:c>
      <x:c r="J71" s="26" t="n">
        <x:v>0.769</x:v>
      </x:c>
      <x:c r="K71" t="n">
        <x:v>135</x:v>
      </x:c>
      <x:c r="L71" t="n">
        <x:v>73</x:v>
      </x:c>
      <x:c r="M71" t="n">
        <x:v>2607</x:v>
      </x:c>
      <x:c r="N71" t="n">
        <x:v>265</x:v>
      </x:c>
      <x:c r="O71" s="24" t="n">
        <x:v>0.18823529411764706</x:v>
      </x:c>
      <x:c r="P71" s="24" t="n">
        <x:v>0.037383177570093455</x:v>
      </x:c>
      <x:c r="Q71" s="22" t="n">
        <x:v>245.08235294117648</x:v>
      </x:c>
      <x:c r="R71" s="22" t="n">
        <x:v>318.7026696244167</x:v>
      </x:c>
      <x:c r="S71" s="22" t="n">
        <x:v>460.95882352941175</x:v>
      </x:c>
      <x:c r="T71" s="22" t="n">
        <x:v>1022.0816486239728</x:v>
      </x:c>
      <x:c r="U71" s="22" t="n">
        <x:v>97.45794392523364</x:v>
      </x:c>
      <x:c r="V71" s="22" t="n">
        <x:v>3032.2139225432543</x:v>
      </x:c>
      <x:c r="W71" s="22" t="n">
        <x:v>41.53717702114047</x:v>
      </x:c>
      <x:c r="X71" t="str">
        <x:v>https://www.fantasypros.com/nba/projections/overall.php</x:v>
      </x:c>
    </x:row>
    <x:row r="72" ht="22" customHeight="1">
      <x:c r="A72" t="str">
        <x:v>Cameron Boozer</x:v>
      </x:c>
      <x:c r="B72" t="str">
        <x:v>MEM</x:v>
      </x:c>
      <x:c r="C72" t="str">
        <x:v>PF</x:v>
      </x:c>
      <x:c r="D72" t="n">
        <x:v>1338</x:v>
      </x:c>
      <x:c r="E72" t="n">
        <x:v>615</x:v>
      </x:c>
      <x:c r="F72" t="n">
        <x:v>226</x:v>
      </x:c>
      <x:c r="G72" t="n">
        <x:v>69</x:v>
      </x:c>
      <x:c r="H72" t="n">
        <x:v>76</x:v>
      </x:c>
      <x:c r="I72" s="26" t="n">
        <x:v>0.507</x:v>
      </x:c>
      <x:c r="J72" s="26" t="n">
        <x:v>0.755</x:v>
      </x:c>
      <x:c r="K72" t="n">
        <x:v>60</x:v>
      </x:c>
      <x:c r="L72" t="n">
        <x:v>75</x:v>
      </x:c>
      <x:c r="M72" t="n">
        <x:v>2420</x:v>
      </x:c>
      <x:c r="N72" t="n">
        <x:v>173</x:v>
      </x:c>
      <x:c r="O72" s="24" t="n">
        <x:v>0.2</x:v>
      </x:c>
      <x:c r="P72" s="24" t="n">
        <x:v>0.085</x:v>
      </x:c>
      <x:c r="Q72" s="22" t="n">
        <x:v>267.6</x:v>
      </x:c>
      <x:c r="R72" s="22" t="n">
        <x:v>354.4370860927153</x:v>
      </x:c>
      <x:c r="S72" s="22" t="n">
        <x:v>505.2</x:v>
      </x:c>
      <x:c r="T72" s="22" t="n">
        <x:v>996.4497041420118</x:v>
      </x:c>
      <x:c r="U72" s="22" t="n">
        <x:v>205.70000000000002</x:v>
      </x:c>
      <x:c r="V72" s="22" t="n">
        <x:v>2867.613209765273</x:v>
      </x:c>
      <x:c r="W72" s="22" t="n">
        <x:v>38.23484279687031</x:v>
      </x:c>
      <x:c r="X72" t="str">
        <x:v>https://www.fantasypros.com/nba/projections/overall.php</x:v>
      </x:c>
    </x:row>
    <x:row r="73" ht="22" customHeight="1">
      <x:c r="A73" t="str">
        <x:v>Jalen Duren</x:v>
      </x:c>
      <x:c r="B73" t="str">
        <x:v>DET</x:v>
      </x:c>
      <x:c r="C73" t="str">
        <x:v>C</x:v>
      </x:c>
      <x:c r="D73" t="n">
        <x:v>1323</x:v>
      </x:c>
      <x:c r="E73" t="n">
        <x:v>841</x:v>
      </x:c>
      <x:c r="F73" t="n">
        <x:v>178</x:v>
      </x:c>
      <x:c r="G73" t="n">
        <x:v>83</x:v>
      </x:c>
      <x:c r="H73" t="n">
        <x:v>64</x:v>
      </x:c>
      <x:c r="I73" s="26" t="n">
        <x:v>0.658</x:v>
      </x:c>
      <x:c r="J73" s="26" t="n">
        <x:v>0.73</x:v>
      </x:c>
      <x:c r="K73" t="n">
        <x:v>0</x:v>
      </x:c>
      <x:c r="L73" t="n">
        <x:v>75</x:v>
      </x:c>
      <x:c r="M73" t="n">
        <x:v>2271</x:v>
      </x:c>
      <x:c r="N73" t="n">
        <x:v>146</x:v>
      </x:c>
      <x:c r="O73" s="24" t="n">
        <x:v>0.2358974358974359</x:v>
      </x:c>
      <x:c r="P73" s="24" t="n">
        <x:v>0.1347517730496454</x:v>
      </x:c>
      <x:c r="Q73" s="22" t="n">
        <x:v>312.0923076923077</x:v>
      </x:c>
      <x:c r="R73" s="22" t="n">
        <x:v>427.52370916754484</x:v>
      </x:c>
      <x:c r="S73" s="22" t="n">
        <x:v>505.45384615384614</x:v>
      </x:c>
      <x:c r="T73" s="22" t="n">
        <x:v>768.1669394435352</x:v>
      </x:c>
      <x:c r="U73" s="22" t="n">
        <x:v>306.02127659574467</x:v>
      </x:c>
      <x:c r="V73" s="22" t="n">
        <x:v>3442.944212272717</x:v>
      </x:c>
      <x:c r="W73" s="22" t="n">
        <x:v>45.90592283030289</x:v>
      </x:c>
      <x:c r="X73" t="str">
        <x:v>https://www.fantasypros.com/nba/projections/overall.php</x:v>
      </x:c>
    </x:row>
    <x:row r="74" ht="22" customHeight="1">
      <x:c r="A74" t="str">
        <x:v>Domantas Sabonis</x:v>
      </x:c>
      <x:c r="B74" t="str">
        <x:v>SAC</x:v>
      </x:c>
      <x:c r="C74" t="str">
        <x:v>C/PF</x:v>
      </x:c>
      <x:c r="D74" t="n">
        <x:v>1290</x:v>
      </x:c>
      <x:c r="E74" t="n">
        <x:v>936</x:v>
      </x:c>
      <x:c r="F74" t="n">
        <x:v>432</x:v>
      </x:c>
      <x:c r="G74" t="n">
        <x:v>32</x:v>
      </x:c>
      <x:c r="H74" t="n">
        <x:v>57</x:v>
      </x:c>
      <x:c r="I74" s="26" t="n">
        <x:v>0.588</x:v>
      </x:c>
      <x:c r="J74" s="26" t="n">
        <x:v>0.738</x:v>
      </x:c>
      <x:c r="K74" t="n">
        <x:v>46</x:v>
      </x:c>
      <x:c r="L74" t="n">
        <x:v>74</x:v>
      </x:c>
      <x:c r="M74" t="n">
        <x:v>2524</x:v>
      </x:c>
      <x:c r="N74" t="n">
        <x:v>214</x:v>
      </x:c>
      <x:c r="O74" s="24" t="n">
        <x:v>0.18354430379746833</x:v>
      </x:c>
      <x:c r="P74" s="24" t="n">
        <x:v>0.11447811447811448</x:v>
      </x:c>
      <x:c r="Q74" s="22" t="n">
        <x:v>236.77215189873414</x:v>
      </x:c>
      <x:c r="R74" s="22" t="n">
        <x:v>320.82947411752593</x:v>
      </x:c>
      <x:c r="S74" s="22" t="n">
        <x:v>503.61392405063293</x:v>
      </x:c>
      <x:c r="T74" s="22" t="n">
        <x:v>856.4862653922329</x:v>
      </x:c>
      <x:c r="U74" s="22" t="n">
        <x:v>288.94276094276097</x:v>
      </x:c>
      <x:c r="V74" s="22" t="n">
        <x:v>3535.3419342744974</x:v>
      </x:c>
      <x:c r="W74" s="22" t="n">
        <x:v>47.77489100370942</x:v>
      </x:c>
      <x:c r="X74" t="str">
        <x:v>https://www.fantasypros.com/nba/projections/overall.php</x:v>
      </x:c>
    </x:row>
    <x:row r="75" ht="22" customHeight="1">
      <x:c r="A75" t="str">
        <x:v>Miles Bridges</x:v>
      </x:c>
      <x:c r="B75" t="str">
        <x:v>PHX</x:v>
      </x:c>
      <x:c r="C75" t="str">
        <x:v>SF/PF</x:v>
      </x:c>
      <x:c r="D75" t="n">
        <x:v>1305</x:v>
      </x:c>
      <x:c r="E75" t="n">
        <x:v>468</x:v>
      </x:c>
      <x:c r="F75" t="n">
        <x:v>237</x:v>
      </x:c>
      <x:c r="G75" t="n">
        <x:v>40</x:v>
      </x:c>
      <x:c r="H75" t="n">
        <x:v>57</x:v>
      </x:c>
      <x:c r="I75" s="26" t="n">
        <x:v>0.456</x:v>
      </x:c>
      <x:c r="J75" s="26" t="n">
        <x:v>0.844</x:v>
      </x:c>
      <x:c r="K75" t="n">
        <x:v>140</x:v>
      </x:c>
      <x:c r="L75" t="n">
        <x:v>75</x:v>
      </x:c>
      <x:c r="M75" t="n">
        <x:v>2295</x:v>
      </x:c>
      <x:c r="N75" t="n">
        <x:v>117</x:v>
      </x:c>
      <x:c r="O75" s="24" t="n">
        <x:v>0.15789473684210525</x:v>
      </x:c>
      <x:c r="P75" s="24" t="n">
        <x:v>0.03225806451612903</x:v>
      </x:c>
      <x:c r="Q75" s="22" t="n">
        <x:v>206.05263157894737</x:v>
      </x:c>
      <x:c r="R75" s="22" t="n">
        <x:v>244.1381890745822</x:v>
      </x:c>
      <x:c r="S75" s="22" t="n">
        <x:v>479.4736842105263</x:v>
      </x:c>
      <x:c r="T75" s="22" t="n">
        <x:v>1051.4773776546629</x:v>
      </x:c>
      <x:c r="U75" s="22" t="n">
        <x:v>74.03225806451613</x:v>
      </x:c>
      <x:c r="V75" s="22" t="n">
        <x:v>2432.001580978734</x:v>
      </x:c>
      <x:c r="W75" s="22" t="n">
        <x:v>32.426687746383124</x:v>
      </x:c>
      <x:c r="X75" t="str">
        <x:v>https://www.fantasypros.com/nba/projections/overall.php</x:v>
      </x:c>
    </x:row>
    <x:row r="76" ht="22" customHeight="1">
      <x:c r="A76" t="str">
        <x:v>Ty Jerome</x:v>
      </x:c>
      <x:c r="B76" t="str">
        <x:v>MEM</x:v>
      </x:c>
      <x:c r="C76" t="str">
        <x:v>PG/SG</x:v>
      </x:c>
      <x:c r="D76" t="n">
        <x:v>1241</x:v>
      </x:c>
      <x:c r="E76" t="n">
        <x:v>210</x:v>
      </x:c>
      <x:c r="F76" t="n">
        <x:v>358</x:v>
      </x:c>
      <x:c r="G76" t="n">
        <x:v>11</x:v>
      </x:c>
      <x:c r="H76" t="n">
        <x:v>93</x:v>
      </x:c>
      <x:c r="I76" s="26" t="n">
        <x:v>0.479</x:v>
      </x:c>
      <x:c r="J76" s="26" t="n">
        <x:v>0.872</x:v>
      </x:c>
      <x:c r="K76" t="n">
        <x:v>164</x:v>
      </x:c>
      <x:c r="L76" t="n">
        <x:v>71</x:v>
      </x:c>
      <x:c r="M76" t="n">
        <x:v>1816</x:v>
      </x:c>
      <x:c r="N76" t="n">
        <x:v>135</x:v>
      </x:c>
      <x:c r="O76" s="24" t="n">
        <x:v>0.16751269035532995</x:v>
      </x:c>
      <x:c r="P76" s="24" t="n">
        <x:v>0.030973451327433624</x:v>
      </x:c>
      <x:c r="Q76" s="22" t="n">
        <x:v>207.88324873096448</x:v>
      </x:c>
      <x:c r="R76" s="22" t="n">
        <x:v>238.39822102174827</x:v>
      </x:c>
      <x:c r="S76" s="22" t="n">
        <x:v>434.55837563451774</x:v>
      </x:c>
      <x:c r="T76" s="22" t="n">
        <x:v>907.2199908862584</x:v>
      </x:c>
      <x:c r="U76" s="22" t="n">
        <x:v>56.24778761061946</x:v>
      </x:c>
      <x:c r="V76" s="22" t="n">
        <x:v>2336.2606120441965</x:v>
      </x:c>
      <x:c r="W76" s="22" t="n">
        <x:v>32.905079042876004</x:v>
      </x:c>
      <x:c r="X76" t="str">
        <x:v>https://www.fantasypros.com/nba/projections/overall.php</x:v>
      </x:c>
    </x:row>
    <x:row r="77" ht="22" customHeight="1">
      <x:c r="A77" t="str">
        <x:v>Dillon Brooks</x:v>
      </x:c>
      <x:c r="B77" t="str">
        <x:v>PHX</x:v>
      </x:c>
      <x:c r="C77" t="str">
        <x:v>PF/SF/SG</x:v>
      </x:c>
      <x:c r="D77" t="n">
        <x:v>1281</x:v>
      </x:c>
      <x:c r="E77" t="n">
        <x:v>265</x:v>
      </x:c>
      <x:c r="F77" t="n">
        <x:v>131</x:v>
      </x:c>
      <x:c r="G77" t="n">
        <x:v>16</x:v>
      </x:c>
      <x:c r="H77" t="n">
        <x:v>74</x:v>
      </x:c>
      <x:c r="I77" s="26" t="n">
        <x:v>0.437</x:v>
      </x:c>
      <x:c r="J77" s="26" t="n">
        <x:v>0.84</x:v>
      </x:c>
      <x:c r="K77" t="n">
        <x:v>175</x:v>
      </x:c>
      <x:c r="L77" t="n">
        <x:v>74</x:v>
      </x:c>
      <x:c r="M77" t="n">
        <x:v>2291</x:v>
      </x:c>
      <x:c r="N77" t="n">
        <x:v>107</x:v>
      </x:c>
      <x:c r="O77" s="24" t="n">
        <x:v>0.1485148514851485</x:v>
      </x:c>
      <x:c r="P77" s="24" t="n">
        <x:v>0.026315789473684213</x:v>
      </x:c>
      <x:c r="Q77" s="22" t="n">
        <x:v>190.24752475247524</x:v>
      </x:c>
      <x:c r="R77" s="22" t="n">
        <x:v>226.4851485148515</x:v>
      </x:c>
      <x:c r="S77" s="22" t="n">
        <x:v>457.8762376237624</x:v>
      </x:c>
      <x:c r="T77" s="22" t="n">
        <x:v>1047.7717108095248</x:v>
      </x:c>
      <x:c r="U77" s="22" t="n">
        <x:v>60.28947368421053</x:v>
      </x:c>
      <x:c r="V77" s="22" t="n">
        <x:v>2018.0696127965202</x:v>
      </x:c>
      <x:c r="W77" s="22" t="n">
        <x:v>27.27121098373676</x:v>
      </x:c>
      <x:c r="X77" t="str">
        <x:v>https://www.fantasypros.com/nba/projections/overall.php</x:v>
      </x:c>
    </x:row>
    <x:row r="78" ht="22" customHeight="1">
      <x:c r="A78" t="str">
        <x:v>Kristaps Porzingis</x:v>
      </x:c>
      <x:c r="B78" t="str">
        <x:v>GSW</x:v>
      </x:c>
      <x:c r="C78" t="str">
        <x:v>PF/C</x:v>
      </x:c>
      <x:c r="D78" t="n">
        <x:v>934</x:v>
      </x:c>
      <x:c r="E78" t="n">
        <x:v>314</x:v>
      </x:c>
      <x:c r="F78" t="n">
        <x:v>113</x:v>
      </x:c>
      <x:c r="G78" t="n">
        <x:v>68</x:v>
      </x:c>
      <x:c r="H78" t="n">
        <x:v>42</x:v>
      </x:c>
      <x:c r="I78" s="26" t="n">
        <x:v>0.468</x:v>
      </x:c>
      <x:c r="J78" s="26" t="n">
        <x:v>0.825</x:v>
      </x:c>
      <x:c r="K78" t="n">
        <x:v>102</x:v>
      </x:c>
      <x:c r="L78" t="n">
        <x:v>54</x:v>
      </x:c>
      <x:c r="M78" t="n">
        <x:v>1451</x:v>
      </x:c>
      <x:c r="N78" t="n">
        <x:v>73</x:v>
      </x:c>
      <x:c r="O78" s="24" t="n">
        <x:v>0.251497005988024</x:v>
      </x:c>
      <x:c r="P78" s="24" t="n">
        <x:v>0.05416666666666667</x:v>
      </x:c>
      <x:c r="Q78" s="22" t="n">
        <x:v>234.8982035928144</x:v>
      </x:c>
      <x:c r="R78" s="22" t="n">
        <x:v>284.7250952640175</x:v>
      </x:c>
      <x:c r="S78" s="22" t="n">
        <x:v>298.5508982035928</x:v>
      </x:c>
      <x:c r="T78" s="22" t="n">
        <x:v>637.9292696657965</x:v>
      </x:c>
      <x:c r="U78" s="22" t="n">
        <x:v>78.59583333333333</x:v>
      </x:c>
      <x:c r="V78" s="22" t="n">
        <x:v>1860.9355053296672</x:v>
      </x:c>
      <x:c r="W78" s="22" t="n">
        <x:v>34.46176861721606</x:v>
      </x:c>
      <x:c r="X78" t="str">
        <x:v>https://www.fantasypros.com/nba/projections/overall.php</x:v>
      </x:c>
    </x:row>
    <x:row r="79" ht="22" customHeight="1">
      <x:c r="A79" t="str">
        <x:v>Derrick White</x:v>
      </x:c>
      <x:c r="B79" t="str">
        <x:v>BOS</x:v>
      </x:c>
      <x:c r="C79" t="str">
        <x:v>PG/SG</x:v>
      </x:c>
      <x:c r="D79" t="n">
        <x:v>1338</x:v>
      </x:c>
      <x:c r="E79" t="n">
        <x:v>348</x:v>
      </x:c>
      <x:c r="F79" t="n">
        <x:v>387</x:v>
      </x:c>
      <x:c r="G79" t="n">
        <x:v>87</x:v>
      </x:c>
      <x:c r="H79" t="n">
        <x:v>79</x:v>
      </x:c>
      <x:c r="I79" s="26" t="n">
        <x:v>0.406</x:v>
      </x:c>
      <x:c r="J79" s="26" t="n">
        <x:v>0.882</x:v>
      </x:c>
      <x:c r="K79" t="n">
        <x:v>240</x:v>
      </x:c>
      <x:c r="L79" t="n">
        <x:v>78</x:v>
      </x:c>
      <x:c r="M79" t="n">
        <x:v>2677</x:v>
      </x:c>
      <x:c r="N79" t="n">
        <x:v>147</x:v>
      </x:c>
      <x:c r="O79" s="24" t="n">
        <x:v>0.14545454545454545</x:v>
      </x:c>
      <x:c r="P79" s="24" t="n">
        <x:v>0.03225806451612903</x:v>
      </x:c>
      <x:c r="Q79" s="22" t="n">
        <x:v>194.6181818181818</x:v>
      </x:c>
      <x:c r="R79" s="22" t="n">
        <x:v>220.6555349412492</x:v>
      </x:c>
      <x:c r="S79" s="22" t="n">
        <x:v>451.6909090909091</x:v>
      </x:c>
      <x:c r="T79" s="22" t="n">
        <x:v>1112.539184952978</x:v>
      </x:c>
      <x:c r="U79" s="22" t="n">
        <x:v>86.35483870967742</x:v>
      </x:c>
      <x:c r="V79" s="22" t="n">
        <x:v>2633.1331393433093</x:v>
      </x:c>
      <x:c r="W79" s="22" t="n">
        <x:v>33.758117171068065</x:v>
      </x:c>
      <x:c r="X79" t="str">
        <x:v>https://www.fantasypros.com/nba/projections/overall.php</x:v>
      </x:c>
    </x:row>
    <x:row r="80" ht="22" customHeight="1">
      <x:c r="A80" t="str">
        <x:v>Stephon Castle</x:v>
      </x:c>
      <x:c r="B80" t="str">
        <x:v>SAS</x:v>
      </x:c>
      <x:c r="C80" t="str">
        <x:v>PG/SG</x:v>
      </x:c>
      <x:c r="D80" t="n">
        <x:v>1292</x:v>
      </x:c>
      <x:c r="E80" t="n">
        <x:v>381</x:v>
      </x:c>
      <x:c r="F80" t="n">
        <x:v>501</x:v>
      </x:c>
      <x:c r="G80" t="n">
        <x:v>22</x:v>
      </x:c>
      <x:c r="H80" t="n">
        <x:v>82</x:v>
      </x:c>
      <x:c r="I80" s="26" t="n">
        <x:v>0.457</x:v>
      </x:c>
      <x:c r="J80" s="26" t="n">
        <x:v>0.737</x:v>
      </x:c>
      <x:c r="K80" t="n">
        <x:v>94</x:v>
      </x:c>
      <x:c r="L80" t="n">
        <x:v>75</x:v>
      </x:c>
      <x:c r="M80" t="n">
        <x:v>2376</x:v>
      </x:c>
      <x:c r="N80" t="n">
        <x:v>228</x:v>
      </x:c>
      <x:c r="O80" s="24" t="n">
        <x:v>0.24550898203592814</x:v>
      </x:c>
      <x:c r="P80" s="24" t="n">
        <x:v>0.04666666666666666</x:v>
      </x:c>
      <x:c r="Q80" s="22" t="n">
        <x:v>317.1976047904192</x:v>
      </x:c>
      <x:c r="R80" s="22" t="n">
        <x:v>430.3902371647479</x:v>
      </x:c>
      <x:c r="S80" s="22" t="n">
        <x:v>440.4011976047904</x:v>
      </x:c>
      <x:c r="T80" s="22" t="n">
        <x:v>963.6787693759089</x:v>
      </x:c>
      <x:c r="U80" s="22" t="n">
        <x:v>110.88</x:v>
      </x:c>
      <x:c r="V80" s="22" t="n">
        <x:v>2602.3885982497623</x:v>
      </x:c>
      <x:c r="W80" s="22" t="n">
        <x:v>34.698514643330164</x:v>
      </x:c>
      <x:c r="X80" t="str">
        <x:v>https://www.fantasypros.com/nba/projections/overall.php</x:v>
      </x:c>
    </x:row>
    <x:row r="81" ht="22" customHeight="1">
      <x:c r="A81" t="str">
        <x:v>Dejounte Murray</x:v>
      </x:c>
      <x:c r="B81" t="str">
        <x:v>NOP</x:v>
      </x:c>
      <x:c r="C81" t="str">
        <x:v>PG/SG</x:v>
      </x:c>
      <x:c r="D81" t="n">
        <x:v>1251</x:v>
      </x:c>
      <x:c r="E81" t="n">
        <x:v>392</x:v>
      </x:c>
      <x:c r="F81" t="n">
        <x:v>433</x:v>
      </x:c>
      <x:c r="G81" t="n">
        <x:v>18</x:v>
      </x:c>
      <x:c r="H81" t="n">
        <x:v>102</x:v>
      </x:c>
      <x:c r="I81" s="26" t="n">
        <x:v>0.439</x:v>
      </x:c>
      <x:c r="J81" s="26" t="n">
        <x:v>0.821</x:v>
      </x:c>
      <x:c r="K81" t="n">
        <x:v>120</x:v>
      </x:c>
      <x:c r="L81" t="n">
        <x:v>73</x:v>
      </x:c>
      <x:c r="M81" t="n">
        <x:v>2225</x:v>
      </x:c>
      <x:c r="N81" t="n">
        <x:v>206</x:v>
      </x:c>
      <x:c r="O81" s="24" t="n">
        <x:v>0.16766467065868262</x:v>
      </x:c>
      <x:c r="P81" s="24" t="n">
        <x:v>0.010791366906474819</x:v>
      </x:c>
      <x:c r="Q81" s="22" t="n">
        <x:v>209.74850299401197</x:v>
      </x:c>
      <x:c r="R81" s="22" t="n">
        <x:v>255.4792971912448</x:v>
      </x:c>
      <x:c r="S81" s="22" t="n">
        <x:v>460.62574850299404</x:v>
      </x:c>
      <x:c r="T81" s="22" t="n">
        <x:v>1049.2613861116038</x:v>
      </x:c>
      <x:c r="U81" s="22" t="n">
        <x:v>24.01079136690647</x:v>
      </x:c>
      <x:c r="V81" s="22" t="n">
        <x:v>2315.5294024249765</x:v>
      </x:c>
      <x:c r="W81" s="22" t="n">
        <x:v>31.719580855136666</x:v>
      </x:c>
      <x:c r="X81" t="str">
        <x:v>https://www.fantasypros.com/nba/projections/overall.php</x:v>
      </x:c>
    </x:row>
    <x:row r="82" ht="22" customHeight="1">
      <x:c r="A82" t="str">
        <x:v>OG Anunoby</x:v>
      </x:c>
      <x:c r="B82" t="str">
        <x:v>NYK</x:v>
      </x:c>
      <x:c r="C82" t="str">
        <x:v>SF/PF</x:v>
      </x:c>
      <x:c r="D82" t="n">
        <x:v>1241</x:v>
      </x:c>
      <x:c r="E82" t="n">
        <x:v>381</x:v>
      </x:c>
      <x:c r="F82" t="n">
        <x:v>153</x:v>
      </x:c>
      <x:c r="G82" t="n">
        <x:v>62</x:v>
      </x:c>
      <x:c r="H82" t="n">
        <x:v>110</x:v>
      </x:c>
      <x:c r="I82" s="26" t="n">
        <x:v>0.481</x:v>
      </x:c>
      <x:c r="J82" s="26" t="n">
        <x:v>0.823</x:v>
      </x:c>
      <x:c r="K82" t="n">
        <x:v>171</x:v>
      </x:c>
      <x:c r="L82" t="n">
        <x:v>73</x:v>
      </x:c>
      <x:c r="M82" t="n">
        <x:v>2542</x:v>
      </x:c>
      <x:c r="N82" t="n">
        <x:v>119</x:v>
      </x:c>
      <x:c r="O82" s="24" t="n">
        <x:v>0.16167664670658685</x:v>
      </x:c>
      <x:c r="P82" s="24" t="n">
        <x:v>0.0391566265060241</x:v>
      </x:c>
      <x:c r="Q82" s="22" t="n">
        <x:v>200.64071856287427</x:v>
      </x:c>
      <x:c r="R82" s="22" t="n">
        <x:v>243.79188160738065</x:v>
      </x:c>
      <x:c r="S82" s="22" t="n">
        <x:v>434.67964071856284</x:v>
      </x:c>
      <x:c r="T82" s="22" t="n">
        <x:v>903.6998767537689</x:v>
      </x:c>
      <x:c r="U82" s="22" t="n">
        <x:v>99.53614457831326</x:v>
      </x:c>
      <x:c r="V82" s="22" t="n">
        <x:v>2419.7212493583515</x:v>
      </x:c>
      <x:c r="W82" s="22" t="n">
        <x:v>33.14686642956646</x:v>
      </x:c>
      <x:c r="X82" t="str">
        <x:v>https://www.fantasypros.com/nba/projections/overall.php</x:v>
      </x:c>
    </x:row>
    <x:row r="83" ht="22" customHeight="1">
      <x:c r="A83" t="str">
        <x:v>DeMar DeRozan</x:v>
      </x:c>
      <x:c r="B83" t="str">
        <x:v>DEN</x:v>
      </x:c>
      <x:c r="C83" t="str">
        <x:v>PF/SF</x:v>
      </x:c>
      <x:c r="D83" t="n">
        <x:v>1282</x:v>
      </x:c>
      <x:c r="E83" t="n">
        <x:v>236</x:v>
      </x:c>
      <x:c r="F83" t="n">
        <x:v>278</x:v>
      </x:c>
      <x:c r="G83" t="n">
        <x:v>26</x:v>
      </x:c>
      <x:c r="H83" t="n">
        <x:v>56</x:v>
      </x:c>
      <x:c r="I83" s="26" t="n">
        <x:v>0.492</x:v>
      </x:c>
      <x:c r="J83" s="26" t="n">
        <x:v>0.86</x:v>
      </x:c>
      <x:c r="K83" t="n">
        <x:v>53</x:v>
      </x:c>
      <x:c r="L83" t="n">
        <x:v>77</x:v>
      </x:c>
      <x:c r="M83" t="n">
        <x:v>2277</x:v>
      </x:c>
      <x:c r="N83" t="n">
        <x:v>81</x:v>
      </x:c>
      <x:c r="O83" s="24" t="n">
        <x:v>0.266304347826087</x:v>
      </x:c>
      <x:c r="P83" s="24" t="n">
        <x:v>0.016025641025641028</x:v>
      </x:c>
      <x:c r="Q83" s="22" t="n">
        <x:v>341.4021739130435</x:v>
      </x:c>
      <x:c r="R83" s="22" t="n">
        <x:v>396.97927199191105</x:v>
      </x:c>
      <x:c r="S83" s="22" t="n">
        <x:v>443.79891304347825</x:v>
      </x:c>
      <x:c r="T83" s="22" t="n">
        <x:v>902.0303110639802</x:v>
      </x:c>
      <x:c r="U83" s="22" t="n">
        <x:v>36.49038461538462</x:v>
      </x:c>
      <x:c r="V83" s="22" t="n">
        <x:v>2321.3733600879214</x:v>
      </x:c>
      <x:c r="W83" s="22" t="n">
        <x:v>30.14770597516781</x:v>
      </x:c>
      <x:c r="X83" t="str">
        <x:v>https://www.fantasypros.com/nba/projections/overall.php</x:v>
      </x:c>
    </x:row>
    <x:row r="84" ht="22" customHeight="1">
      <x:c r="A84" t="str">
        <x:v>Immanuel Quickley</x:v>
      </x:c>
      <x:c r="B84" t="str">
        <x:v>TOR</x:v>
      </x:c>
      <x:c r="C84" t="str">
        <x:v>PG/SG</x:v>
      </x:c>
      <x:c r="D84" t="n">
        <x:v>1187</x:v>
      </x:c>
      <x:c r="E84" t="n">
        <x:v>279</x:v>
      </x:c>
      <x:c r="F84" t="n">
        <x:v>411</x:v>
      </x:c>
      <x:c r="G84" t="n">
        <x:v>8</x:v>
      </x:c>
      <x:c r="H84" t="n">
        <x:v>79</x:v>
      </x:c>
      <x:c r="I84" s="26" t="n">
        <x:v>0.439</x:v>
      </x:c>
      <x:c r="J84" s="26" t="n">
        <x:v>0.839</x:v>
      </x:c>
      <x:c r="K84" t="n">
        <x:v>181</x:v>
      </x:c>
      <x:c r="L84" t="n">
        <x:v>72</x:v>
      </x:c>
      <x:c r="M84" t="n">
        <x:v>2222</x:v>
      </x:c>
      <x:c r="N84" t="n">
        <x:v>109</x:v>
      </x:c>
      <x:c r="O84" s="24" t="n">
        <x:v>0.14634146341463417</x:v>
      </x:c>
      <x:c r="P84" s="24" t="n">
        <x:v>0.015673981191222573</x:v>
      </x:c>
      <x:c r="Q84" s="22" t="n">
        <x:v>173.70731707317074</x:v>
      </x:c>
      <x:c r="R84" s="22" t="n">
        <x:v>207.04090235181258</x:v>
      </x:c>
      <x:c r="S84" s="22" t="n">
        <x:v>416.1463414634146</x:v>
      </x:c>
      <x:c r="T84" s="22" t="n">
        <x:v>947.9415523084615</x:v>
      </x:c>
      <x:c r="U84" s="22" t="n">
        <x:v>34.827586206896555</x:v>
      </x:c>
      <x:c r="V84" s="22" t="n">
        <x:v>2309.8800348266896</x:v>
      </x:c>
      <x:c r="W84" s="22" t="n">
        <x:v>32.08166715037069</x:v>
      </x:c>
      <x:c r="X84" t="str">
        <x:v>https://www.fantasypros.com/nba/projections/overall.php</x:v>
      </x:c>
    </x:row>
    <x:row r="85" ht="22" customHeight="1">
      <x:c r="A85" t="str">
        <x:v>Amen Thompson</x:v>
      </x:c>
      <x:c r="B85" t="str">
        <x:v>HOU</x:v>
      </x:c>
      <x:c r="C85" t="str">
        <x:v>PG/SF/SG</x:v>
      </x:c>
      <x:c r="D85" t="n">
        <x:v>1294</x:v>
      </x:c>
      <x:c r="E85" t="n">
        <x:v>594</x:v>
      </x:c>
      <x:c r="F85" t="n">
        <x:v>372</x:v>
      </x:c>
      <x:c r="G85" t="n">
        <x:v>63</x:v>
      </x:c>
      <x:c r="H85" t="n">
        <x:v>113</x:v>
      </x:c>
      <x:c r="I85" s="26" t="n">
        <x:v>0.543</x:v>
      </x:c>
      <x:c r="J85" s="26" t="n">
        <x:v>0.757</x:v>
      </x:c>
      <x:c r="K85" t="n">
        <x:v>25</x:v>
      </x:c>
      <x:c r="L85" t="n">
        <x:v>78</x:v>
      </x:c>
      <x:c r="M85" t="n">
        <x:v>2787</x:v>
      </x:c>
      <x:c r="N85" t="n">
        <x:v>176</x:v>
      </x:c>
      <x:c r="O85" s="24" t="n">
        <x:v>0.2076502732240437</x:v>
      </x:c>
      <x:c r="P85" s="24" t="n">
        <x:v>0.08021390374331551</x:v>
      </x:c>
      <x:c r="Q85" s="22" t="n">
        <x:v>268.69945355191254</x:v>
      </x:c>
      <x:c r="R85" s="22" t="n">
        <x:v>354.95304300120546</x:v>
      </x:c>
      <x:c r="S85" s="22" t="n">
        <x:v>500.15027322404376</x:v>
      </x:c>
      <x:c r="T85" s="22" t="n">
        <x:v>921.0870593444636</x:v>
      </x:c>
      <x:c r="U85" s="22" t="n">
        <x:v>223.55614973262033</x:v>
      </x:c>
      <x:c r="V85" s="22" t="n">
        <x:v>3148.271650671484</x:v>
      </x:c>
      <x:c r="W85" s="22" t="n">
        <x:v>40.36245705989082</x:v>
      </x:c>
      <x:c r="X85" t="str">
        <x:v>https://www.fantasypros.com/nba/projections/overall.php</x:v>
      </x:c>
    </x:row>
    <x:row r="86" ht="22" customHeight="1">
      <x:c r="A86" t="str">
        <x:v>Payton Pritchard</x:v>
      </x:c>
      <x:c r="B86" t="str">
        <x:v>BOS</x:v>
      </x:c>
      <x:c r="C86" t="str">
        <x:v>PG/SG</x:v>
      </x:c>
      <x:c r="D86" t="n">
        <x:v>1234</x:v>
      </x:c>
      <x:c r="E86" t="n">
        <x:v>287</x:v>
      </x:c>
      <x:c r="F86" t="n">
        <x:v>332</x:v>
      </x:c>
      <x:c r="G86" t="n">
        <x:v>8</x:v>
      </x:c>
      <x:c r="H86" t="n">
        <x:v>52</x:v>
      </x:c>
      <x:c r="I86" s="26" t="n">
        <x:v>0.463</x:v>
      </x:c>
      <x:c r="J86" s="26" t="n">
        <x:v>0.878</x:v>
      </x:c>
      <x:c r="K86" t="n">
        <x:v>217</x:v>
      </x:c>
      <x:c r="L86" t="n">
        <x:v>75</x:v>
      </x:c>
      <x:c r="M86" t="n">
        <x:v>2302</x:v>
      </x:c>
      <x:c r="N86" t="n">
        <x:v>100</x:v>
      </x:c>
      <x:c r="O86" s="24" t="n">
        <x:v>0.08823529411764706</x:v>
      </x:c>
      <x:c r="P86" s="24" t="n">
        <x:v>0.027863777089783284</x:v>
      </x:c>
      <x:c r="Q86" s="22" t="n">
        <x:v>108.88235294117648</x:v>
      </x:c>
      <x:c r="R86" s="22" t="n">
        <x:v>124.01179150475681</x:v>
      </x:c>
      <x:c r="S86" s="22" t="n">
        <x:v>454.05882352941177</x:v>
      </x:c>
      <x:c r="T86" s="22" t="n">
        <x:v>980.6886037352306</x:v>
      </x:c>
      <x:c r="U86" s="22" t="n">
        <x:v>64.14241486068111</x:v>
      </x:c>
      <x:c r="V86" s="22" t="n">
        <x:v>2301.4667874225515</x:v>
      </x:c>
      <x:c r="W86" s="22" t="n">
        <x:v>30.686223832300687</x:v>
      </x:c>
      <x:c r="X86" t="str">
        <x:v>https://www.fantasypros.com/nba/projections/overall.php</x:v>
      </x:c>
    </x:row>
    <x:row r="87" ht="22" customHeight="1">
      <x:c r="A87" t="str">
        <x:v>Nickeil Alexander-Walker</x:v>
      </x:c>
      <x:c r="B87" t="str">
        <x:v>ATL</x:v>
      </x:c>
      <x:c r="C87" t="str">
        <x:v>PG/SG</x:v>
      </x:c>
      <x:c r="D87" t="n">
        <x:v>1283</x:v>
      </x:c>
      <x:c r="E87" t="n">
        <x:v>245</x:v>
      </x:c>
      <x:c r="F87" t="n">
        <x:v>261</x:v>
      </x:c>
      <x:c r="G87" t="n">
        <x:v>37</x:v>
      </x:c>
      <x:c r="H87" t="n">
        <x:v>81</x:v>
      </x:c>
      <x:c r="I87" s="26" t="n">
        <x:v>0.449</x:v>
      </x:c>
      <x:c r="J87" s="26" t="n">
        <x:v>0.878</x:v>
      </x:c>
      <x:c r="K87" t="n">
        <x:v>203</x:v>
      </x:c>
      <x:c r="L87" t="n">
        <x:v>79</x:v>
      </x:c>
      <x:c r="M87" t="n">
        <x:v>2396</x:v>
      </x:c>
      <x:c r="N87" t="n">
        <x:v>135</x:v>
      </x:c>
      <x:c r="O87" s="24" t="n">
        <x:v>0.17307692307692307</x:v>
      </x:c>
      <x:c r="P87" s="24" t="n">
        <x:v>0.020958083832335328</x:v>
      </x:c>
      <x:c r="Q87" s="22" t="n">
        <x:v>222.0576923076923</x:v>
      </x:c>
      <x:c r="R87" s="22" t="n">
        <x:v>252.9130891887156</x:v>
      </x:c>
      <x:c r="S87" s="22" t="n">
        <x:v>428.97115384615387</x:v>
      </x:c>
      <x:c r="T87" s="22" t="n">
        <x:v>955.3923248243962</x:v>
      </x:c>
      <x:c r="U87" s="22" t="n">
        <x:v>50.21556886227545</x:v>
      </x:c>
      <x:c r="V87" s="22" t="n">
        <x:v>2264.183416019131</x:v>
      </x:c>
      <x:c r="W87" s="22" t="n">
        <x:v>28.660549569862418</x:v>
      </x:c>
      <x:c r="X87" t="str">
        <x:v>https://www.fantasypros.com/nba/projections/overall.php</x:v>
      </x:c>
    </x:row>
    <x:row r="88" ht="22" customHeight="1">
      <x:c r="A88" t="str">
        <x:v>Chet Holmgren</x:v>
      </x:c>
      <x:c r="B88" t="str">
        <x:v>OKC</x:v>
      </x:c>
      <x:c r="C88" t="str">
        <x:v>PF/C</x:v>
      </x:c>
      <x:c r="D88" t="n">
        <x:v>1168</x:v>
      </x:c>
      <x:c r="E88" t="n">
        <x:v>580</x:v>
      </x:c>
      <x:c r="F88" t="n">
        <x:v>124</x:v>
      </x:c>
      <x:c r="G88" t="n">
        <x:v>134</x:v>
      </x:c>
      <x:c r="H88" t="n">
        <x:v>47</x:v>
      </x:c>
      <x:c r="I88" s="26" t="n">
        <x:v>0.533</x:v>
      </x:c>
      <x:c r="J88" s="26" t="n">
        <x:v>0.788</x:v>
      </x:c>
      <x:c r="K88" t="n">
        <x:v>93</x:v>
      </x:c>
      <x:c r="L88" t="n">
        <x:v>72</x:v>
      </x:c>
      <x:c r="M88" t="n">
        <x:v>2059</x:v>
      </x:c>
      <x:c r="N88" t="n">
        <x:v>109</x:v>
      </x:c>
      <x:c r="O88" s="24" t="n">
        <x:v>0.19298245614035084</x:v>
      </x:c>
      <x:c r="P88" s="24" t="n">
        <x:v>0.0657439446366782</x:v>
      </x:c>
      <x:c r="Q88" s="22" t="n">
        <x:v>225.40350877192978</x:v>
      </x:c>
      <x:c r="R88" s="22" t="n">
        <x:v>286.04506189331187</x:v>
      </x:c>
      <x:c r="S88" s="22" t="n">
        <x:v>424.7982456140351</x:v>
      </x:c>
      <x:c r="T88" s="22" t="n">
        <x:v>796.9948322965012</x:v>
      </x:c>
      <x:c r="U88" s="22" t="n">
        <x:v>135.3667820069204</x:v>
      </x:c>
      <x:c r="V88" s="22" t="n">
        <x:v>2592.0971785959578</x:v>
      </x:c>
      <x:c r="W88" s="22" t="n">
        <x:v>36.00134970272163</x:v>
      </x:c>
      <x:c r="X88" t="str">
        <x:v>https://www.fantasypros.com/nba/projections/overall.php</x:v>
      </x:c>
    </x:row>
    <x:row r="89" ht="22" customHeight="1">
      <x:c r="A89" t="str">
        <x:v>John Collins</x:v>
      </x:c>
      <x:c r="B89" t="str">
        <x:v>DET</x:v>
      </x:c>
      <x:c r="C89" t="str">
        <x:v>PF/C</x:v>
      </x:c>
      <x:c r="D89" t="n">
        <x:v>1177</x:v>
      </x:c>
      <x:c r="E89" t="n">
        <x:v>529</x:v>
      </x:c>
      <x:c r="F89" t="n">
        <x:v>100</x:v>
      </x:c>
      <x:c r="G89" t="n">
        <x:v>73</x:v>
      </x:c>
      <x:c r="H89" t="n">
        <x:v>68</x:v>
      </x:c>
      <x:c r="I89" s="26" t="n">
        <x:v>0.54</x:v>
      </x:c>
      <x:c r="J89" s="26" t="n">
        <x:v>0.803</x:v>
      </x:c>
      <x:c r="K89" t="n">
        <x:v>98</x:v>
      </x:c>
      <x:c r="L89" t="n">
        <x:v>73</x:v>
      </x:c>
      <x:c r="M89" t="n">
        <x:v>2156</x:v>
      </x:c>
      <x:c r="N89" t="n">
        <x:v>123</x:v>
      </x:c>
      <x:c r="O89" s="24" t="n">
        <x:v>0.125</x:v>
      </x:c>
      <x:c r="P89" s="24" t="n">
        <x:v>0.05904059040590406</x:v>
      </x:c>
      <x:c r="Q89" s="22" t="n">
        <x:v>147.125</x:v>
      </x:c>
      <x:c r="R89" s="22" t="n">
        <x:v>183.21917808219177</x:v>
      </x:c>
      <x:c r="S89" s="22" t="n">
        <x:v>465.9375</x:v>
      </x:c>
      <x:c r="T89" s="22" t="n">
        <x:v>862.8472222222222</x:v>
      </x:c>
      <x:c r="U89" s="22" t="n">
        <x:v>127.29151291512915</x:v>
      </x:c>
      <x:c r="V89" s="22" t="n">
        <x:v>2388.1416255258446</x:v>
      </x:c>
      <x:c r="W89" s="22" t="n">
        <x:v>32.71426884281979</x:v>
      </x:c>
      <x:c r="X89" t="str">
        <x:v>https://www.fantasypros.com/nba/projections/overall.php</x:v>
      </x:c>
    </x:row>
    <x:row r="90" ht="22" customHeight="1">
      <x:c r="A90" t="str">
        <x:v>Caleb Wilson</x:v>
      </x:c>
      <x:c r="B90" t="str">
        <x:v>CHI</x:v>
      </x:c>
      <x:c r="C90" t="str">
        <x:v>PF/SF</x:v>
      </x:c>
      <x:c r="D90" t="n">
        <x:v>1198</x:v>
      </x:c>
      <x:c r="E90" t="n">
        <x:v>618</x:v>
      </x:c>
      <x:c r="F90" t="n">
        <x:v>160</x:v>
      </x:c>
      <x:c r="G90" t="n">
        <x:v>111</x:v>
      </x:c>
      <x:c r="H90" t="n">
        <x:v>74</x:v>
      </x:c>
      <x:c r="I90" s="26" t="n">
        <x:v>0.505</x:v>
      </x:c>
      <x:c r="J90" s="26" t="n">
        <x:v>0.746</x:v>
      </x:c>
      <x:c r="K90" t="n">
        <x:v>63</x:v>
      </x:c>
      <x:c r="L90" t="n">
        <x:v>75</x:v>
      </x:c>
      <x:c r="M90" t="n">
        <x:v>2418</x:v>
      </x:c>
      <x:c r="N90" t="n">
        <x:v>142</x:v>
      </x:c>
      <x:c r="O90" s="24" t="n">
        <x:v>0.18</x:v>
      </x:c>
      <x:c r="P90" s="24" t="n">
        <x:v>0.08</x:v>
      </x:c>
      <x:c r="Q90" s="22" t="n">
        <x:v>215.64</x:v>
      </x:c>
      <x:c r="R90" s="22" t="n">
        <x:v>289.0616621983914</x:v>
      </x:c>
      <x:c r="S90" s="22" t="n">
        <x:v>459.68</x:v>
      </x:c>
      <x:c r="T90" s="22" t="n">
        <x:v>910.2574257425742</x:v>
      </x:c>
      <x:c r="U90" s="22" t="n">
        <x:v>193.44</x:v>
      </x:c>
      <x:c r="V90" s="22" t="n">
        <x:v>2687.7009120590346</x:v>
      </x:c>
      <x:c r="W90" s="22" t="n">
        <x:v>35.83601216078713</x:v>
      </x:c>
      <x:c r="X90" t="str">
        <x:v>https://www.fantasypros.com/nba/projections/overall.php</x:v>
      </x:c>
    </x:row>
    <x:row r="91" ht="22" customHeight="1">
      <x:c r="A91" t="str">
        <x:v>Andrew Wiggins</x:v>
      </x:c>
      <x:c r="B91" t="str">
        <x:v>MIA</x:v>
      </x:c>
      <x:c r="C91" t="str">
        <x:v>PF/SF/SG</x:v>
      </x:c>
      <x:c r="D91" t="n">
        <x:v>1150</x:v>
      </x:c>
      <x:c r="E91" t="n">
        <x:v>332</x:v>
      </x:c>
      <x:c r="F91" t="n">
        <x:v>195</x:v>
      </x:c>
      <x:c r="G91" t="n">
        <x:v>68</x:v>
      </x:c>
      <x:c r="H91" t="n">
        <x:v>79</x:v>
      </x:c>
      <x:c r="I91" s="26" t="n">
        <x:v>0.471</x:v>
      </x:c>
      <x:c r="J91" s="26" t="n">
        <x:v>0.77</x:v>
      </x:c>
      <x:c r="K91" t="n">
        <x:v>140</x:v>
      </x:c>
      <x:c r="L91" t="n">
        <x:v>73</x:v>
      </x:c>
      <x:c r="M91" t="n">
        <x:v>2215</x:v>
      </x:c>
      <x:c r="N91" t="n">
        <x:v>108</x:v>
      </x:c>
      <x:c r="O91" s="24" t="n">
        <x:v>0.18</x:v>
      </x:c>
      <x:c r="P91" s="24" t="n">
        <x:v>0.05</x:v>
      </x:c>
      <x:c r="Q91" s="22" t="n">
        <x:v>207</x:v>
      </x:c>
      <x:c r="R91" s="22" t="n">
        <x:v>268.83116883116884</x:v>
      </x:c>
      <x:c r="S91" s="22" t="n">
        <x:v>401.5</x:v>
      </x:c>
      <x:c r="T91" s="22" t="n">
        <x:v>852.4416135881105</x:v>
      </x:c>
      <x:c r="U91" s="22" t="n">
        <x:v>110.75</x:v>
      </x:c>
      <x:c r="V91" s="22" t="n">
        <x:v>2275.7272175807207</x:v>
      </x:c>
      <x:c r="W91" s="22" t="n">
        <x:v>31.174345446311243</x:v>
      </x:c>
      <x:c r="X91" t="str">
        <x:v>https://www.fantasypros.com/nba/projections/overall.php</x:v>
      </x:c>
    </x:row>
    <x:row r="92" ht="22" customHeight="1">
      <x:c r="A92" t="str">
        <x:v>Ivica Zubac</x:v>
      </x:c>
      <x:c r="B92" t="str">
        <x:v>IND</x:v>
      </x:c>
      <x:c r="C92" t="str">
        <x:v>C</x:v>
      </x:c>
      <x:c r="D92" t="n">
        <x:v>1160</x:v>
      </x:c>
      <x:c r="E92" t="n">
        <x:v>808</x:v>
      </x:c>
      <x:c r="F92" t="n">
        <x:v>186</x:v>
      </x:c>
      <x:c r="G92" t="n">
        <x:v>77</x:v>
      </x:c>
      <x:c r="H92" t="n">
        <x:v>35</x:v>
      </x:c>
      <x:c r="I92" s="26" t="n">
        <x:v>0.632</x:v>
      </x:c>
      <x:c r="J92" s="26" t="n">
        <x:v>0.682</x:v>
      </x:c>
      <x:c r="K92" t="n">
        <x:v>0</x:v>
      </x:c>
      <x:c r="L92" t="n">
        <x:v>74</x:v>
      </x:c>
      <x:c r="M92" t="n">
        <x:v>2311</x:v>
      </x:c>
      <x:c r="N92" t="n">
        <x:v>108</x:v>
      </x:c>
      <x:c r="O92" s="24" t="n">
        <x:v>0.14893617021276598</x:v>
      </x:c>
      <x:c r="P92" s="24" t="n">
        <x:v>0.11295681063122923</x:v>
      </x:c>
      <x:c r="Q92" s="22" t="n">
        <x:v>172.76595744680853</x:v>
      </x:c>
      <x:c r="R92" s="22" t="n">
        <x:v>253.32251825045236</x:v>
      </x:c>
      <x:c r="S92" s="22" t="n">
        <x:v>493.6170212765957</x:v>
      </x:c>
      <x:c r="T92" s="22" t="n">
        <x:v>781.0395906275248</x:v>
      </x:c>
      <x:c r="U92" s="22" t="n">
        <x:v>261.04318936877075</x:v>
      </x:c>
      <x:c r="V92" s="22" t="n">
        <x:v>3036.9902273063726</x:v>
      </x:c>
      <x:c r="W92" s="22" t="n">
        <x:v>41.04040847711315</x:v>
      </x:c>
      <x:c r="X92" t="str">
        <x:v>https://www.fantasypros.com/nba/projections/overall.php</x:v>
      </x:c>
    </x:row>
    <x:row r="93" ht="22" customHeight="1">
      <x:c r="A93" t="str">
        <x:v>Collin Sexton</x:v>
      </x:c>
      <x:c r="B93" t="str">
        <x:v>LAL</x:v>
      </x:c>
      <x:c r="C93" t="str">
        <x:v>PG/SG</x:v>
      </x:c>
      <x:c r="D93" t="n">
        <x:v>1170</x:v>
      </x:c>
      <x:c r="E93" t="n">
        <x:v>168</x:v>
      </x:c>
      <x:c r="F93" t="n">
        <x:v>260</x:v>
      </x:c>
      <x:c r="G93" t="n">
        <x:v>11</x:v>
      </x:c>
      <x:c r="H93" t="n">
        <x:v>67</x:v>
      </x:c>
      <x:c r="I93" s="26" t="n">
        <x:v>0.492</x:v>
      </x:c>
      <x:c r="J93" s="26" t="n">
        <x:v>0.86</x:v>
      </x:c>
      <x:c r="K93" t="n">
        <x:v>109</x:v>
      </x:c>
      <x:c r="L93" t="n">
        <x:v>75</x:v>
      </x:c>
      <x:c r="M93" t="n">
        <x:v>1830</x:v>
      </x:c>
      <x:c r="N93" t="n">
        <x:v>146</x:v>
      </x:c>
      <x:c r="O93" s="24" t="n">
        <x:v>0.19</x:v>
      </x:c>
      <x:c r="P93" s="24" t="n">
        <x:v>0.02</x:v>
      </x:c>
      <x:c r="Q93" s="22" t="n">
        <x:v>222.3</x:v>
      </x:c>
      <x:c r="R93" s="22" t="n">
        <x:v>258.48837209302326</x:v>
      </x:c>
      <x:c r="S93" s="22" t="n">
        <x:v>419.35</x:v>
      </x:c>
      <x:c r="T93" s="22" t="n">
        <x:v>852.3373983739838</x:v>
      </x:c>
      <x:c r="U93" s="22" t="n">
        <x:v>36.6</x:v>
      </x:c>
      <x:c r="V93" s="22" t="n">
        <x:v>1941.1742295329932</x:v>
      </x:c>
      <x:c r="W93" s="22" t="n">
        <x:v>25.88232306043991</x:v>
      </x:c>
      <x:c r="X93" t="str">
        <x:v>https://www.fantasypros.com/nba/projections/overall.php</x:v>
      </x:c>
    </x:row>
    <x:row r="94" ht="22" customHeight="1">
      <x:c r="A94" t="str">
        <x:v>Mikel Brown Jr.</x:v>
      </x:c>
      <x:c r="B94" t="str">
        <x:v>BKN</x:v>
      </x:c>
      <x:c r="C94" t="str">
        <x:v>PG</x:v>
      </x:c>
      <x:c r="D94" t="n">
        <x:v>1150</x:v>
      </x:c>
      <x:c r="E94" t="n">
        <x:v>208</x:v>
      </x:c>
      <x:c r="F94" t="n">
        <x:v>366</x:v>
      </x:c>
      <x:c r="G94" t="n">
        <x:v>16</x:v>
      </x:c>
      <x:c r="H94" t="n">
        <x:v>114</x:v>
      </x:c>
      <x:c r="I94" s="26" t="n">
        <x:v>0.431</x:v>
      </x:c>
      <x:c r="J94" s="26" t="n">
        <x:v>0.796</x:v>
      </x:c>
      <x:c r="K94" t="n">
        <x:v>96</x:v>
      </x:c>
      <x:c r="L94" t="n">
        <x:v>75</x:v>
      </x:c>
      <x:c r="M94" t="n">
        <x:v>2347</x:v>
      </x:c>
      <x:c r="N94" t="n">
        <x:v>231</x:v>
      </x:c>
      <x:c r="O94" s="24" t="n">
        <x:v>0.2</x:v>
      </x:c>
      <x:c r="P94" s="24" t="n">
        <x:v>0.015</x:v>
      </x:c>
      <x:c r="Q94" s="22" t="n">
        <x:v>230</x:v>
      </x:c>
      <x:c r="R94" s="22" t="n">
        <x:v>288.94472361809045</x:v>
      </x:c>
      <x:c r="S94" s="22" t="n">
        <x:v>412</x:v>
      </x:c>
      <x:c r="T94" s="22" t="n">
        <x:v>955.9164733178654</x:v>
      </x:c>
      <x:c r="U94" s="22" t="n">
        <x:v>35.205</x:v>
      </x:c>
      <x:c r="V94" s="22" t="n">
        <x:v>1902.5488030640445</x:v>
      </x:c>
      <x:c r="W94" s="22" t="n">
        <x:v>25.36731737418726</x:v>
      </x:c>
      <x:c r="X94" t="str">
        <x:v>https://www.fantasypros.com/nba/projections/overall.php</x:v>
      </x:c>
    </x:row>
    <x:row r="95" ht="22" customHeight="1">
      <x:c r="A95" t="str">
        <x:v>VJ Edgecombe</x:v>
      </x:c>
      <x:c r="B95" t="str">
        <x:v>PHI</x:v>
      </x:c>
      <x:c r="C95" t="str">
        <x:v>PG/SG</x:v>
      </x:c>
      <x:c r="D95" t="n">
        <x:v>1152</x:v>
      </x:c>
      <x:c r="E95" t="n">
        <x:v>420</x:v>
      </x:c>
      <x:c r="F95" t="n">
        <x:v>296</x:v>
      </x:c>
      <x:c r="G95" t="n">
        <x:v>38</x:v>
      </x:c>
      <x:c r="H95" t="n">
        <x:v>101</x:v>
      </x:c>
      <x:c r="I95" s="26" t="n">
        <x:v>0.456</x:v>
      </x:c>
      <x:c r="J95" s="26" t="n">
        <x:v>0.82</x:v>
      </x:c>
      <x:c r="K95" t="n">
        <x:v>142</x:v>
      </x:c>
      <x:c r="L95" t="n">
        <x:v>75</x:v>
      </x:c>
      <x:c r="M95" t="n">
        <x:v>2594</x:v>
      </x:c>
      <x:c r="N95" t="n">
        <x:v>130</x:v>
      </x:c>
      <x:c r="O95" s="24" t="n">
        <x:v>0.125</x:v>
      </x:c>
      <x:c r="P95" s="24" t="n">
        <x:v>0.045714285714285714</x:v>
      </x:c>
      <x:c r="Q95" s="22" t="n">
        <x:v>144</x:v>
      </x:c>
      <x:c r="R95" s="22" t="n">
        <x:v>175.609756097561</x:v>
      </x:c>
      <x:c r="S95" s="22" t="n">
        <x:v>433</x:v>
      </x:c>
      <x:c r="T95" s="22" t="n">
        <x:v>949.561403508772</x:v>
      </x:c>
      <x:c r="U95" s="22" t="n">
        <x:v>118.58285714285714</x:v>
      </x:c>
      <x:c r="V95" s="22" t="n">
        <x:v>2422.9945546793815</x:v>
      </x:c>
      <x:c r="W95" s="22" t="n">
        <x:v>32.30659406239175</x:v>
      </x:c>
      <x:c r="X95" t="str">
        <x:v>https://www.fantasypros.com/nba/projections/overall.php</x:v>
      </x:c>
    </x:row>
    <x:row r="96" ht="22" customHeight="1">
      <x:c r="A96" t="str">
        <x:v>Matas Buzelis</x:v>
      </x:c>
      <x:c r="B96" t="str">
        <x:v>CHI</x:v>
      </x:c>
      <x:c r="C96" t="str">
        <x:v>SF/PF</x:v>
      </x:c>
      <x:c r="D96" t="n">
        <x:v>1162</x:v>
      </x:c>
      <x:c r="E96" t="n">
        <x:v>412</x:v>
      </x:c>
      <x:c r="F96" t="n">
        <x:v>144</x:v>
      </x:c>
      <x:c r="G96" t="n">
        <x:v>112</x:v>
      </x:c>
      <x:c r="H96" t="n">
        <x:v>50</x:v>
      </x:c>
      <x:c r="I96" s="26" t="n">
        <x:v>0.461</x:v>
      </x:c>
      <x:c r="J96" s="26" t="n">
        <x:v>0.789</x:v>
      </x:c>
      <x:c r="K96" t="n">
        <x:v>155</x:v>
      </x:c>
      <x:c r="L96" t="n">
        <x:v>76</x:v>
      </x:c>
      <x:c r="M96" t="n">
        <x:v>2324</x:v>
      </x:c>
      <x:c r="N96" t="n">
        <x:v>145</x:v>
      </x:c>
      <x:c r="O96" s="24" t="n">
        <x:v>0.14723926380368096</x:v>
      </x:c>
      <x:c r="P96" s="24" t="n">
        <x:v>0.03424657534246575</x:v>
      </x:c>
      <x:c r="Q96" s="22" t="n">
        <x:v>171.0920245398773</x:v>
      </x:c>
      <x:c r="R96" s="22" t="n">
        <x:v>216.84667242063026</x:v>
      </x:c>
      <x:c r="S96" s="22" t="n">
        <x:v>417.9539877300614</x:v>
      </x:c>
      <x:c r="T96" s="22" t="n">
        <x:v>906.6247022344064</x:v>
      </x:c>
      <x:c r="U96" s="22" t="n">
        <x:v>79.58904109589041</x:v>
      </x:c>
      <x:c r="V96" s="22" t="n">
        <x:v>2136.798732076621</x:v>
      </x:c>
      <x:c r="W96" s="22" t="n">
        <x:v>28.115772790481856</x:v>
      </x:c>
      <x:c r="X96" t="str">
        <x:v>https://www.fantasypros.com/nba/projections/overall.php</x:v>
      </x:c>
    </x:row>
    <x:row r="97" ht="22" customHeight="1">
      <x:c r="A97" t="str">
        <x:v>Mikal Bridges</x:v>
      </x:c>
      <x:c r="B97" t="str">
        <x:v>NYK</x:v>
      </x:c>
      <x:c r="C97" t="str">
        <x:v>PF/SF/SG</x:v>
      </x:c>
      <x:c r="D97" t="n">
        <x:v>1219</x:v>
      </x:c>
      <x:c r="E97" t="n">
        <x:v>294</x:v>
      </x:c>
      <x:c r="F97" t="n">
        <x:v>286</x:v>
      </x:c>
      <x:c r="G97" t="n">
        <x:v>57</x:v>
      </x:c>
      <x:c r="H97" t="n">
        <x:v>93</x:v>
      </x:c>
      <x:c r="I97" s="26" t="n">
        <x:v>0.489</x:v>
      </x:c>
      <x:c r="J97" s="26" t="n">
        <x:v>0.827</x:v>
      </x:c>
      <x:c r="K97" t="n">
        <x:v>152</x:v>
      </x:c>
      <x:c r="L97" t="n">
        <x:v>80</x:v>
      </x:c>
      <x:c r="M97" t="n">
        <x:v>2776</x:v>
      </x:c>
      <x:c r="N97" t="n">
        <x:v>101</x:v>
      </x:c>
      <x:c r="O97" s="24" t="n">
        <x:v>0.06944444444444445</x:v>
      </x:c>
      <x:c r="P97" s="24" t="n">
        <x:v>0.030487804878048783</x:v>
      </x:c>
      <x:c r="Q97" s="22" t="n">
        <x:v>84.65277777777779</x:v>
      </x:c>
      <x:c r="R97" s="22" t="n">
        <x:v>102.36127905414484</x:v>
      </x:c>
      <x:c r="S97" s="22" t="n">
        <x:v>491.1736111111111</x:v>
      </x:c>
      <x:c r="T97" s="22" t="n">
        <x:v>1004.4450124971597</x:v>
      </x:c>
      <x:c r="U97" s="22" t="n">
        <x:v>84.63414634146342</x:v>
      </x:c>
      <x:c r="V97" s="22" t="n">
        <x:v>2377.6147789094002</x:v>
      </x:c>
      <x:c r="W97" s="22" t="n">
        <x:v>29.720184736367504</x:v>
      </x:c>
      <x:c r="X97" t="str">
        <x:v>https://www.fantasypros.com/nba/projections/overall.php</x:v>
      </x:c>
    </x:row>
    <x:row r="98" ht="22" customHeight="1">
      <x:c r="A98" t="str">
        <x:v>Jarrett Allen</x:v>
      </x:c>
      <x:c r="B98" t="str">
        <x:v>CLE</x:v>
      </x:c>
      <x:c r="C98" t="str">
        <x:v>C</x:v>
      </x:c>
      <x:c r="D98" t="n">
        <x:v>1128</x:v>
      </x:c>
      <x:c r="E98" t="n">
        <x:v>721</x:v>
      </x:c>
      <x:c r="F98" t="n">
        <x:v>152</x:v>
      </x:c>
      <x:c r="G98" t="n">
        <x:v>73</x:v>
      </x:c>
      <x:c r="H98" t="n">
        <x:v>73</x:v>
      </x:c>
      <x:c r="I98" s="26" t="n">
        <x:v>0.664</x:v>
      </x:c>
      <x:c r="J98" s="26" t="n">
        <x:v>0.717</x:v>
      </x:c>
      <x:c r="K98" t="n">
        <x:v>0</x:v>
      </x:c>
      <x:c r="L98" t="n">
        <x:v>75</x:v>
      </x:c>
      <x:c r="M98" t="n">
        <x:v>2191</x:v>
      </x:c>
      <x:c r="N98" t="n">
        <x:v>99</x:v>
      </x:c>
      <x:c r="O98" s="24" t="n">
        <x:v>0.21428571428571427</x:v>
      </x:c>
      <x:c r="P98" s="24" t="n">
        <x:v>0.0959409594095941</x:v>
      </x:c>
      <x:c r="Q98" s="22" t="n">
        <x:v>241.7142857142857</x:v>
      </x:c>
      <x:c r="R98" s="22" t="n">
        <x:v>337.1189479976091</x:v>
      </x:c>
      <x:c r="S98" s="22" t="n">
        <x:v>443.14285714285717</x:v>
      </x:c>
      <x:c r="T98" s="22" t="n">
        <x:v>667.3838209982788</x:v>
      </x:c>
      <x:c r="U98" s="22" t="n">
        <x:v>210.20664206642067</x:v>
      </x:c>
      <x:c r="V98" s="22" t="n">
        <x:v>2920.1248008512393</x:v>
      </x:c>
      <x:c r="W98" s="22" t="n">
        <x:v>38.93499734468319</x:v>
      </x:c>
      <x:c r="X98" t="str">
        <x:v>https://www.fantasypros.com/nba/projections/overall.php</x:v>
      </x:c>
    </x:row>
    <x:row r="99" ht="22" customHeight="1">
      <x:c r="A99" t="str">
        <x:v>Alex Sarr</x:v>
      </x:c>
      <x:c r="B99" t="str">
        <x:v>WAS</x:v>
      </x:c>
      <x:c r="C99" t="str">
        <x:v>C/PF</x:v>
      </x:c>
      <x:c r="D99" t="n">
        <x:v>1088</x:v>
      </x:c>
      <x:c r="E99" t="n">
        <x:v>499</x:v>
      </x:c>
      <x:c r="F99" t="n">
        <x:v>183</x:v>
      </x:c>
      <x:c r="G99" t="n">
        <x:v>129</x:v>
      </x:c>
      <x:c r="H99" t="n">
        <x:v>52</x:v>
      </x:c>
      <x:c r="I99" s="26" t="n">
        <x:v>0.458</x:v>
      </x:c>
      <x:c r="J99" s="26" t="n">
        <x:v>0.685</x:v>
      </x:c>
      <x:c r="K99" t="n">
        <x:v>82</x:v>
      </x:c>
      <x:c r="L99" t="n">
        <x:v>72</x:v>
      </x:c>
      <x:c r="M99" t="n">
        <x:v>2019</x:v>
      </x:c>
      <x:c r="N99" t="n">
        <x:v>124</x:v>
      </x:c>
      <x:c r="O99" s="24" t="n">
        <x:v>0.12883435582822086</x:v>
      </x:c>
      <x:c r="P99" s="24" t="n">
        <x:v>0.08088235294117647</x:v>
      </x:c>
      <x:c r="Q99" s="22" t="n">
        <x:v>140.1717791411043</x:v>
      </x:c>
      <x:c r="R99" s="22" t="n">
        <x:v>204.630334512561</x:v>
      </x:c>
      <x:c r="S99" s="22" t="n">
        <x:v>432.9141104294479</x:v>
      </x:c>
      <x:c r="T99" s="22" t="n">
        <x:v>945.2273153481394</x:v>
      </x:c>
      <x:c r="U99" s="22" t="n">
        <x:v>163.3014705882353</x:v>
      </x:c>
      <x:c r="V99" s="22" t="n">
        <x:v>2315.9170704568746</x:v>
      </x:c>
      <x:c r="W99" s="22" t="n">
        <x:v>32.165514867456594</x:v>
      </x:c>
      <x:c r="X99" t="str">
        <x:v>https://www.fantasypros.com/nba/projections/overall.php</x:v>
      </x:c>
    </x:row>
    <x:row r="100" ht="22" customHeight="1">
      <x:c r="A100" t="str">
        <x:v>Dylan Harper</x:v>
      </x:c>
      <x:c r="B100" t="str">
        <x:v>SAS</x:v>
      </x:c>
      <x:c r="C100" t="str">
        <x:v>PG/SG</x:v>
      </x:c>
      <x:c r="D100" t="n">
        <x:v>1131</x:v>
      </x:c>
      <x:c r="E100" t="n">
        <x:v>332</x:v>
      </x:c>
      <x:c r="F100" t="n">
        <x:v>352</x:v>
      </x:c>
      <x:c r="G100" t="n">
        <x:v>30</x:v>
      </x:c>
      <x:c r="H100" t="n">
        <x:v>73</x:v>
      </x:c>
      <x:c r="I100" s="26" t="n">
        <x:v>0.502</x:v>
      </x:c>
      <x:c r="J100" s="26" t="n">
        <x:v>0.787</x:v>
      </x:c>
      <x:c r="K100" t="n">
        <x:v>88</x:v>
      </x:c>
      <x:c r="L100" t="n">
        <x:v>75</x:v>
      </x:c>
      <x:c r="M100" t="n">
        <x:v>2168</x:v>
      </x:c>
      <x:c r="N100" t="n">
        <x:v>137</x:v>
      </x:c>
      <x:c r="O100" s="24" t="n">
        <x:v>0.11016949152542373</x:v>
      </x:c>
      <x:c r="P100" s="24" t="n">
        <x:v>0.035398230088495575</x:v>
      </x:c>
      <x:c r="Q100" s="22" t="n">
        <x:v>124.60169491525423</x:v>
      </x:c>
      <x:c r="R100" s="22" t="n">
        <x:v>158.3248982404755</x:v>
      </x:c>
      <x:c r="S100" s="22" t="n">
        <x:v>459.1991525423729</x:v>
      </x:c>
      <x:c r="T100" s="22" t="n">
        <x:v>914.7393476939699</x:v>
      </x:c>
      <x:c r="U100" s="22" t="n">
        <x:v>76.7433628318584</x:v>
      </x:c>
      <x:c r="V100" s="22" t="n">
        <x:v>2244.024174644526</x:v>
      </x:c>
      <x:c r="W100" s="22" t="n">
        <x:v>29.920322328593677</x:v>
      </x:c>
      <x:c r="X100" t="str">
        <x:v>https://www.fantasypros.com/nba/projections/overall.php</x:v>
      </x:c>
    </x:row>
    <x:row r="101" ht="22" customHeight="1">
      <x:c r="A101" t="str">
        <x:v>Aaron Gordon</x:v>
      </x:c>
      <x:c r="B101" t="str">
        <x:v>DEN</x:v>
      </x:c>
      <x:c r="C101" t="str">
        <x:v>PF/C</x:v>
      </x:c>
      <x:c r="D101" t="n">
        <x:v>1081</x:v>
      </x:c>
      <x:c r="E101" t="n">
        <x:v>384</x:v>
      </x:c>
      <x:c r="F101" t="n">
        <x:v>209</x:v>
      </x:c>
      <x:c r="G101" t="n">
        <x:v>23</x:v>
      </x:c>
      <x:c r="H101" t="n">
        <x:v>33</x:v>
      </x:c>
      <x:c r="I101" s="26" t="n">
        <x:v>0.515</x:v>
      </x:c>
      <x:c r="J101" s="26" t="n">
        <x:v>0.79</x:v>
      </x:c>
      <x:c r="K101" t="n">
        <x:v>107</x:v>
      </x:c>
      <x:c r="L101" t="n">
        <x:v>72</x:v>
      </x:c>
      <x:c r="M101" t="n">
        <x:v>2119</x:v>
      </x:c>
      <x:c r="N101" t="n">
        <x:v>90</x:v>
      </x:c>
      <x:c r="O101" s="24" t="n">
        <x:v>0.2160493827160494</x:v>
      </x:c>
      <x:c r="P101" s="24" t="n">
        <x:v>0.05017921146953405</x:v>
      </x:c>
      <x:c r="Q101" s="22" t="n">
        <x:v>233.5493827160494</x:v>
      </x:c>
      <x:c r="R101" s="22" t="n">
        <x:v>295.6321300203157</x:v>
      </x:c>
      <x:c r="S101" s="22" t="n">
        <x:v>370.2253086419753</x:v>
      </x:c>
      <x:c r="T101" s="22" t="n">
        <x:v>718.8840944504375</x:v>
      </x:c>
      <x:c r="U101" s="22" t="n">
        <x:v>106.32974910394266</x:v>
      </x:c>
      <x:c r="V101" s="22" t="n">
        <x:v>2211.6926564531814</x:v>
      </x:c>
      <x:c r="W101" s="22" t="n">
        <x:v>30.71795356184974</x:v>
      </x:c>
      <x:c r="X101" t="str">
        <x:v>https://www.fantasypros.com/nba/projections/overall.php</x:v>
      </x:c>
    </x:row>
    <x:row r="102" ht="22" customHeight="1">
      <x:c r="A102" t="str">
        <x:v>Naz Reid</x:v>
      </x:c>
      <x:c r="B102" t="str">
        <x:v>CHA</x:v>
      </x:c>
      <x:c r="C102" t="str">
        <x:v>PF/C</x:v>
      </x:c>
      <x:c r="D102" t="n">
        <x:v>1144</x:v>
      </x:c>
      <x:c r="E102" t="n">
        <x:v>501</x:v>
      </x:c>
      <x:c r="F102" t="n">
        <x:v>179</x:v>
      </x:c>
      <x:c r="G102" t="n">
        <x:v>74</x:v>
      </x:c>
      <x:c r="H102" t="n">
        <x:v>68</x:v>
      </x:c>
      <x:c r="I102" s="26" t="n">
        <x:v>0.454</x:v>
      </x:c>
      <x:c r="J102" s="26" t="n">
        <x:v>0.745</x:v>
      </x:c>
      <x:c r="K102" t="n">
        <x:v>193</x:v>
      </x:c>
      <x:c r="L102" t="n">
        <x:v>77</x:v>
      </x:c>
      <x:c r="M102" t="n">
        <x:v>2243</x:v>
      </x:c>
      <x:c r="N102" t="n">
        <x:v>129</x:v>
      </x:c>
      <x:c r="O102" s="24" t="n">
        <x:v>0.08823529411764706</x:v>
      </x:c>
      <x:c r="P102" s="24" t="n">
        <x:v>0.045977011494252866</x:v>
      </x:c>
      <x:c r="Q102" s="22" t="n">
        <x:v>100.94117647058825</x:v>
      </x:c>
      <x:c r="R102" s="22" t="n">
        <x:v>135.49151204105806</x:v>
      </x:c>
      <x:c r="S102" s="22" t="n">
        <x:v>425.02941176470586</x:v>
      </x:c>
      <x:c r="T102" s="22" t="n">
        <x:v>936.1881316403212</x:v>
      </x:c>
      <x:c r="U102" s="22" t="n">
        <x:v>103.12643678160917</x:v>
      </x:c>
      <x:c r="V102" s="22" t="n">
        <x:v>2282.0144063524276</x:v>
      </x:c>
      <x:c r="W102" s="22" t="n">
        <x:v>29.63655073184971</x:v>
      </x:c>
      <x:c r="X102" t="str">
        <x:v>https://www.fantasypros.com/nba/projections/overall.php</x:v>
      </x:c>
    </x:row>
    <x:row r="103" ht="22" customHeight="1">
      <x:c r="A103" t="str">
        <x:v>Jonathan Kuminga</x:v>
      </x:c>
      <x:c r="B103" t="str">
        <x:v>MIN</x:v>
      </x:c>
      <x:c r="C103" t="str">
        <x:v>PF/SF</x:v>
      </x:c>
      <x:c r="D103" t="n">
        <x:v>1061</x:v>
      </x:c>
      <x:c r="E103" t="n">
        <x:v>392</x:v>
      </x:c>
      <x:c r="F103" t="n">
        <x:v>167</x:v>
      </x:c>
      <x:c r="G103" t="n">
        <x:v>30</x:v>
      </x:c>
      <x:c r="H103" t="n">
        <x:v>54</x:v>
      </x:c>
      <x:c r="I103" s="26" t="n">
        <x:v>0.474</x:v>
      </x:c>
      <x:c r="J103" s="26" t="n">
        <x:v>0.702</x:v>
      </x:c>
      <x:c r="K103" t="n">
        <x:v>72</x:v>
      </x:c>
      <x:c r="L103" t="n">
        <x:v>72</x:v>
      </x:c>
      <x:c r="M103" t="n">
        <x:v>1853</x:v>
      </x:c>
      <x:c r="N103" t="n">
        <x:v>133</x:v>
      </x:c>
      <x:c r="O103" s="24" t="n">
        <x:v>0.18</x:v>
      </x:c>
      <x:c r="P103" s="24" t="n">
        <x:v>0.05</x:v>
      </x:c>
      <x:c r="Q103" s="22" t="n">
        <x:v>190.98</x:v>
      </x:c>
      <x:c r="R103" s="22" t="n">
        <x:v>272.05128205128204</x:v>
      </x:c>
      <x:c r="S103" s="22" t="n">
        <x:v>399.01</x:v>
      </x:c>
      <x:c r="T103" s="22" t="n">
        <x:v>841.7932489451478</x:v>
      </x:c>
      <x:c r="U103" s="22" t="n">
        <x:v>92.65</x:v>
      </x:c>
      <x:c r="V103" s="22" t="n">
        <x:v>1913.9354690035702</x:v>
      </x:c>
      <x:c r="W103" s="22" t="n">
        <x:v>26.58243706949403</x:v>
      </x:c>
      <x:c r="X103" t="str">
        <x:v>https://www.fantasypros.com/nba/projections/overall.php</x:v>
      </x:c>
    </x:row>
    <x:row r="104" ht="22" customHeight="1">
      <x:c r="A104" t="str">
        <x:v>De'Andre Hunter</x:v>
      </x:c>
      <x:c r="B104" t="str">
        <x:v>SAC</x:v>
      </x:c>
      <x:c r="C104" t="str">
        <x:v>SF/PF</x:v>
      </x:c>
      <x:c r="D104" t="n">
        <x:v>1049</x:v>
      </x:c>
      <x:c r="E104" t="n">
        <x:v>270</x:v>
      </x:c>
      <x:c r="F104" t="n">
        <x:v>114</x:v>
      </x:c>
      <x:c r="G104" t="n">
        <x:v>14</x:v>
      </x:c>
      <x:c r="H104" t="n">
        <x:v>48</x:v>
      </x:c>
      <x:c r="I104" s="26" t="n">
        <x:v>0.455</x:v>
      </x:c>
      <x:c r="J104" s="26" t="n">
        <x:v>0.852</x:v>
      </x:c>
      <x:c r="K104" t="n">
        <x:v>133</x:v>
      </x:c>
      <x:c r="L104" t="n">
        <x:v>72</x:v>
      </x:c>
      <x:c r="M104" t="n">
        <x:v>1936</x:v>
      </x:c>
      <x:c r="N104" t="n">
        <x:v>104</x:v>
      </x:c>
      <x:c r="O104" s="24" t="n">
        <x:v>0.18</x:v>
      </x:c>
      <x:c r="P104" s="24" t="n">
        <x:v>0.05</x:v>
      </x:c>
      <x:c r="Q104" s="22" t="n">
        <x:v>188.82</x:v>
      </x:c>
      <x:c r="R104" s="22" t="n">
        <x:v>221.61971830985914</x:v>
      </x:c>
      <x:c r="S104" s="22" t="n">
        <x:v>363.59000000000003</x:v>
      </x:c>
      <x:c r="T104" s="22" t="n">
        <x:v>799.0989010989011</x:v>
      </x:c>
      <x:c r="U104" s="22" t="n">
        <x:v>96.80000000000001</x:v>
      </x:c>
      <x:c r="V104" s="22" t="n">
        <x:v>1809.7013805912397</x:v>
      </x:c>
      <x:c r="W104" s="22" t="n">
        <x:v>25.13474139710055</x:v>
      </x:c>
      <x:c r="X104" t="str">
        <x:v>https://www.fantasypros.com/nba/projections/overall.php</x:v>
      </x:c>
    </x:row>
    <x:row r="105" ht="22" customHeight="1">
      <x:c r="A105" t="str">
        <x:v>Jerami Grant</x:v>
      </x:c>
      <x:c r="B105" t="str">
        <x:v>MEM</x:v>
      </x:c>
      <x:c r="C105" t="str">
        <x:v>SF/PF</x:v>
      </x:c>
      <x:c r="D105" t="n">
        <x:v>1060</x:v>
      </x:c>
      <x:c r="E105" t="n">
        <x:v>203</x:v>
      </x:c>
      <x:c r="F105" t="n">
        <x:v>135</x:v>
      </x:c>
      <x:c r="G105" t="n">
        <x:v>41</x:v>
      </x:c>
      <x:c r="H105" t="n">
        <x:v>48</x:v>
      </x:c>
      <x:c r="I105" s="26" t="n">
        <x:v>0.442</x:v>
      </x:c>
      <x:c r="J105" s="26" t="n">
        <x:v>0.824</x:v>
      </x:c>
      <x:c r="K105" t="n">
        <x:v>145</x:v>
      </x:c>
      <x:c r="L105" t="n">
        <x:v>73</x:v>
      </x:c>
      <x:c r="M105" t="n">
        <x:v>1929</x:v>
      </x:c>
      <x:c r="N105" t="n">
        <x:v>108</x:v>
      </x:c>
      <x:c r="O105" s="24" t="n">
        <x:v>0.24731182795698922</x:v>
      </x:c>
      <x:c r="P105" s="24" t="n">
        <x:v>0.03367003367003367</x:v>
      </x:c>
      <x:c r="Q105" s="22" t="n">
        <x:v>262.1505376344086</x:v>
      </x:c>
      <x:c r="R105" s="22" t="n">
        <x:v>318.14385635243764</x:v>
      </x:c>
      <x:c r="S105" s="22" t="n">
        <x:v>326.4247311827957</x:v>
      </x:c>
      <x:c r="T105" s="22" t="n">
        <x:v>738.5174913637912</x:v>
      </x:c>
      <x:c r="U105" s="22" t="n">
        <x:v>64.94949494949495</x:v>
      </x:c>
      <x:c r="V105" s="22" t="n">
        <x:v>1802.3881798171697</x:v>
      </x:c>
      <x:c r="W105" s="22" t="n">
        <x:v>24.690249038591364</x:v>
      </x:c>
      <x:c r="X105" t="str">
        <x:v>https://www.fantasypros.com/nba/projections/overall.php</x:v>
      </x:c>
    </x:row>
    <x:row r="106" ht="22" customHeight="1">
      <x:c r="A106" t="str">
        <x:v>Keaton Wagler</x:v>
      </x:c>
      <x:c r="B106" t="str">
        <x:v>LAC</x:v>
      </x:c>
      <x:c r="C106" t="str">
        <x:v>PG/SG</x:v>
      </x:c>
      <x:c r="D106" t="n">
        <x:v>1060</x:v>
      </x:c>
      <x:c r="E106" t="n">
        <x:v>226</x:v>
      </x:c>
      <x:c r="F106" t="n">
        <x:v>314</x:v>
      </x:c>
      <x:c r="G106" t="n">
        <x:v>14</x:v>
      </x:c>
      <x:c r="H106" t="n">
        <x:v>87</x:v>
      </x:c>
      <x:c r="I106" s="26" t="n">
        <x:v>0.464</x:v>
      </x:c>
      <x:c r="J106" s="26" t="n">
        <x:v>0.817</x:v>
      </x:c>
      <x:c r="K106" t="n">
        <x:v>115</x:v>
      </x:c>
      <x:c r="L106" t="n">
        <x:v>74</x:v>
      </x:c>
      <x:c r="M106" t="n">
        <x:v>2016</x:v>
      </x:c>
      <x:c r="N106" t="n">
        <x:v>166</x:v>
      </x:c>
      <x:c r="O106" s="24" t="n">
        <x:v>0.19</x:v>
      </x:c>
      <x:c r="P106" s="24" t="n">
        <x:v>0.02</x:v>
      </x:c>
      <x:c r="Q106" s="22" t="n">
        <x:v>201.4</x:v>
      </x:c>
      <x:c r="R106" s="22" t="n">
        <x:v>246.51162790697677</x:v>
      </x:c>
      <x:c r="S106" s="22" t="n">
        <x:v>371.8</x:v>
      </x:c>
      <x:c r="T106" s="22" t="n">
        <x:v>801.2931034482758</x:v>
      </x:c>
      <x:c r="U106" s="22" t="n">
        <x:v>40.32</x:v>
      </x:c>
      <x:c r="V106" s="22" t="n">
        <x:v>1914.2352686447475</x:v>
      </x:c>
      <x:c r="W106" s="22" t="n">
        <x:v>25.868044170874967</x:v>
      </x:c>
      <x:c r="X106" t="str">
        <x:v>https://www.fantasypros.com/nba/projections/overall.php</x:v>
      </x:c>
    </x:row>
    <x:row r="107" ht="22" customHeight="1">
      <x:c r="A107" t="str">
        <x:v>Ayo Dosunmu</x:v>
      </x:c>
      <x:c r="B107" t="str">
        <x:v>MIN</x:v>
      </x:c>
      <x:c r="C107" t="str">
        <x:v>PG/SF/SG</x:v>
      </x:c>
      <x:c r="D107" t="n">
        <x:v>1072</x:v>
      </x:c>
      <x:c r="E107" t="n">
        <x:v>264</x:v>
      </x:c>
      <x:c r="F107" t="n">
        <x:v>287</x:v>
      </x:c>
      <x:c r="G107" t="n">
        <x:v>24</x:v>
      </x:c>
      <x:c r="H107" t="n">
        <x:v>75</x:v>
      </x:c>
      <x:c r="I107" s="26" t="n">
        <x:v>0.512</x:v>
      </x:c>
      <x:c r="J107" s="26" t="n">
        <x:v>0.858</x:v>
      </x:c>
      <x:c r="K107" t="n">
        <x:v>124</x:v>
      </x:c>
      <x:c r="L107" t="n">
        <x:v>75</x:v>
      </x:c>
      <x:c r="M107" t="n">
        <x:v>2177</x:v>
      </x:c>
      <x:c r="N107" t="n">
        <x:v>106</x:v>
      </x:c>
      <x:c r="O107" s="24" t="n">
        <x:v>0.18</x:v>
      </x:c>
      <x:c r="P107" s="24" t="n">
        <x:v>0.035</x:v>
      </x:c>
      <x:c r="Q107" s="22" t="n">
        <x:v>192.95999999999998</x:v>
      </x:c>
      <x:c r="R107" s="22" t="n">
        <x:v>224.89510489510488</x:v>
      </x:c>
      <x:c r="S107" s="22" t="n">
        <x:v>377.52</x:v>
      </x:c>
      <x:c r="T107" s="22" t="n">
        <x:v>737.34375</x:v>
      </x:c>
      <x:c r="U107" s="22" t="n">
        <x:v>76.19500000000001</x:v>
      </x:c>
      <x:c r="V107" s="22" t="n">
        <x:v>2195.6111451048955</x:v>
      </x:c>
      <x:c r="W107" s="22" t="n">
        <x:v>29.274815268065275</x:v>
      </x:c>
      <x:c r="X107" t="str">
        <x:v>https://www.fantasypros.com/nba/projections/overall.php</x:v>
      </x:c>
    </x:row>
    <x:row r="108" ht="22" customHeight="1">
      <x:c r="A108" t="str">
        <x:v>Onyeka Okongwu</x:v>
      </x:c>
      <x:c r="B108" t="str">
        <x:v>ATL</x:v>
      </x:c>
      <x:c r="C108" t="str">
        <x:v>C</x:v>
      </x:c>
      <x:c r="D108" t="n">
        <x:v>1060</x:v>
      </x:c>
      <x:c r="E108" t="n">
        <x:v>564</x:v>
      </x:c>
      <x:c r="F108" t="n">
        <x:v>207</x:v>
      </x:c>
      <x:c r="G108" t="n">
        <x:v>72</x:v>
      </x:c>
      <x:c r="H108" t="n">
        <x:v>75</x:v>
      </x:c>
      <x:c r="I108" s="26" t="n">
        <x:v>0.506</x:v>
      </x:c>
      <x:c r="J108" s="26" t="n">
        <x:v>0.759</x:v>
      </x:c>
      <x:c r="K108" t="n">
        <x:v>113</x:v>
      </x:c>
      <x:c r="L108" t="n">
        <x:v>75</x:v>
      </x:c>
      <x:c r="M108" t="n">
        <x:v>2263</x:v>
      </x:c>
      <x:c r="N108" t="n">
        <x:v>109</x:v>
      </x:c>
      <x:c r="O108" s="24" t="n">
        <x:v>0.13815789473684212</x:v>
      </x:c>
      <x:c r="P108" s="24" t="n">
        <x:v>0.06129032258064516</x:v>
      </x:c>
      <x:c r="Q108" s="22" t="n">
        <x:v>146.44736842105266</x:v>
      </x:c>
      <x:c r="R108" s="22" t="n">
        <x:v>192.94778448096528</x:v>
      </x:c>
      <x:c r="S108" s="22" t="n">
        <x:v>400.27631578947364</x:v>
      </x:c>
      <x:c r="T108" s="22" t="n">
        <x:v>791.0599126274183</x:v>
      </x:c>
      <x:c r="U108" s="22" t="n">
        <x:v>138.7</x:v>
      </x:c>
      <x:c r="V108" s="22" t="n">
        <x:v>2474.3396713126695</x:v>
      </x:c>
      <x:c r="W108" s="22" t="n">
        <x:v>32.99119561750226</x:v>
      </x:c>
      <x:c r="X108" t="str">
        <x:v>https://www.fantasypros.com/nba/projections/overall.php</x:v>
      </x:c>
    </x:row>
    <x:row r="109" ht="22" customHeight="1">
      <x:c r="A109" t="str">
        <x:v>Tobias Harris</x:v>
      </x:c>
      <x:c r="B109" t="str">
        <x:v>SAS</x:v>
      </x:c>
      <x:c r="C109" t="str">
        <x:v>PF/SF</x:v>
      </x:c>
      <x:c r="D109" t="n">
        <x:v>1047</x:v>
      </x:c>
      <x:c r="E109" t="n">
        <x:v>426</x:v>
      </x:c>
      <x:c r="F109" t="n">
        <x:v>181</x:v>
      </x:c>
      <x:c r="G109" t="n">
        <x:v>44</x:v>
      </x:c>
      <x:c r="H109" t="n">
        <x:v>69</x:v>
      </x:c>
      <x:c r="I109" s="26" t="n">
        <x:v>0.474</x:v>
      </x:c>
      <x:c r="J109" s="26" t="n">
        <x:v>0.865</x:v>
      </x:c>
      <x:c r="K109" t="n">
        <x:v>100</x:v>
      </x:c>
      <x:c r="L109" t="n">
        <x:v>75</x:v>
      </x:c>
      <x:c r="M109" t="n">
        <x:v>2282</x:v>
      </x:c>
      <x:c r="N109" t="n">
        <x:v>75</x:v>
      </x:c>
      <x:c r="O109" s="24" t="n">
        <x:v>0.18</x:v>
      </x:c>
      <x:c r="P109" s="24" t="n">
        <x:v>0.05</x:v>
      </x:c>
      <x:c r="Q109" s="22" t="n">
        <x:v>188.45999999999998</x:v>
      </x:c>
      <x:c r="R109" s="22" t="n">
        <x:v>217.8728323699422</x:v>
      </x:c>
      <x:c r="S109" s="22" t="n">
        <x:v>379.27</x:v>
      </x:c>
      <x:c r="T109" s="22" t="n">
        <x:v>800.1476793248945</x:v>
      </x:c>
      <x:c r="U109" s="22" t="n">
        <x:v>114.10000000000001</x:v>
      </x:c>
      <x:c r="V109" s="22" t="n">
        <x:v>2244.1394883051635</x:v>
      </x:c>
      <x:c r="W109" s="22" t="n">
        <x:v>29.921859844068845</x:v>
      </x:c>
      <x:c r="X109" t="str">
        <x:v>https://www.fantasypros.com/nba/projections/overall.php</x:v>
      </x:c>
    </x:row>
    <x:row r="110" ht="22" customHeight="1">
      <x:c r="A110" t="str">
        <x:v>Cedric Coward</x:v>
      </x:c>
      <x:c r="B110" t="str">
        <x:v>MEM</x:v>
      </x:c>
      <x:c r="C110" t="str">
        <x:v>SF/SG</x:v>
      </x:c>
      <x:c r="D110" t="n">
        <x:v>1031</x:v>
      </x:c>
      <x:c r="E110" t="n">
        <x:v>428</x:v>
      </x:c>
      <x:c r="F110" t="n">
        <x:v>204</x:v>
      </x:c>
      <x:c r="G110" t="n">
        <x:v>33</x:v>
      </x:c>
      <x:c r="H110" t="n">
        <x:v>49</x:v>
      </x:c>
      <x:c r="I110" s="26" t="n">
        <x:v>0.481</x:v>
      </x:c>
      <x:c r="J110" s="26" t="n">
        <x:v>0.854</x:v>
      </x:c>
      <x:c r="K110" t="n">
        <x:v>116</x:v>
      </x:c>
      <x:c r="L110" t="n">
        <x:v>74</x:v>
      </x:c>
      <x:c r="M110" t="n">
        <x:v>2018</x:v>
      </x:c>
      <x:c r="N110" t="n">
        <x:v>127</x:v>
      </x:c>
      <x:c r="O110" s="24" t="n">
        <x:v>0.1691176470588235</x:v>
      </x:c>
      <x:c r="P110" s="24" t="n">
        <x:v>0.050387596899224806</x:v>
      </x:c>
      <x:c r="Q110" s="22" t="n">
        <x:v>174.36029411764704</x:v>
      </x:c>
      <x:c r="R110" s="22" t="n">
        <x:v>204.168962667034</x:v>
      </x:c>
      <x:c r="S110" s="22" t="n">
        <x:v>370.31985294117646</x:v>
      </x:c>
      <x:c r="T110" s="22" t="n">
        <x:v>769.89574416045</x:v>
      </x:c>
      <x:c r="U110" s="22" t="n">
        <x:v>101.68217054263566</x:v>
      </x:c>
      <x:c r="V110" s="22" t="n">
        <x:v>2093.159928375434</x:v>
      </x:c>
      <x:c r="W110" s="22" t="n">
        <x:v>28.285944978046405</x:v>
      </x:c>
      <x:c r="X110" t="str">
        <x:v>https://www.fantasypros.com/nba/projections/overall.php</x:v>
      </x:c>
    </x:row>
    <x:row r="111" ht="22" customHeight="1">
      <x:c r="A111" t="str">
        <x:v>Brandin Podziemski</x:v>
      </x:c>
      <x:c r="B111" t="str">
        <x:v>GSW</x:v>
      </x:c>
      <x:c r="C111" t="str">
        <x:v>PG/SG</x:v>
      </x:c>
      <x:c r="D111" t="n">
        <x:v>1105</x:v>
      </x:c>
      <x:c r="E111" t="n">
        <x:v>423</x:v>
      </x:c>
      <x:c r="F111" t="n">
        <x:v>299</x:v>
      </x:c>
      <x:c r="G111" t="n">
        <x:v>16</x:v>
      </x:c>
      <x:c r="H111" t="n">
        <x:v>95</x:v>
      </x:c>
      <x:c r="I111" s="26" t="n">
        <x:v>0.447</x:v>
      </x:c>
      <x:c r="J111" s="26" t="n">
        <x:v>0.786</x:v>
      </x:c>
      <x:c r="K111" t="n">
        <x:v>160</x:v>
      </x:c>
      <x:c r="L111" t="n">
        <x:v>79</x:v>
      </x:c>
      <x:c r="M111" t="n">
        <x:v>2346</x:v>
      </x:c>
      <x:c r="N111" t="n">
        <x:v>128</x:v>
      </x:c>
      <x:c r="O111" s="24" t="n">
        <x:v>0.19</x:v>
      </x:c>
      <x:c r="P111" s="24" t="n">
        <x:v>0.02</x:v>
      </x:c>
      <x:c r="Q111" s="22" t="n">
        <x:v>209.95</x:v>
      </x:c>
      <x:c r="R111" s="22" t="n">
        <x:v>267.11195928753176</x:v>
      </x:c>
      <x:c r="S111" s="22" t="n">
        <x:v>367.525</x:v>
      </x:c>
      <x:c r="T111" s="22" t="n">
        <x:v>822.2035794183445</x:v>
      </x:c>
      <x:c r="U111" s="22" t="n">
        <x:v>46.92</x:v>
      </x:c>
      <x:c r="V111" s="22" t="n">
        <x:v>2253.974461294124</x:v>
      </x:c>
      <x:c r="W111" s="22" t="n">
        <x:v>28.531322294862328</x:v>
      </x:c>
      <x:c r="X111" t="str">
        <x:v>https://www.fantasypros.com/nba/projections/overall.php</x:v>
      </x:c>
    </x:row>
    <x:row r="112" ht="22" customHeight="1">
      <x:c r="A112" t="str">
        <x:v>Quentin Grimes</x:v>
      </x:c>
      <x:c r="B112" t="str">
        <x:v>LAL</x:v>
      </x:c>
      <x:c r="C112" t="str">
        <x:v>SG/SF</x:v>
      </x:c>
      <x:c r="D112" t="n">
        <x:v>1059</x:v>
      </x:c>
      <x:c r="E112" t="n">
        <x:v>300</x:v>
      </x:c>
      <x:c r="F112" t="n">
        <x:v>241</x:v>
      </x:c>
      <x:c r="G112" t="n">
        <x:v>25</x:v>
      </x:c>
      <x:c r="H112" t="n">
        <x:v>67</x:v>
      </x:c>
      <x:c r="I112" s="26" t="n">
        <x:v>0.462</x:v>
      </x:c>
      <x:c r="J112" s="26" t="n">
        <x:v>0.802</x:v>
      </x:c>
      <x:c r="K112" t="n">
        <x:v>147</x:v>
      </x:c>
      <x:c r="L112" t="n">
        <x:v>76</x:v>
      </x:c>
      <x:c r="M112" t="n">
        <x:v>2219</x:v>
      </x:c>
      <x:c r="N112" t="n">
        <x:v>143</x:v>
      </x:c>
      <x:c r="O112" s="24" t="n">
        <x:v>0.18</x:v>
      </x:c>
      <x:c r="P112" s="24" t="n">
        <x:v>0.035</x:v>
      </x:c>
      <x:c r="Q112" s="22" t="n">
        <x:v>190.62</x:v>
      </x:c>
      <x:c r="R112" s="22" t="n">
        <x:v>237.68079800498754</x:v>
      </x:c>
      <x:c r="S112" s="22" t="n">
        <x:v>360.69</x:v>
      </x:c>
      <x:c r="T112" s="22" t="n">
        <x:v>780.7142857142857</x:v>
      </x:c>
      <x:c r="U112" s="22" t="n">
        <x:v>77.665</x:v>
      </x:c>
      <x:c r="V112" s="22" t="n">
        <x:v>1992.5549162807265</x:v>
      </x:c>
      <x:c r="W112" s="22" t="n">
        <x:v>26.217827845799032</x:v>
      </x:c>
      <x:c r="X112" t="str">
        <x:v>https://www.fantasypros.com/nba/projections/overall.php</x:v>
      </x:c>
    </x:row>
    <x:row r="113" ht="22" customHeight="1">
      <x:c r="A113" t="str">
        <x:v>Cameron Johnson</x:v>
      </x:c>
      <x:c r="B113" t="str">
        <x:v>DEN</x:v>
      </x:c>
      <x:c r="C113" t="str">
        <x:v>PF/SF</x:v>
      </x:c>
      <x:c r="D113" t="n">
        <x:v>1017</x:v>
      </x:c>
      <x:c r="E113" t="n">
        <x:v>291</x:v>
      </x:c>
      <x:c r="F113" t="n">
        <x:v>193</x:v>
      </x:c>
      <x:c r="G113" t="n">
        <x:v>33</x:v>
      </x:c>
      <x:c r="H113" t="n">
        <x:v>55</x:v>
      </x:c>
      <x:c r="I113" s="26" t="n">
        <x:v>0.486</x:v>
      </x:c>
      <x:c r="J113" s="26" t="n">
        <x:v>0.86</x:v>
      </x:c>
      <x:c r="K113" t="n">
        <x:v>152</x:v>
      </x:c>
      <x:c r="L113" t="n">
        <x:v>73</x:v>
      </x:c>
      <x:c r="M113" t="n">
        <x:v>2205</x:v>
      </x:c>
      <x:c r="N113" t="n">
        <x:v>80</x:v>
      </x:c>
      <x:c r="O113" s="24" t="n">
        <x:v>0.18</x:v>
      </x:c>
      <x:c r="P113" s="24" t="n">
        <x:v>0.05</x:v>
      </x:c>
      <x:c r="Q113" s="22" t="n">
        <x:v>183.06</x:v>
      </x:c>
      <x:c r="R113" s="22" t="n">
        <x:v>212.86046511627907</x:v>
      </x:c>
      <x:c r="S113" s="22" t="n">
        <x:v>340.97</x:v>
      </x:c>
      <x:c r="T113" s="22" t="n">
        <x:v>701.5843621399177</x:v>
      </x:c>
      <x:c r="U113" s="22" t="n">
        <x:v>110.25</x:v>
      </x:c>
      <x:c r="V113" s="22" t="n">
        <x:v>2103.115172743803</x:v>
      </x:c>
      <x:c r="W113" s="22" t="n">
        <x:v>28.809796886901413</x:v>
      </x:c>
      <x:c r="X113" t="str">
        <x:v>https://www.fantasypros.com/nba/projections/overall.php</x:v>
      </x:c>
    </x:row>
    <x:row r="114" ht="22" customHeight="1">
      <x:c r="A114" t="str">
        <x:v>Bennedict Mathurin</x:v>
      </x:c>
      <x:c r="B114" t="str">
        <x:v>NOP</x:v>
      </x:c>
      <x:c r="C114" t="str">
        <x:v>SG/SF</x:v>
      </x:c>
      <x:c r="D114" t="n">
        <x:v>1017</x:v>
      </x:c>
      <x:c r="E114" t="n">
        <x:v>321</x:v>
      </x:c>
      <x:c r="F114" t="n">
        <x:v>120</x:v>
      </x:c>
      <x:c r="G114" t="n">
        <x:v>18</x:v>
      </x:c>
      <x:c r="H114" t="n">
        <x:v>43</x:v>
      </x:c>
      <x:c r="I114" s="26" t="n">
        <x:v>0.442</x:v>
      </x:c>
      <x:c r="J114" s="26" t="n">
        <x:v>0.85</x:v>
      </x:c>
      <x:c r="K114" t="n">
        <x:v>80</x:v>
      </x:c>
      <x:c r="L114" t="n">
        <x:v>73</x:v>
      </x:c>
      <x:c r="M114" t="n">
        <x:v>1838</x:v>
      </x:c>
      <x:c r="N114" t="n">
        <x:v>125</x:v>
      </x:c>
      <x:c r="O114" s="24" t="n">
        <x:v>0.3068181818181818</x:v>
      </x:c>
      <x:c r="P114" s="24" t="n">
        <x:v>0.03333333333333333</x:v>
      </x:c>
      <x:c r="Q114" s="22" t="n">
        <x:v>312.03409090909093</x:v>
      </x:c>
      <x:c r="R114" s="22" t="n">
        <x:v>367.09893048128345</x:v>
      </x:c>
      <x:c r="S114" s="22" t="n">
        <x:v>312.4829545454545</x:v>
      </x:c>
      <x:c r="T114" s="22" t="n">
        <x:v>706.9750102838337</x:v>
      </x:c>
      <x:c r="U114" s="22" t="n">
        <x:v>61.266666666666666</x:v>
      </x:c>
      <x:c r="V114" s="22" t="n">
        <x:v>1758.4934834773069</x:v>
      </x:c>
      <x:c r="W114" s="22" t="n">
        <x:v>24.08895182845626</x:v>
      </x:c>
      <x:c r="X114" t="str">
        <x:v>https://www.fantasypros.com/nba/projections/overall.php</x:v>
      </x:c>
    </x:row>
    <x:row r="115" ht="22" customHeight="1">
      <x:c r="A115" t="str">
        <x:v>Jabari Smith Jr.</x:v>
      </x:c>
      <x:c r="B115" t="str">
        <x:v>HOU</x:v>
      </x:c>
      <x:c r="C115" t="str">
        <x:v>C/PF</x:v>
      </x:c>
      <x:c r="D115" t="n">
        <x:v>1051</x:v>
      </x:c>
      <x:c r="E115" t="n">
        <x:v>507</x:v>
      </x:c>
      <x:c r="F115" t="n">
        <x:v>115</x:v>
      </x:c>
      <x:c r="G115" t="n">
        <x:v>61</x:v>
      </x:c>
      <x:c r="H115" t="n">
        <x:v>44</x:v>
      </x:c>
      <x:c r="I115" s="26" t="n">
        <x:v>0.45</x:v>
      </x:c>
      <x:c r="J115" s="26" t="n">
        <x:v>0.79</x:v>
      </x:c>
      <x:c r="K115" t="n">
        <x:v>155</x:v>
      </x:c>
      <x:c r="L115" t="n">
        <x:v>76</x:v>
      </x:c>
      <x:c r="M115" t="n">
        <x:v>2453</x:v>
      </x:c>
      <x:c r="N115" t="n">
        <x:v>93</x:v>
      </x:c>
      <x:c r="O115" s="24" t="n">
        <x:v>0.13291139240506328</x:v>
      </x:c>
      <x:c r="P115" s="24" t="n">
        <x:v>0.03988603988603988</x:v>
      </x:c>
      <x:c r="Q115" s="22" t="n">
        <x:v>139.68987341772151</x:v>
      </x:c>
      <x:c r="R115" s="22" t="n">
        <x:v>176.8226245793943</x:v>
      </x:c>
      <x:c r="S115" s="22" t="n">
        <x:v>378.15506329113924</x:v>
      </x:c>
      <x:c r="T115" s="22" t="n">
        <x:v>840.3445850914205</x:v>
      </x:c>
      <x:c r="U115" s="22" t="n">
        <x:v>97.84045584045582</x:v>
      </x:c>
      <x:c r="V115" s="22" t="n">
        <x:v>2093.2035754278186</x:v>
      </x:c>
      <x:c r="W115" s="22" t="n">
        <x:v>27.54215230826077</x:v>
      </x:c>
      <x:c r="X115" t="str">
        <x:v>https://www.fantasypros.com/nba/projections/overall.php</x:v>
      </x:c>
    </x:row>
    <x:row r="116" ht="22" customHeight="1">
      <x:c r="A116" t="str">
        <x:v>Jaden McDaniels</x:v>
      </x:c>
      <x:c r="B116" t="str">
        <x:v>MIN</x:v>
      </x:c>
      <x:c r="C116" t="str">
        <x:v>PF/SF</x:v>
      </x:c>
      <x:c r="D116" t="n">
        <x:v>1055</x:v>
      </x:c>
      <x:c r="E116" t="n">
        <x:v>361</x:v>
      </x:c>
      <x:c r="F116" t="n">
        <x:v>186</x:v>
      </x:c>
      <x:c r="G116" t="n">
        <x:v>73</x:v>
      </x:c>
      <x:c r="H116" t="n">
        <x:v>94</x:v>
      </x:c>
      <x:c r="I116" s="26" t="n">
        <x:v>0.499</x:v>
      </x:c>
      <x:c r="J116" s="26" t="n">
        <x:v>0.83</x:v>
      </x:c>
      <x:c r="K116" t="n">
        <x:v>100</x:v>
      </x:c>
      <x:c r="L116" t="n">
        <x:v>76</x:v>
      </x:c>
      <x:c r="M116" t="n">
        <x:v>2413</x:v>
      </x:c>
      <x:c r="N116" t="n">
        <x:v>118</x:v>
      </x:c>
      <x:c r="O116" s="24" t="n">
        <x:v>0.18</x:v>
      </x:c>
      <x:c r="P116" s="24" t="n">
        <x:v>0.05</x:v>
      </x:c>
      <x:c r="Q116" s="22" t="n">
        <x:v>189.9</x:v>
      </x:c>
      <x:c r="R116" s="22" t="n">
        <x:v>228.7951807228916</x:v>
      </x:c>
      <x:c r="S116" s="22" t="n">
        <x:v>382.55</x:v>
      </x:c>
      <x:c r="T116" s="22" t="n">
        <x:v>766.6332665330661</x:v>
      </x:c>
      <x:c r="U116" s="22" t="n">
        <x:v>120.65</x:v>
      </x:c>
      <x:c r="V116" s="22" t="n">
        <x:v>2247.2715527440423</x:v>
      </x:c>
      <x:c r="W116" s="22" t="n">
        <x:v>29.56936253610582</x:v>
      </x:c>
      <x:c r="X116" t="str">
        <x:v>https://www.fantasypros.com/nba/projections/overall.php</x:v>
      </x:c>
    </x:row>
    <x:row r="117" ht="22" customHeight="1">
      <x:c r="A117" t="str">
        <x:v>Saddiq Bey</x:v>
      </x:c>
      <x:c r="B117" t="str">
        <x:v>NOP</x:v>
      </x:c>
      <x:c r="C117" t="str">
        <x:v>SF/PF</x:v>
      </x:c>
      <x:c r="D117" t="n">
        <x:v>1010</x:v>
      </x:c>
      <x:c r="E117" t="n">
        <x:v>326</x:v>
      </x:c>
      <x:c r="F117" t="n">
        <x:v>141</x:v>
      </x:c>
      <x:c r="G117" t="n">
        <x:v>7</x:v>
      </x:c>
      <x:c r="H117" t="n">
        <x:v>53</x:v>
      </x:c>
      <x:c r="I117" s="26" t="n">
        <x:v>0.454</x:v>
      </x:c>
      <x:c r="J117" s="26" t="n">
        <x:v>0.84</x:v>
      </x:c>
      <x:c r="K117" t="n">
        <x:v>120</x:v>
      </x:c>
      <x:c r="L117" t="n">
        <x:v>75</x:v>
      </x:c>
      <x:c r="M117" t="n">
        <x:v>1884</x:v>
      </x:c>
      <x:c r="N117" t="n">
        <x:v>56</x:v>
      </x:c>
      <x:c r="O117" s="24" t="n">
        <x:v>0.192090395480226</x:v>
      </x:c>
      <x:c r="P117" s="24" t="n">
        <x:v>0.05448717948717949</x:v>
      </x:c>
      <x:c r="Q117" s="22" t="n">
        <x:v>194.01129943502826</x:v>
      </x:c>
      <x:c r="R117" s="22" t="n">
        <x:v>230.96583266074794</x:v>
      </x:c>
      <x:c r="S117" s="22" t="n">
        <x:v>347.99435028248587</x:v>
      </x:c>
      <x:c r="T117" s="22" t="n">
        <x:v>766.5073794768412</x:v>
      </x:c>
      <x:c r="U117" s="22" t="n">
        <x:v>102.65384615384616</x:v>
      </x:c>
      <x:c r="V117" s="22" t="n">
        <x:v>1963.8457796051316</x:v>
      </x:c>
      <x:c r="W117" s="22" t="n">
        <x:v>26.18461039473509</x:v>
      </x:c>
      <x:c r="X117" t="str">
        <x:v>https://www.fantasypros.com/nba/projections/overall.php</x:v>
      </x:c>
    </x:row>
    <x:row r="118" ht="22" customHeight="1">
      <x:c r="A118" t="str">
        <x:v>Ace Bailey</x:v>
      </x:c>
      <x:c r="B118" t="str">
        <x:v>UTA</x:v>
      </x:c>
      <x:c r="C118" t="str">
        <x:v>PF/SF</x:v>
      </x:c>
      <x:c r="D118" t="n">
        <x:v>1011</x:v>
      </x:c>
      <x:c r="E118" t="n">
        <x:v>294</x:v>
      </x:c>
      <x:c r="F118" t="n">
        <x:v>132</x:v>
      </x:c>
      <x:c r="G118" t="n">
        <x:v>48</x:v>
      </x:c>
      <x:c r="H118" t="n">
        <x:v>61</x:v>
      </x:c>
      <x:c r="I118" s="26" t="n">
        <x:v>0.448</x:v>
      </x:c>
      <x:c r="J118" s="26" t="n">
        <x:v>0.754</x:v>
      </x:c>
      <x:c r="K118" t="n">
        <x:v>144</x:v>
      </x:c>
      <x:c r="L118" t="n">
        <x:v>75</x:v>
      </x:c>
      <x:c r="M118" t="n">
        <x:v>2094</x:v>
      </x:c>
      <x:c r="N118" t="n">
        <x:v>106</x:v>
      </x:c>
      <x:c r="O118" s="24" t="n">
        <x:v>0.18</x:v>
      </x:c>
      <x:c r="P118" s="24" t="n">
        <x:v>0.05</x:v>
      </x:c>
      <x:c r="Q118" s="22" t="n">
        <x:v>181.98</x:v>
      </x:c>
      <x:c r="R118" s="22" t="n">
        <x:v>241.3527851458886</x:v>
      </x:c>
      <x:c r="S118" s="22" t="n">
        <x:v>342.51</x:v>
      </x:c>
      <x:c r="T118" s="22" t="n">
        <x:v>764.53125</x:v>
      </x:c>
      <x:c r="U118" s="22" t="n">
        <x:v>104.7</x:v>
      </x:c>
      <x:c r="V118" s="22" t="n">
        <x:v>1881.4959648541117</x:v>
      </x:c>
      <x:c r="W118" s="22" t="n">
        <x:v>25.086612864721488</x:v>
      </x:c>
      <x:c r="X118" t="str">
        <x:v>https://www.fantasypros.com/nba/projections/overall.php</x:v>
      </x:c>
    </x:row>
    <x:row r="119" ht="22" customHeight="1">
      <x:c r="A119" t="str">
        <x:v>Shaedon Sharpe</x:v>
      </x:c>
      <x:c r="B119" t="str">
        <x:v>POR</x:v>
      </x:c>
      <x:c r="C119" t="str">
        <x:v>PG/SF/SG</x:v>
      </x:c>
      <x:c r="D119" t="n">
        <x:v>243</x:v>
      </x:c>
      <x:c r="E119" t="n">
        <x:v>56</x:v>
      </x:c>
      <x:c r="F119" t="n">
        <x:v>33</x:v>
      </x:c>
      <x:c r="G119" t="n">
        <x:v>1</x:v>
      </x:c>
      <x:c r="H119" t="n">
        <x:v>15</x:v>
      </x:c>
      <x:c r="I119" s="26" t="n">
        <x:v>0.46</x:v>
      </x:c>
      <x:c r="J119" s="26" t="n">
        <x:v>0.785</x:v>
      </x:c>
      <x:c r="K119" t="n">
        <x:v>25</x:v>
      </x:c>
      <x:c r="L119" t="n">
        <x:v>18</x:v>
      </x:c>
      <x:c r="M119" t="n">
        <x:v>395</x:v>
      </x:c>
      <x:c r="N119" t="n">
        <x:v>32</x:v>
      </x:c>
      <x:c r="O119" s="24" t="n">
        <x:v>0.14903846153846154</x:v>
      </x:c>
      <x:c r="P119" s="24" t="n">
        <x:v>0.034013605442176874</x:v>
      </x:c>
      <x:c r="Q119" s="22" t="n">
        <x:v>36.21634615384615</x:v>
      </x:c>
      <x:c r="R119" s="22" t="n">
        <x:v>46.13547280744733</x:v>
      </x:c>
      <x:c r="S119" s="22" t="n">
        <x:v>90.89182692307692</x:v>
      </x:c>
      <x:c r="T119" s="22" t="n">
        <x:v>197.59092809364546</x:v>
      </x:c>
      <x:c r="U119" s="22" t="n">
        <x:v>13.435374149659864</x:v>
      </x:c>
      <x:c r="V119" s="22" t="n">
        <x:v>378.36069355207303</x:v>
      </x:c>
      <x:c r="W119" s="22" t="n">
        <x:v>21.020038530670725</x:v>
      </x:c>
      <x:c r="X119" t="str">
        <x:v>https://www.fantasypros.com/nba/projections/overall.php</x:v>
      </x:c>
    </x:row>
    <x:row r="120" ht="22" customHeight="1">
      <x:c r="A120" t="str">
        <x:v>P.J. Washington Jr.</x:v>
      </x:c>
      <x:c r="B120" t="str">
        <x:v>DAL</x:v>
      </x:c>
      <x:c r="C120" t="str">
        <x:v>C/PF/SF</x:v>
      </x:c>
      <x:c r="D120" t="n">
        <x:v>956</x:v>
      </x:c>
      <x:c r="E120" t="n">
        <x:v>465</x:v>
      </x:c>
      <x:c r="F120" t="n">
        <x:v>137</x:v>
      </x:c>
      <x:c r="G120" t="n">
        <x:v>64</x:v>
      </x:c>
      <x:c r="H120" t="n">
        <x:v>67</x:v>
      </x:c>
      <x:c r="I120" s="26" t="n">
        <x:v>0.45</x:v>
      </x:c>
      <x:c r="J120" s="26" t="n">
        <x:v>0.701</x:v>
      </x:c>
      <x:c r="K120" t="n">
        <x:v>96</x:v>
      </x:c>
      <x:c r="L120" t="n">
        <x:v>71</x:v>
      </x:c>
      <x:c r="M120" t="n">
        <x:v>2158</x:v>
      </x:c>
      <x:c r="N120" t="n">
        <x:v>114</x:v>
      </x:c>
      <x:c r="O120" s="24" t="n">
        <x:v>0.15492957746478875</x:v>
      </x:c>
      <x:c r="P120" s="24" t="n">
        <x:v>0.04838709677419355</x:v>
      </x:c>
      <x:c r="Q120" s="22" t="n">
        <x:v>148.11267605633805</x:v>
      </x:c>
      <x:c r="R120" s="22" t="n">
        <x:v>211.28769765526113</x:v>
      </x:c>
      <x:c r="S120" s="22" t="n">
        <x:v>355.943661971831</x:v>
      </x:c>
      <x:c r="T120" s="22" t="n">
        <x:v>790.9859154929577</x:v>
      </x:c>
      <x:c r="U120" s="22" t="n">
        <x:v>104.41935483870968</x:v>
      </x:c>
      <x:c r="V120" s="22" t="n">
        <x:v>1939.1777725855382</x:v>
      </x:c>
      <x:c r="W120" s="22" t="n">
        <x:v>27.31236299416251</x:v>
      </x:c>
      <x:c r="X120" t="str">
        <x:v>https://www.fantasypros.com/nba/projections/overall.php</x:v>
      </x:c>
    </x:row>
    <x:row r="121" ht="22" customHeight="1">
      <x:c r="A121" t="str">
        <x:v>Jalen Suggs</x:v>
      </x:c>
      <x:c r="B121" t="str">
        <x:v>ORL</x:v>
      </x:c>
      <x:c r="C121" t="str">
        <x:v>PG/SG</x:v>
      </x:c>
      <x:c r="D121" t="n">
        <x:v>940</x:v>
      </x:c>
      <x:c r="E121" t="n">
        <x:v>257</x:v>
      </x:c>
      <x:c r="F121" t="n">
        <x:v>300</x:v>
      </x:c>
      <x:c r="G121" t="n">
        <x:v>49</x:v>
      </x:c>
      <x:c r="H121" t="n">
        <x:v>108</x:v>
      </x:c>
      <x:c r="I121" s="26" t="n">
        <x:v>0.43</x:v>
      </x:c>
      <x:c r="J121" s="26" t="n">
        <x:v>0.851</x:v>
      </x:c>
      <x:c r="K121" t="n">
        <x:v>138</x:v>
      </x:c>
      <x:c r="L121" t="n">
        <x:v>70</x:v>
      </x:c>
      <x:c r="M121" t="n">
        <x:v>1922</x:v>
      </x:c>
      <x:c r="N121" t="n">
        <x:v>167</x:v>
      </x:c>
      <x:c r="O121" s="24" t="n">
        <x:v>0.19</x:v>
      </x:c>
      <x:c r="P121" s="24" t="n">
        <x:v>0.02</x:v>
      </x:c>
      <x:c r="Q121" s="22" t="n">
        <x:v>178.6</x:v>
      </x:c>
      <x:c r="R121" s="22" t="n">
        <x:v>209.8707403055229</x:v>
      </x:c>
      <x:c r="S121" s="22" t="n">
        <x:v>311.7</x:v>
      </x:c>
      <x:c r="T121" s="22" t="n">
        <x:v>724.8837209302326</x:v>
      </x:c>
      <x:c r="U121" s="22" t="n">
        <x:v>38.44</x:v>
      </x:c>
      <x:c r="V121" s="22" t="n">
        <x:v>1863.2255387642444</x:v>
      </x:c>
      <x:c r="W121" s="22" t="n">
        <x:v>26.617507696632064</x:v>
      </x:c>
      <x:c r="X121" t="str">
        <x:v>https://www.fantasypros.com/nba/projections/overall.php</x:v>
      </x:c>
    </x:row>
    <x:row r="122" ht="22" customHeight="1">
      <x:c r="A122" t="str">
        <x:v>Andrew Nembhard</x:v>
      </x:c>
      <x:c r="B122" t="str">
        <x:v>IND</x:v>
      </x:c>
      <x:c r="C122" t="str">
        <x:v>PG/SG</x:v>
      </x:c>
      <x:c r="D122" t="n">
        <x:v>997</x:v>
      </x:c>
      <x:c r="E122" t="n">
        <x:v>231</x:v>
      </x:c>
      <x:c r="F122" t="n">
        <x:v>471</x:v>
      </x:c>
      <x:c r="G122" t="n">
        <x:v>10</x:v>
      </x:c>
      <x:c r="H122" t="n">
        <x:v>80</x:v>
      </x:c>
      <x:c r="I122" s="26" t="n">
        <x:v>0.467</x:v>
      </x:c>
      <x:c r="J122" s="26" t="n">
        <x:v>0.81</x:v>
      </x:c>
      <x:c r="K122" t="n">
        <x:v>96</x:v>
      </x:c>
      <x:c r="L122" t="n">
        <x:v>75</x:v>
      </x:c>
      <x:c r="M122" t="n">
        <x:v>2405</x:v>
      </x:c>
      <x:c r="N122" t="n">
        <x:v>149</x:v>
      </x:c>
      <x:c r="O122" s="24" t="n">
        <x:v>0.20118343195266272</x:v>
      </x:c>
      <x:c r="P122" s="24" t="n">
        <x:v>0.012779552715654953</x:v>
      </x:c>
      <x:c r="Q122" s="22" t="n">
        <x:v>200.57988165680473</x:v>
      </x:c>
      <x:c r="R122" s="22" t="n">
        <x:v>247.62948352691942</x:v>
      </x:c>
      <x:c r="S122" s="22" t="n">
        <x:v>350.21005917159766</x:v>
      </x:c>
      <x:c r="T122" s="22" t="n">
        <x:v>749.9144736008515</x:v>
      </x:c>
      <x:c r="U122" s="22" t="n">
        <x:v>30.734824281150164</x:v>
      </x:c>
      <x:c r="V122" s="22" t="n">
        <x:v>2073.005573091334</x:v>
      </x:c>
      <x:c r="W122" s="22" t="n">
        <x:v>27.640074307884454</x:v>
      </x:c>
      <x:c r="X122" t="str">
        <x:v>https://www.fantasypros.com/nba/projections/overall.php</x:v>
      </x:c>
    </x:row>
    <x:row r="123" ht="22" customHeight="1">
      <x:c r="A123" t="str">
        <x:v>Jaime Jaquez Jr.</x:v>
      </x:c>
      <x:c r="B123" t="str">
        <x:v>MIL</x:v>
      </x:c>
      <x:c r="C123" t="str">
        <x:v>PF/SF/SG</x:v>
      </x:c>
      <x:c r="D123" t="n">
        <x:v>1009</x:v>
      </x:c>
      <x:c r="E123" t="n">
        <x:v>340</x:v>
      </x:c>
      <x:c r="F123" t="n">
        <x:v>302</x:v>
      </x:c>
      <x:c r="G123" t="n">
        <x:v>20</x:v>
      </x:c>
      <x:c r="H123" t="n">
        <x:v>53</x:v>
      </x:c>
      <x:c r="I123" s="26" t="n">
        <x:v>0.497</x:v>
      </x:c>
      <x:c r="J123" s="26" t="n">
        <x:v>0.765</x:v>
      </x:c>
      <x:c r="K123" t="n">
        <x:v>57</x:v>
      </x:c>
      <x:c r="L123" t="n">
        <x:v>76</x:v>
      </x:c>
      <x:c r="M123" t="n">
        <x:v>2048</x:v>
      </x:c>
      <x:c r="N123" t="n">
        <x:v>149</x:v>
      </x:c>
      <x:c r="O123" s="24" t="n">
        <x:v>0.18</x:v>
      </x:c>
      <x:c r="P123" s="24" t="n">
        <x:v>0.05</x:v>
      </x:c>
      <x:c r="Q123" s="22" t="n">
        <x:v>181.62</x:v>
      </x:c>
      <x:c r="R123" s="22" t="n">
        <x:v>237.41176470588235</x:v>
      </x:c>
      <x:c r="S123" s="22" t="n">
        <x:v>385.19</x:v>
      </x:c>
      <x:c r="T123" s="22" t="n">
        <x:v>775.0301810865191</x:v>
      </x:c>
      <x:c r="U123" s="22" t="n">
        <x:v>102.4</x:v>
      </x:c>
      <x:c r="V123" s="22" t="n">
        <x:v>2022.9780542075987</x:v>
      </x:c>
      <x:c r="W123" s="22" t="n">
        <x:v>26.618132292205246</x:v>
      </x:c>
      <x:c r="X123" t="str">
        <x:v>https://www.fantasypros.com/nba/projections/overall.php</x:v>
      </x:c>
    </x:row>
    <x:row r="124" ht="22" customHeight="1">
      <x:c r="A124" t="str">
        <x:v>Jeremiah Fears</x:v>
      </x:c>
      <x:c r="B124" t="str">
        <x:v>NOP</x:v>
      </x:c>
      <x:c r="C124" t="str">
        <x:v>PG/SG</x:v>
      </x:c>
      <x:c r="D124" t="n">
        <x:v>1028</x:v>
      </x:c>
      <x:c r="E124" t="n">
        <x:v>262</x:v>
      </x:c>
      <x:c r="F124" t="n">
        <x:v>237</x:v>
      </x:c>
      <x:c r="G124" t="n">
        <x:v>26</x:v>
      </x:c>
      <x:c r="H124" t="n">
        <x:v>81</x:v>
      </x:c>
      <x:c r="I124" s="26" t="n">
        <x:v>0.443</x:v>
      </x:c>
      <x:c r="J124" s="26" t="n">
        <x:v>0.801</x:v>
      </x:c>
      <x:c r="K124" t="n">
        <x:v>91</x:v>
      </x:c>
      <x:c r="L124" t="n">
        <x:v>78</x:v>
      </x:c>
      <x:c r="M124" t="n">
        <x:v>1887</x:v>
      </x:c>
      <x:c r="N124" t="n">
        <x:v>154</x:v>
      </x:c>
      <x:c r="O124" s="24" t="n">
        <x:v>0.19</x:v>
      </x:c>
      <x:c r="P124" s="24" t="n">
        <x:v>0.02</x:v>
      </x:c>
      <x:c r="Q124" s="22" t="n">
        <x:v>195.32</x:v>
      </x:c>
      <x:c r="R124" s="22" t="n">
        <x:v>243.84519350811485</x:v>
      </x:c>
      <x:c r="S124" s="22" t="n">
        <x:v>370.84000000000003</x:v>
      </x:c>
      <x:c r="T124" s="22" t="n">
        <x:v>837.1106094808127</x:v>
      </x:c>
      <x:c r="U124" s="22" t="n">
        <x:v>37.74</x:v>
      </x:c>
      <x:c r="V124" s="22" t="n">
        <x:v>1756.3441970110725</x:v>
      </x:c>
      <x:c r="W124" s="22" t="n">
        <x:v>22.51723329501375</x:v>
      </x:c>
      <x:c r="X124" t="str">
        <x:v>https://www.fantasypros.com/nba/projections/overall.php</x:v>
      </x:c>
    </x:row>
    <x:row r="125" ht="22" customHeight="1">
      <x:c r="A125" t="str">
        <x:v>Devin Vassell</x:v>
      </x:c>
      <x:c r="B125" t="str">
        <x:v>SAS</x:v>
      </x:c>
      <x:c r="C125" t="str">
        <x:v>SG/SF</x:v>
      </x:c>
      <x:c r="D125" t="n">
        <x:v>973</x:v>
      </x:c>
      <x:c r="E125" t="n">
        <x:v>265</x:v>
      </x:c>
      <x:c r="F125" t="n">
        <x:v>181</x:v>
      </x:c>
      <x:c r="G125" t="n">
        <x:v>29</x:v>
      </x:c>
      <x:c r="H125" t="n">
        <x:v>67</x:v>
      </x:c>
      <x:c r="I125" s="26" t="n">
        <x:v>0.446</x:v>
      </x:c>
      <x:c r="J125" s="26" t="n">
        <x:v>0.807</x:v>
      </x:c>
      <x:c r="K125" t="n">
        <x:v>151</x:v>
      </x:c>
      <x:c r="L125" t="n">
        <x:v>74</x:v>
      </x:c>
      <x:c r="M125" t="n">
        <x:v>2059</x:v>
      </x:c>
      <x:c r="N125" t="n">
        <x:v>73</x:v>
      </x:c>
      <x:c r="O125" s="24" t="n">
        <x:v>0.18</x:v>
      </x:c>
      <x:c r="P125" s="24" t="n">
        <x:v>0.035</x:v>
      </x:c>
      <x:c r="Q125" s="22" t="n">
        <x:v>175.14</x:v>
      </x:c>
      <x:c r="R125" s="22" t="n">
        <x:v>217.02602230483268</x:v>
      </x:c>
      <x:c r="S125" s="22" t="n">
        <x:v>323.43</x:v>
      </x:c>
      <x:c r="T125" s="22" t="n">
        <x:v>725.1793721973095</x:v>
      </x:c>
      <x:c r="U125" s="22" t="n">
        <x:v>72.06500000000001</x:v>
      </x:c>
      <x:c r="V125" s="22" t="n">
        <x:v>1891.0646054978579</x:v>
      </x:c>
      <x:c r="W125" s="22" t="n">
        <x:v>25.554927101322402</x:v>
      </x:c>
      <x:c r="X125" t="str">
        <x:v>https://www.fantasypros.com/nba/projections/overall.php</x:v>
      </x:c>
    </x:row>
    <x:row r="126">
      <x:c r="A126" t="str">
        <x:v>Keegan Murray</x:v>
      </x:c>
      <x:c r="B126" t="str">
        <x:v>SAC</x:v>
      </x:c>
      <x:c r="C126" t="str">
        <x:v>SF/PF</x:v>
      </x:c>
      <x:c r="D126" t="n">
        <x:v>978</x:v>
      </x:c>
      <x:c r="E126" t="n">
        <x:v>438</x:v>
      </x:c>
      <x:c r="F126" t="n">
        <x:v>114</x:v>
      </x:c>
      <x:c r="G126" t="n">
        <x:v>79</x:v>
      </x:c>
      <x:c r="H126" t="n">
        <x:v>65</x:v>
      </x:c>
      <x:c r="I126" t="n">
        <x:v>0.447</x:v>
      </x:c>
      <x:c r="J126" t="n">
        <x:v>0.814</x:v>
      </x:c>
      <x:c r="K126" t="n">
        <x:v>144</x:v>
      </x:c>
      <x:c r="L126" t="n">
        <x:v>75</x:v>
      </x:c>
      <x:c r="M126" t="n">
        <x:v>2567</x:v>
      </x:c>
      <x:c r="N126" t="n">
        <x:v>69</x:v>
      </x:c>
      <x:c r="O126" t="n">
        <x:v>0.18</x:v>
      </x:c>
      <x:c r="P126" t="n">
        <x:v>0.05</x:v>
      </x:c>
      <x:c r="Q126" t="n">
        <x:v>176.04</x:v>
      </x:c>
      <x:c r="R126" t="n">
        <x:v>216.26535626535627</x:v>
      </x:c>
      <x:c r="S126" t="n">
        <x:v>328.98</x:v>
      </x:c>
      <x:c r="T126" t="n">
        <x:v>735.9731543624162</x:v>
      </x:c>
      <x:c r="U126" t="n">
        <x:v>128.35</x:v>
      </x:c>
      <x:c r="V126" t="n">
        <x:v>2156.0014893722273</x:v>
      </x:c>
      <x:c r="W126" t="n">
        <x:v>28.74668652496303</x:v>
      </x:c>
      <x:c r="X126" t="str">
        <x:v>https://www.fantasypros.com/nba/projections/overall.php</x:v>
      </x:c>
    </x:row>
    <x:row r="127">
      <x:c r="A127" t="str">
        <x:v>Anfernee Simons</x:v>
      </x:c>
      <x:c r="B127" t="str">
        <x:v>PHI</x:v>
      </x:c>
      <x:c r="C127" t="str">
        <x:v>PG/SG</x:v>
      </x:c>
      <x:c r="D127" t="n">
        <x:v>944</x:v>
      </x:c>
      <x:c r="E127" t="n">
        <x:v>155</x:v>
      </x:c>
      <x:c r="F127" t="n">
        <x:v>204</x:v>
      </x:c>
      <x:c r="G127" t="n">
        <x:v>8</x:v>
      </x:c>
      <x:c r="H127" t="n">
        <x:v>37</x:v>
      </x:c>
      <x:c r="I127" t="n">
        <x:v>0.442</x:v>
      </x:c>
      <x:c r="J127" t="n">
        <x:v>0.901</x:v>
      </x:c>
      <x:c r="K127" t="n">
        <x:v>151</x:v>
      </x:c>
      <x:c r="L127" t="n">
        <x:v>72</x:v>
      </x:c>
      <x:c r="M127" t="n">
        <x:v>1707</x:v>
      </x:c>
      <x:c r="N127" t="n">
        <x:v>91</x:v>
      </x:c>
      <x:c r="O127" t="n">
        <x:v>0.19</x:v>
      </x:c>
      <x:c r="P127" t="n">
        <x:v>0.02</x:v>
      </x:c>
      <x:c r="Q127" t="n">
        <x:v>179.36</x:v>
      </x:c>
      <x:c r="R127" t="n">
        <x:v>199.0677025527192</x:v>
      </x:c>
      <x:c r="S127" t="n">
        <x:v>306.82</x:v>
      </x:c>
      <x:c r="T127" t="n">
        <x:v>694.1628959276018</x:v>
      </x:c>
      <x:c r="U127" t="n">
        <x:v>34.14</x:v>
      </x:c>
      <x:c r="V127" t="n">
        <x:v>1607.409401519679</x:v>
      </x:c>
      <x:c r="W127" t="n">
        <x:v>22.325130576662207</x:v>
      </x:c>
      <x:c r="X127" t="str">
        <x:v>https://www.fantasypros.com/nba/projections/overall.php</x:v>
      </x:c>
    </x:row>
    <x:row r="128">
      <x:c r="A128" t="str">
        <x:v>Fred VanVleet</x:v>
      </x:c>
      <x:c r="B128" t="str">
        <x:v>HOU</x:v>
      </x:c>
      <x:c r="C128" t="str">
        <x:v>PG/SG</x:v>
      </x:c>
      <x:c r="D128" t="n">
        <x:v>957</x:v>
      </x:c>
      <x:c r="E128" t="n">
        <x:v>245</x:v>
      </x:c>
      <x:c r="F128" t="n">
        <x:v>397</x:v>
      </x:c>
      <x:c r="G128" t="n">
        <x:v>33</x:v>
      </x:c>
      <x:c r="H128" t="n">
        <x:v>92</x:v>
      </x:c>
      <x:c r="I128" t="n">
        <x:v>0.398</x:v>
      </x:c>
      <x:c r="J128" t="n">
        <x:v>0.839</x:v>
      </x:c>
      <x:c r="K128" t="n">
        <x:v>178</x:v>
      </x:c>
      <x:c r="L128" t="n">
        <x:v>73</x:v>
      </x:c>
      <x:c r="M128" t="n">
        <x:v>2370</x:v>
      </x:c>
      <x:c r="N128" t="n">
        <x:v>103</x:v>
      </x:c>
      <x:c r="O128" t="n">
        <x:v>0.1347517730496454</x:v>
      </x:c>
      <x:c r="P128" t="n">
        <x:v>0.014204545454545454</x:v>
      </x:c>
      <x:c r="Q128" t="n">
        <x:v>128.95744680851064</x:v>
      </x:c>
      <x:c r="R128" t="n">
        <x:v>153.7037506656861</x:v>
      </x:c>
      <x:c r="S128" t="n">
        <x:v>325.02127659574467</x:v>
      </x:c>
      <x:c r="T128" t="n">
        <x:v>816.6363733561424</x:v>
      </x:c>
      <x:c r="U128" t="n">
        <x:v>33.66477272727273</x:v>
      </x:c>
      <x:c r="V128" t="n">
        <x:v>2007.9468682412275</x:v>
      </x:c>
      <x:c r="W128" t="n">
        <x:v>27.50612148275654</x:v>
      </x:c>
      <x:c r="X128" t="str">
        <x:v>https://www.fantasypros.com/nba/projections/overall.php</x:v>
      </x:c>
    </x:row>
    <x:row r="129">
      <x:c r="A129" t="str">
        <x:v>Peyton Watson</x:v>
      </x:c>
      <x:c r="B129" t="str">
        <x:v>CLE</x:v>
      </x:c>
      <x:c r="C129" t="str">
        <x:v>SF/PF</x:v>
      </x:c>
      <x:c r="D129" t="n">
        <x:v>958</x:v>
      </x:c>
      <x:c r="E129" t="n">
        <x:v>356</x:v>
      </x:c>
      <x:c r="F129" t="n">
        <x:v>142</x:v>
      </x:c>
      <x:c r="G129" t="n">
        <x:v>96</x:v>
      </x:c>
      <x:c r="H129" t="n">
        <x:v>72</x:v>
      </x:c>
      <x:c r="I129" t="n">
        <x:v>0.479</x:v>
      </x:c>
      <x:c r="J129" t="n">
        <x:v>0.717</x:v>
      </x:c>
      <x:c r="K129" t="n">
        <x:v>101</x:v>
      </x:c>
      <x:c r="L129" t="n">
        <x:v>75</x:v>
      </x:c>
      <x:c r="M129" t="n">
        <x:v>2200</x:v>
      </x:c>
      <x:c r="N129" t="n">
        <x:v>109</x:v>
      </x:c>
      <x:c r="O129" t="n">
        <x:v>0.17808219178082194</x:v>
      </x:c>
      <x:c r="P129" t="n">
        <x:v>0.030405405405405404</x:v>
      </x:c>
      <x:c r="Q129" t="n">
        <x:v>170.6027397260274</x:v>
      </x:c>
      <x:c r="R129" t="n">
        <x:v>237.9396648898569</x:v>
      </x:c>
      <x:c r="S129" t="n">
        <x:v>343.1986301369863</x:v>
      </x:c>
      <x:c r="T129" t="n">
        <x:v>716.4898332713702</x:v>
      </x:c>
      <x:c r="U129" t="n">
        <x:v>66.89189189189189</x:v>
      </x:c>
      <x:c r="V129" t="n">
        <x:v>1904.957025348584</x:v>
      </x:c>
      <x:c r="W129" t="n">
        <x:v>25.399427004647787</x:v>
      </x:c>
      <x:c r="X129" t="str">
        <x:v>https://www.fantasypros.com/nba/projections/overall.php</x:v>
      </x:c>
    </x:row>
    <x:row r="130">
      <x:c r="A130" t="str">
        <x:v>Rui Hachimura</x:v>
      </x:c>
      <x:c r="B130" t="str">
        <x:v>LAC</x:v>
      </x:c>
      <x:c r="C130" t="str">
        <x:v>SF/PF</x:v>
      </x:c>
      <x:c r="D130" t="n">
        <x:v>957</x:v>
      </x:c>
      <x:c r="E130" t="n">
        <x:v>311</x:v>
      </x:c>
      <x:c r="F130" t="n">
        <x:v>81</x:v>
      </x:c>
      <x:c r="G130" t="n">
        <x:v>29</x:v>
      </x:c>
      <x:c r="H130" t="n">
        <x:v>54</x:v>
      </x:c>
      <x:c r="I130" t="n">
        <x:v>0.519</x:v>
      </x:c>
      <x:c r="J130" t="n">
        <x:v>0.733</x:v>
      </x:c>
      <x:c r="K130" t="n">
        <x:v>142</x:v>
      </x:c>
      <x:c r="L130" t="n">
        <x:v>75</x:v>
      </x:c>
      <x:c r="M130" t="n">
        <x:v>2276</x:v>
      </x:c>
      <x:c r="N130" t="n">
        <x:v>52</x:v>
      </x:c>
      <x:c r="O130" t="n">
        <x:v>0.18</x:v>
      </x:c>
      <x:c r="P130" t="n">
        <x:v>0.05</x:v>
      </x:c>
      <x:c r="Q130" t="n">
        <x:v>172.26</x:v>
      </x:c>
      <x:c r="R130" t="n">
        <x:v>235.0068212824011</x:v>
      </x:c>
      <x:c r="S130" t="n">
        <x:v>321.37</x:v>
      </x:c>
      <x:c r="T130" t="n">
        <x:v>619.2100192678228</x:v>
      </x:c>
      <x:c r="U130" t="n">
        <x:v>113.80000000000001</x:v>
      </x:c>
      <x:c r="V130" t="n">
        <x:v>1939.6431594497762</x:v>
      </x:c>
      <x:c r="W130" t="n">
        <x:v>25.861908792663684</x:v>
      </x:c>
      <x:c r="X130" t="str">
        <x:v>https://www.fantasypros.com/nba/projections/overall.php</x:v>
      </x:c>
    </x:row>
    <x:row r="131">
      <x:c r="A131" t="str">
        <x:v>Klay Thompson</x:v>
      </x:c>
      <x:c r="B131" t="str">
        <x:v>MIA</x:v>
      </x:c>
      <x:c r="C131" t="str">
        <x:v>SG/SF</x:v>
      </x:c>
      <x:c r="D131" t="n">
        <x:v>941</x:v>
      </x:c>
      <x:c r="E131" t="n">
        <x:v>184</x:v>
      </x:c>
      <x:c r="F131" t="n">
        <x:v>126</x:v>
      </x:c>
      <x:c r="G131" t="n">
        <x:v>22</x:v>
      </x:c>
      <x:c r="H131" t="n">
        <x:v>43</x:v>
      </x:c>
      <x:c r="I131" t="n">
        <x:v>0.41</x:v>
      </x:c>
      <x:c r="J131" t="n">
        <x:v>0.832</x:v>
      </x:c>
      <x:c r="K131" t="n">
        <x:v>223</x:v>
      </x:c>
      <x:c r="L131" t="n">
        <x:v>74</x:v>
      </x:c>
      <x:c r="M131" t="n">
        <x:v>1749</x:v>
      </x:c>
      <x:c r="N131" t="n">
        <x:v>73</x:v>
      </x:c>
      <x:c r="O131" t="n">
        <x:v>0.18</x:v>
      </x:c>
      <x:c r="P131" t="n">
        <x:v>0.035</x:v>
      </x:c>
      <x:c r="Q131" t="n">
        <x:v>169.38</x:v>
      </x:c>
      <x:c r="R131" t="n">
        <x:v>203.58173076923077</x:v>
      </x:c>
      <x:c r="S131" t="n">
        <x:v>274.31</x:v>
      </x:c>
      <x:c r="T131" t="n">
        <x:v>669.048780487805</x:v>
      </x:c>
      <x:c r="U131" t="n">
        <x:v>61.215</x:v>
      </x:c>
      <x:c r="V131" t="n">
        <x:v>1647.1794887429644</x:v>
      </x:c>
      <x:c r="W131" t="n">
        <x:v>22.25918228031033</x:v>
      </x:c>
      <x:c r="X131" t="str">
        <x:v>https://www.fantasypros.com/nba/projections/overall.php</x:v>
      </x:c>
    </x:row>
    <x:row r="132">
      <x:c r="A132" t="str">
        <x:v>Aaron Nesmith</x:v>
      </x:c>
      <x:c r="B132" t="str">
        <x:v>IND</x:v>
      </x:c>
      <x:c r="C132" t="str">
        <x:v>PF/SF/SG</x:v>
      </x:c>
      <x:c r="D132" t="n">
        <x:v>901</x:v>
      </x:c>
      <x:c r="E132" t="n">
        <x:v>290</x:v>
      </x:c>
      <x:c r="F132" t="n">
        <x:v>105</x:v>
      </x:c>
      <x:c r="G132" t="n">
        <x:v>33</x:v>
      </x:c>
      <x:c r="H132" t="n">
        <x:v>50</x:v>
      </x:c>
      <x:c r="I132" t="n">
        <x:v>0.472</x:v>
      </x:c>
      <x:c r="J132" t="n">
        <x:v>0.855</x:v>
      </x:c>
      <x:c r="K132" t="n">
        <x:v>145</x:v>
      </x:c>
      <x:c r="L132" t="n">
        <x:v>71</x:v>
      </x:c>
      <x:c r="M132" t="n">
        <x:v>1982</x:v>
      </x:c>
      <x:c r="N132" t="n">
        <x:v>70</x:v>
      </x:c>
      <x:c r="O132" t="n">
        <x:v>0.18</x:v>
      </x:c>
      <x:c r="P132" t="n">
        <x:v>0.05</x:v>
      </x:c>
      <x:c r="Q132" t="n">
        <x:v>162.18</x:v>
      </x:c>
      <x:c r="R132" t="n">
        <x:v>189.6842105263158</x:v>
      </x:c>
      <x:c r="S132" t="n">
        <x:v>296.90999999999997</x:v>
      </x:c>
      <x:c r="T132" t="n">
        <x:v>629.0466101694915</x:v>
      </x:c>
      <x:c r="U132" t="n">
        <x:v>99.10000000000001</x:v>
      </x:c>
      <x:c r="V132" t="n">
        <x:v>1800.6491793041926</x:v>
      </x:c>
      <x:c r="W132" t="n">
        <x:v>25.361256046537925</x:v>
      </x:c>
      <x:c r="X132" t="str">
        <x:v>https://www.fantasypros.com/nba/projections/overall.php</x:v>
      </x:c>
    </x:row>
    <x:row r="133">
      <x:c r="A133" t="str">
        <x:v>Malik Monk</x:v>
      </x:c>
      <x:c r="B133" t="str">
        <x:v>SAC</x:v>
      </x:c>
      <x:c r="C133" t="str">
        <x:v>PG/SG</x:v>
      </x:c>
      <x:c r="D133" t="n">
        <x:v>923</x:v>
      </x:c>
      <x:c r="E133" t="n">
        <x:v>174</x:v>
      </x:c>
      <x:c r="F133" t="n">
        <x:v>275</x:v>
      </x:c>
      <x:c r="G133" t="n">
        <x:v>32</x:v>
      </x:c>
      <x:c r="H133" t="n">
        <x:v>46</x:v>
      </x:c>
      <x:c r="I133" t="n">
        <x:v>0.445</x:v>
      </x:c>
      <x:c r="J133" t="n">
        <x:v>0.863</x:v>
      </x:c>
      <x:c r="K133" t="n">
        <x:v>130</x:v>
      </x:c>
      <x:c r="L133" t="n">
        <x:v>73</x:v>
      </x:c>
      <x:c r="M133" t="n">
        <x:v>1689</x:v>
      </x:c>
      <x:c r="N133" t="n">
        <x:v>127</x:v>
      </x:c>
      <x:c r="O133" t="n">
        <x:v>0.19</x:v>
      </x:c>
      <x:c r="P133" t="n">
        <x:v>0.02</x:v>
      </x:c>
      <x:c r="Q133" t="n">
        <x:v>175.37</x:v>
      </x:c>
      <x:c r="R133" t="n">
        <x:v>203.20973348783315</x:v>
      </x:c>
      <x:c r="S133" t="n">
        <x:v>308.815</x:v>
      </x:c>
      <x:c r="T133" t="n">
        <x:v>693.9662921348314</x:v>
      </x:c>
      <x:c r="U133" t="n">
        <x:v>33.78</x:v>
      </x:c>
      <x:c r="V133" t="n">
        <x:v>1664.2539743773355</x:v>
      </x:c>
      <x:c r="W133" t="n">
        <x:v>22.797999649004595</x:v>
      </x:c>
      <x:c r="X133" t="str">
        <x:v>https://www.fantasypros.com/nba/projections/overall.php</x:v>
      </x:c>
    </x:row>
    <x:row r="134">
      <x:c r="A134" t="str">
        <x:v>Bradley Beal</x:v>
      </x:c>
      <x:c r="B134" t="str">
        <x:v>LAC</x:v>
      </x:c>
      <x:c r="C134" t="str">
        <x:v>SF/SG</x:v>
      </x:c>
      <x:c r="D134" t="n">
        <x:v>813</x:v>
      </x:c>
      <x:c r="E134" t="n">
        <x:v>171</x:v>
      </x:c>
      <x:c r="F134" t="n">
        <x:v>180</x:v>
      </x:c>
      <x:c r="G134" t="n">
        <x:v>23</x:v>
      </x:c>
      <x:c r="H134" t="n">
        <x:v>54</x:v>
      </x:c>
      <x:c r="I134" t="n">
        <x:v>0.497</x:v>
      </x:c>
      <x:c r="J134" t="n">
        <x:v>0.804</x:v>
      </x:c>
      <x:c r="K134" t="n">
        <x:v>91</x:v>
      </x:c>
      <x:c r="L134" t="n">
        <x:v>66</x:v>
      </x:c>
      <x:c r="M134" t="n">
        <x:v>1569</x:v>
      </x:c>
      <x:c r="N134" t="n">
        <x:v>95</x:v>
      </x:c>
      <x:c r="O134" t="n">
        <x:v>0.18</x:v>
      </x:c>
      <x:c r="P134" t="n">
        <x:v>0.035</x:v>
      </x:c>
      <x:c r="Q134" t="n">
        <x:v>146.34</x:v>
      </x:c>
      <x:c r="R134" t="n">
        <x:v>182.01492537313433</x:v>
      </x:c>
      <x:c r="S134" t="n">
        <x:v>287.83</x:v>
      </x:c>
      <x:c r="T134" t="n">
        <x:v>579.1348088531187</x:v>
      </x:c>
      <x:c r="U134" t="n">
        <x:v>54.915000000000006</x:v>
      </x:c>
      <x:c r="V134" t="n">
        <x:v>1514.520265773747</x:v>
      </x:c>
      <x:c r="W134" t="n">
        <x:v>22.947276754147683</x:v>
      </x:c>
      <x:c r="X134" t="str">
        <x:v>https://www.fantasypros.com/nba/projections/overall.php</x:v>
      </x:c>
    </x:row>
    <x:row r="135">
      <x:c r="A135" t="str">
        <x:v>Bobby Portis Jr.</x:v>
      </x:c>
      <x:c r="B135" t="str">
        <x:v>MIA</x:v>
      </x:c>
      <x:c r="C135" t="str">
        <x:v>PF/C</x:v>
      </x:c>
      <x:c r="D135" t="n">
        <x:v>889</x:v>
      </x:c>
      <x:c r="E135" t="n">
        <x:v>462</x:v>
      </x:c>
      <x:c r="F135" t="n">
        <x:v>116</x:v>
      </x:c>
      <x:c r="G135" t="n">
        <x:v>17</x:v>
      </x:c>
      <x:c r="H135" t="n">
        <x:v>45</x:v>
      </x:c>
      <x:c r="I135" t="n">
        <x:v>0.478</x:v>
      </x:c>
      <x:c r="J135" t="n">
        <x:v>0.752</x:v>
      </x:c>
      <x:c r="K135" t="n">
        <x:v>109</x:v>
      </x:c>
      <x:c r="L135" t="n">
        <x:v>72</x:v>
      </x:c>
      <x:c r="M135" t="n">
        <x:v>1628</x:v>
      </x:c>
      <x:c r="N135" t="n">
        <x:v>65</x:v>
      </x:c>
      <x:c r="O135" t="n">
        <x:v>0.17</x:v>
      </x:c>
      <x:c r="P135" t="n">
        <x:v>0.075</x:v>
      </x:c>
      <x:c r="Q135" t="n">
        <x:v>151.13000000000002</x:v>
      </x:c>
      <x:c r="R135" t="n">
        <x:v>200.97074468085108</x:v>
      </x:c>
      <x:c r="S135" t="n">
        <x:v>314.435</x:v>
      </x:c>
      <x:c r="T135" t="n">
        <x:v>657.8138075313808</x:v>
      </x:c>
      <x:c r="U135" t="n">
        <x:v>122.1</x:v>
      </x:c>
      <x:c r="V135" t="n">
        <x:v>1936.0454477877684</x:v>
      </x:c>
      <x:c r="W135" t="n">
        <x:v>26.88952010816345</x:v>
      </x:c>
      <x:c r="X135" t="str">
        <x:v>https://www.fantasypros.com/nba/projections/overall.php</x:v>
      </x:c>
    </x:row>
    <x:row r="136">
      <x:c r="A136" t="str">
        <x:v>Myles Turner</x:v>
      </x:c>
      <x:c r="B136" t="str">
        <x:v>MIL</x:v>
      </x:c>
      <x:c r="C136" t="str">
        <x:v>C</x:v>
      </x:c>
      <x:c r="D136" t="n">
        <x:v>925</x:v>
      </x:c>
      <x:c r="E136" t="n">
        <x:v>393</x:v>
      </x:c>
      <x:c r="F136" t="n">
        <x:v>105</x:v>
      </x:c>
      <x:c r="G136" t="n">
        <x:v>114</x:v>
      </x:c>
      <x:c r="H136" t="n">
        <x:v>49</x:v>
      </x:c>
      <x:c r="I136" t="n">
        <x:v>0.449</x:v>
      </x:c>
      <x:c r="J136" t="n">
        <x:v>0.753</x:v>
      </x:c>
      <x:c r="K136" t="n">
        <x:v>147</x:v>
      </x:c>
      <x:c r="L136" t="n">
        <x:v>75</x:v>
      </x:c>
      <x:c r="M136" t="n">
        <x:v>2086</x:v>
      </x:c>
      <x:c r="N136" t="n">
        <x:v>102</x:v>
      </x:c>
      <x:c r="O136" t="n">
        <x:v>0.15126050420168066</x:v>
      </x:c>
      <x:c r="P136" t="n">
        <x:v>0.04089219330855019</x:v>
      </x:c>
      <x:c r="Q136" t="n">
        <x:v>139.9159663865546</x:v>
      </x:c>
      <x:c r="R136" t="n">
        <x:v>185.811376343366</x:v>
      </x:c>
      <x:c r="S136" t="n">
        <x:v>319.0420168067227</x:v>
      </x:c>
      <x:c r="T136" t="n">
        <x:v>710.5612846474893</x:v>
      </x:c>
      <x:c r="U136" t="n">
        <x:v>85.3011152416357</x:v>
      </x:c>
      <x:c r="V136" t="n">
        <x:v>1879.6455358789708</x:v>
      </x:c>
      <x:c r="W136" t="n">
        <x:v>25.061940478386276</x:v>
      </x:c>
      <x:c r="X136" t="str">
        <x:v>https://www.fantasypros.com/nba/projections/overall.php</x:v>
      </x:c>
    </x:row>
    <x:row r="137">
      <x:c r="A137" t="str">
        <x:v>Kingston Flemings</x:v>
      </x:c>
      <x:c r="B137" t="str">
        <x:v>ATL</x:v>
      </x:c>
      <x:c r="C137" t="str">
        <x:v>PG/SG</x:v>
      </x:c>
      <x:c r="D137" t="n">
        <x:v>909</x:v>
      </x:c>
      <x:c r="E137" t="n">
        <x:v>184</x:v>
      </x:c>
      <x:c r="F137" t="n">
        <x:v>297</x:v>
      </x:c>
      <x:c r="G137" t="n">
        <x:v>24</x:v>
      </x:c>
      <x:c r="H137" t="n">
        <x:v>88</x:v>
      </x:c>
      <x:c r="I137" t="n">
        <x:v>0.441</x:v>
      </x:c>
      <x:c r="J137" t="n">
        <x:v>0.794</x:v>
      </x:c>
      <x:c r="K137" t="n">
        <x:v>96</x:v>
      </x:c>
      <x:c r="L137" t="n">
        <x:v>75</x:v>
      </x:c>
      <x:c r="M137" t="n">
        <x:v>1908</x:v>
      </x:c>
      <x:c r="N137" t="n">
        <x:v>151</x:v>
      </x:c>
      <x:c r="O137" t="n">
        <x:v>0.19</x:v>
      </x:c>
      <x:c r="P137" t="n">
        <x:v>0.02</x:v>
      </x:c>
      <x:c r="Q137" t="n">
        <x:v>172.71</x:v>
      </x:c>
      <x:c r="R137" t="n">
        <x:v>217.51889168765743</x:v>
      </x:c>
      <x:c r="S137" t="n">
        <x:v>320.145</x:v>
      </x:c>
      <x:c r="T137" t="n">
        <x:v>725.9523809523808</x:v>
      </x:c>
      <x:c r="U137" t="n">
        <x:v>38.160000000000004</x:v>
      </x:c>
      <x:c r="V137" t="n">
        <x:v>1663.0587273599617</x:v>
      </x:c>
      <x:c r="W137" t="n">
        <x:v>22.174116364799488</x:v>
      </x:c>
      <x:c r="X137" t="str">
        <x:v>https://www.fantasypros.com/nba/projections/overall.php</x:v>
      </x:c>
    </x:row>
    <x:row r="138">
      <x:c r="A138" t="str">
        <x:v>Kyshawn George</x:v>
      </x:c>
      <x:c r="B138" t="str">
        <x:v>WAS</x:v>
      </x:c>
      <x:c r="C138" t="str">
        <x:v>PF/SF/SG</x:v>
      </x:c>
      <x:c r="D138" t="n">
        <x:v>872</x:v>
      </x:c>
      <x:c r="E138" t="n">
        <x:v>335</x:v>
      </x:c>
      <x:c r="F138" t="n">
        <x:v>258</x:v>
      </x:c>
      <x:c r="G138" t="n">
        <x:v>59</x:v>
      </x:c>
      <x:c r="H138" t="n">
        <x:v>69</x:v>
      </x:c>
      <x:c r="I138" t="n">
        <x:v>0.425</x:v>
      </x:c>
      <x:c r="J138" t="n">
        <x:v>0.788</x:v>
      </x:c>
      <x:c r="K138" t="n">
        <x:v>127</x:v>
      </x:c>
      <x:c r="L138" t="n">
        <x:v>72</x:v>
      </x:c>
      <x:c r="M138" t="n">
        <x:v>2053</x:v>
      </x:c>
      <x:c r="N138" t="n">
        <x:v>153</x:v>
      </x:c>
      <x:c r="O138" t="n">
        <x:v>0.18</x:v>
      </x:c>
      <x:c r="P138" t="n">
        <x:v>0.05</x:v>
      </x:c>
      <x:c r="Q138" t="n">
        <x:v>156.96</x:v>
      </x:c>
      <x:c r="R138" t="n">
        <x:v>199.18781725888326</x:v>
      </x:c>
      <x:c r="S138" t="n">
        <x:v>294.02</x:v>
      </x:c>
      <x:c r="T138" t="n">
        <x:v>691.8117647058823</x:v>
      </x:c>
      <x:c r="U138" t="n">
        <x:v>102.65</x:v>
      </x:c>
      <x:c r="V138" t="n">
        <x:v>1857.7604180352346</x:v>
      </x:c>
      <x:c r="W138" t="n">
        <x:v>25.802228028267148</x:v>
      </x:c>
      <x:c r="X138" t="str">
        <x:v>https://www.fantasypros.com/nba/projections/overall.php</x:v>
      </x:c>
    </x:row>
    <x:row r="139">
      <x:c r="A139" t="str">
        <x:v>Josh Hart</x:v>
      </x:c>
      <x:c r="B139" t="str">
        <x:v>NYK</x:v>
      </x:c>
      <x:c r="C139" t="str">
        <x:v>SF/SG</x:v>
      </x:c>
      <x:c r="D139" t="n">
        <x:v>884</x:v>
      </x:c>
      <x:c r="E139" t="n">
        <x:v>604</x:v>
      </x:c>
      <x:c r="F139" t="n">
        <x:v>365</x:v>
      </x:c>
      <x:c r="G139" t="n">
        <x:v>24</x:v>
      </x:c>
      <x:c r="H139" t="n">
        <x:v>93</x:v>
      </x:c>
      <x:c r="I139" t="n">
        <x:v>0.506</x:v>
      </x:c>
      <x:c r="J139" t="n">
        <x:v>0.741</x:v>
      </x:c>
      <x:c r="K139" t="n">
        <x:v>100</x:v>
      </x:c>
      <x:c r="L139" t="n">
        <x:v>73</x:v>
      </x:c>
      <x:c r="M139" t="n">
        <x:v>2385</x:v>
      </x:c>
      <x:c r="N139" t="n">
        <x:v>144</x:v>
      </x:c>
      <x:c r="O139" t="n">
        <x:v>0.11666666666666665</x:v>
      </x:c>
      <x:c r="P139" t="n">
        <x:v>0.046357615894039736</x:v>
      </x:c>
      <x:c r="Q139" t="n">
        <x:v>103.13333333333333</x:v>
      </x:c>
      <x:c r="R139" t="n">
        <x:v>139.1812865497076</x:v>
      </x:c>
      <x:c r="S139" t="n">
        <x:v>340.43333333333334</x:v>
      </x:c>
      <x:c r="T139" t="n">
        <x:v>672.7931488801054</x:v>
      </x:c>
      <x:c r="U139" t="n">
        <x:v>110.56291390728477</x:v>
      </x:c>
      <x:c r="V139" t="n">
        <x:v>2365.78472571809</x:v>
      </x:c>
      <x:c r="W139" t="n">
        <x:v>32.4080099413437</x:v>
      </x:c>
      <x:c r="X139" t="str">
        <x:v>https://www.fantasypros.com/nba/projections/overall.php</x:v>
      </x:c>
    </x:row>
    <x:row r="140">
      <x:c r="A140" t="str">
        <x:v>Max Christie</x:v>
      </x:c>
      <x:c r="B140" t="str">
        <x:v>DAL</x:v>
      </x:c>
      <x:c r="C140" t="str">
        <x:v>SG/SF</x:v>
      </x:c>
      <x:c r="D140" t="n">
        <x:v>934</x:v>
      </x:c>
      <x:c r="E140" t="n">
        <x:v>262</x:v>
      </x:c>
      <x:c r="F140" t="n">
        <x:v>165</x:v>
      </x:c>
      <x:c r="G140" t="n">
        <x:v>31</x:v>
      </x:c>
      <x:c r="H140" t="n">
        <x:v>54</x:v>
      </x:c>
      <x:c r="I140" t="n">
        <x:v>0.44</x:v>
      </x:c>
      <x:c r="J140" t="n">
        <x:v>0.885</x:v>
      </x:c>
      <x:c r="K140" t="n">
        <x:v>167</x:v>
      </x:c>
      <x:c r="L140" t="n">
        <x:v>78</x:v>
      </x:c>
      <x:c r="M140" t="n">
        <x:v>2403</x:v>
      </x:c>
      <x:c r="N140" t="n">
        <x:v>95</x:v>
      </x:c>
      <x:c r="O140" t="n">
        <x:v>0.18</x:v>
      </x:c>
      <x:c r="P140" t="n">
        <x:v>0.035</x:v>
      </x:c>
      <x:c r="Q140" t="n">
        <x:v>168.12</x:v>
      </x:c>
      <x:c r="R140" t="n">
        <x:v>189.96610169491527</x:v>
      </x:c>
      <x:c r="S140" t="n">
        <x:v>299.44</x:v>
      </x:c>
      <x:c r="T140" t="n">
        <x:v>680.5454545454545</x:v>
      </x:c>
      <x:c r="U140" t="n">
        <x:v>84.105</x:v>
      </x:c>
      <x:c r="V140" t="n">
        <x:v>1807.8184437596303</x:v>
      </x:c>
      <x:c r="W140" t="n">
        <x:v>23.177159535379875</x:v>
      </x:c>
      <x:c r="X140" t="str">
        <x:v>https://www.fantasypros.com/nba/projections/overall.php</x:v>
      </x:c>
    </x:row>
    <x:row r="141">
      <x:c r="A141" t="str">
        <x:v>Christian Braun</x:v>
      </x:c>
      <x:c r="B141" t="str">
        <x:v>DEN</x:v>
      </x:c>
      <x:c r="C141" t="str">
        <x:v>PF/SF/SG</x:v>
      </x:c>
      <x:c r="D141" t="n">
        <x:v>853</x:v>
      </x:c>
      <x:c r="E141" t="n">
        <x:v>322</x:v>
      </x:c>
      <x:c r="F141" t="n">
        <x:v>166</x:v>
      </x:c>
      <x:c r="G141" t="n">
        <x:v>29</x:v>
      </x:c>
      <x:c r="H141" t="n">
        <x:v>54</x:v>
      </x:c>
      <x:c r="I141" t="n">
        <x:v>0.536</x:v>
      </x:c>
      <x:c r="J141" t="n">
        <x:v>0.795</x:v>
      </x:c>
      <x:c r="K141" t="n">
        <x:v>68</x:v>
      </x:c>
      <x:c r="L141" t="n">
        <x:v>72</x:v>
      </x:c>
      <x:c r="M141" t="n">
        <x:v>2189</x:v>
      </x:c>
      <x:c r="N141" t="n">
        <x:v>60</x:v>
      </x:c>
      <x:c r="O141" t="n">
        <x:v>0.18</x:v>
      </x:c>
      <x:c r="P141" t="n">
        <x:v>0.05</x:v>
      </x:c>
      <x:c r="Q141" t="n">
        <x:v>153.54</x:v>
      </x:c>
      <x:c r="R141" t="n">
        <x:v>193.1320754716981</x:v>
      </x:c>
      <x:c r="S141" t="n">
        <x:v>315.73</x:v>
      </x:c>
      <x:c r="T141" t="n">
        <x:v>589.0485074626865</x:v>
      </x:c>
      <x:c r="U141" t="n">
        <x:v>109.45</x:v>
      </x:c>
      <x:c r="V141" t="n">
        <x:v>1898.7594170656155</x:v>
      </x:c>
      <x:c r="W141" t="n">
        <x:v>26.37165857035577</x:v>
      </x:c>
      <x:c r="X141" t="str">
        <x:v>https://www.fantasypros.com/nba/projections/overall.php</x:v>
      </x:c>
    </x:row>
    <x:row r="142">
      <x:c r="A142" t="str">
        <x:v>Jakob Poeltl</x:v>
      </x:c>
      <x:c r="B142" t="str">
        <x:v>TOR</x:v>
      </x:c>
      <x:c r="C142" t="str">
        <x:v>C</x:v>
      </x:c>
      <x:c r="D142" t="n">
        <x:v>858</x:v>
      </x:c>
      <x:c r="E142" t="n">
        <x:v>582</x:v>
      </x:c>
      <x:c r="F142" t="n">
        <x:v>168</x:v>
      </x:c>
      <x:c r="G142" t="n">
        <x:v>77</x:v>
      </x:c>
      <x:c r="H142" t="n">
        <x:v>67</x:v>
      </x:c>
      <x:c r="I142" t="n">
        <x:v>0.659</x:v>
      </x:c>
      <x:c r="J142" t="n">
        <x:v>0.628</x:v>
      </x:c>
      <x:c r="K142" t="n">
        <x:v>0</x:v>
      </x:c>
      <x:c r="L142" t="n">
        <x:v>72</x:v>
      </x:c>
      <x:c r="M142" t="n">
        <x:v>1959</x:v>
      </x:c>
      <x:c r="N142" t="n">
        <x:v>109</x:v>
      </x:c>
      <x:c r="O142" t="n">
        <x:v>0.12149532710280375</x:v>
      </x:c>
      <x:c r="P142" t="n">
        <x:v>0.1</x:v>
      </x:c>
      <x:c r="Q142" t="n">
        <x:v>104.24299065420561</x:v>
      </x:c>
      <x:c r="R142" t="n">
        <x:v>165.99202333472232</x:v>
      </x:c>
      <x:c r="S142" t="n">
        <x:v>376.8785046728972</x:v>
      </x:c>
      <x:c r="T142" t="n">
        <x:v>571.8945442684327</x:v>
      </x:c>
      <x:c r="U142" t="n">
        <x:v>195.9</x:v>
      </x:c>
      <x:c r="V142" t="n">
        <x:v>2339.6564230510508</x:v>
      </x:c>
      <x:c r="W142" t="n">
        <x:v>32.49522809793126</x:v>
      </x:c>
      <x:c r="X142" t="str">
        <x:v>https://www.fantasypros.com/nba/projections/overall.php</x:v>
      </x:c>
    </x:row>
    <x:row r="143">
      <x:c r="A143" t="str">
        <x:v>Grayson Allen</x:v>
      </x:c>
      <x:c r="B143" t="str">
        <x:v>CHA</x:v>
      </x:c>
      <x:c r="C143" t="str">
        <x:v>PG/SF/SG</x:v>
      </x:c>
      <x:c r="D143" t="n">
        <x:v>839</x:v>
      </x:c>
      <x:c r="E143" t="n">
        <x:v>180</x:v>
      </x:c>
      <x:c r="F143" t="n">
        <x:v>181</x:v>
      </x:c>
      <x:c r="G143" t="n">
        <x:v>17</x:v>
      </x:c>
      <x:c r="H143" t="n">
        <x:v>61</x:v>
      </x:c>
      <x:c r="I143" t="n">
        <x:v>0.417</x:v>
      </x:c>
      <x:c r="J143" t="n">
        <x:v>0.847</x:v>
      </x:c>
      <x:c r="K143" t="n">
        <x:v>173</x:v>
      </x:c>
      <x:c r="L143" t="n">
        <x:v>71</x:v>
      </x:c>
      <x:c r="M143" t="n">
        <x:v>1631</x:v>
      </x:c>
      <x:c r="N143" t="n">
        <x:v>84</x:v>
      </x:c>
      <x:c r="O143" t="n">
        <x:v>0.18</x:v>
      </x:c>
      <x:c r="P143" t="n">
        <x:v>0.035</x:v>
      </x:c>
      <x:c r="Q143" t="n">
        <x:v>151.01999999999998</x:v>
      </x:c>
      <x:c r="R143" t="n">
        <x:v>178.29988193624555</x:v>
      </x:c>
      <x:c r="S143" t="n">
        <x:v>257.49</x:v>
      </x:c>
      <x:c r="T143" t="n">
        <x:v>617.4820143884892</x:v>
      </x:c>
      <x:c r="U143" t="n">
        <x:v>57.08500000000001</x:v>
      </x:c>
      <x:c r="V143" t="n">
        <x:v>1578.4081036752652</x:v>
      </x:c>
      <x:c r="W143" t="n">
        <x:v>22.231100051764297</x:v>
      </x:c>
      <x:c r="X143" t="str">
        <x:v>https://www.fantasypros.com/nba/projections/overall.php</x:v>
      </x:c>
    </x:row>
    <x:row r="144">
      <x:c r="A144" t="str">
        <x:v>Egor Demin</x:v>
      </x:c>
      <x:c r="B144" t="str">
        <x:v>BKN</x:v>
      </x:c>
      <x:c r="C144" t="str">
        <x:v>PG/SG</x:v>
      </x:c>
      <x:c r="D144" t="n">
        <x:v>882</x:v>
      </x:c>
      <x:c r="E144" t="n">
        <x:v>261</x:v>
      </x:c>
      <x:c r="F144" t="n">
        <x:v>273</x:v>
      </x:c>
      <x:c r="G144" t="n">
        <x:v>27</x:v>
      </x:c>
      <x:c r="H144" t="n">
        <x:v>65</x:v>
      </x:c>
      <x:c r="I144" t="n">
        <x:v>0.422</x:v>
      </x:c>
      <x:c r="J144" t="n">
        <x:v>0.835</x:v>
      </x:c>
      <x:c r="K144" t="n">
        <x:v>196</x:v>
      </x:c>
      <x:c r="L144" t="n">
        <x:v>75</x:v>
      </x:c>
      <x:c r="M144" t="n">
        <x:v>2148</x:v>
      </x:c>
      <x:c r="N144" t="n">
        <x:v>136</x:v>
      </x:c>
      <x:c r="O144" t="n">
        <x:v>0.19</x:v>
      </x:c>
      <x:c r="P144" t="n">
        <x:v>0.02</x:v>
      </x:c>
      <x:c r="Q144" t="n">
        <x:v>167.58</x:v>
      </x:c>
      <x:c r="R144" t="n">
        <x:v>200.69461077844315</x:v>
      </x:c>
      <x:c r="S144" t="n">
        <x:v>259.21</x:v>
      </x:c>
      <x:c r="T144" t="n">
        <x:v>614.2417061611374</x:v>
      </x:c>
      <x:c r="U144" t="n">
        <x:v>42.96</x:v>
      </x:c>
      <x:c r="V144" t="n">
        <x:v>1771.5636830604196</x:v>
      </x:c>
      <x:c r="W144" t="n">
        <x:v>23.62084910747226</x:v>
      </x:c>
      <x:c r="X144" t="str">
        <x:v>https://www.fantasypros.com/nba/projections/overall.php</x:v>
      </x:c>
    </x:row>
    <x:row r="145">
      <x:c r="A145" t="str">
        <x:v>Scoot Henderson</x:v>
      </x:c>
      <x:c r="B145" t="str">
        <x:v>POR</x:v>
      </x:c>
      <x:c r="C145" t="str">
        <x:v>PG/SG</x:v>
      </x:c>
      <x:c r="D145" t="n">
        <x:v>848</x:v>
      </x:c>
      <x:c r="E145" t="n">
        <x:v>179</x:v>
      </x:c>
      <x:c r="F145" t="n">
        <x:v>267</x:v>
      </x:c>
      <x:c r="G145" t="n">
        <x:v>18</x:v>
      </x:c>
      <x:c r="H145" t="n">
        <x:v>62</x:v>
      </x:c>
      <x:c r="I145" t="n">
        <x:v>0.418</x:v>
      </x:c>
      <x:c r="J145" t="n">
        <x:v>0.805</x:v>
      </x:c>
      <x:c r="K145" t="n">
        <x:v>109</x:v>
      </x:c>
      <x:c r="L145" t="n">
        <x:v>72</x:v>
      </x:c>
      <x:c r="M145" t="n">
        <x:v>1696</x:v>
      </x:c>
      <x:c r="N145" t="n">
        <x:v>162</x:v>
      </x:c>
      <x:c r="O145" t="n">
        <x:v>0.19</x:v>
      </x:c>
      <x:c r="P145" t="n">
        <x:v>0.02</x:v>
      </x:c>
      <x:c r="Q145" t="n">
        <x:v>161.12</x:v>
      </x:c>
      <x:c r="R145" t="n">
        <x:v>200.14906832298135</x:v>
      </x:c>
      <x:c r="S145" t="n">
        <x:v>288.94</x:v>
      </x:c>
      <x:c r="T145" t="n">
        <x:v>691.244019138756</x:v>
      </x:c>
      <x:c r="U145" t="n">
        <x:v>33.92</x:v>
      </x:c>
      <x:c r="V145" t="n">
        <x:v>1440.0669125382626</x:v>
      </x:c>
      <x:c r="W145" t="n">
        <x:v>20.000929340809204</x:v>
      </x:c>
      <x:c r="X145" t="str">
        <x:v>https://www.fantasypros.com/nba/projections/overall.php</x:v>
      </x:c>
    </x:row>
    <x:row r="146">
      <x:c r="A146" t="str">
        <x:v>Dyson Daniels</x:v>
      </x:c>
      <x:c r="B146" t="str">
        <x:v>ATL</x:v>
      </x:c>
      <x:c r="C146" t="str">
        <x:v>PG/SF/SG</x:v>
      </x:c>
      <x:c r="D146" t="n">
        <x:v>901</x:v>
      </x:c>
      <x:c r="E146" t="n">
        <x:v>464</x:v>
      </x:c>
      <x:c r="F146" t="n">
        <x:v>399</x:v>
      </x:c>
      <x:c r="G146" t="n">
        <x:v>35</x:v>
      </x:c>
      <x:c r="H146" t="n">
        <x:v>159</x:v>
      </x:c>
      <x:c r="I146" t="n">
        <x:v>0.507</x:v>
      </x:c>
      <x:c r="J146" t="n">
        <x:v>0.607</x:v>
      </x:c>
      <x:c r="K146" t="n">
        <x:v>38</x:v>
      </x:c>
      <x:c r="L146" t="n">
        <x:v>77</x:v>
      </x:c>
      <x:c r="M146" t="n">
        <x:v>2530</x:v>
      </x:c>
      <x:c r="N146" t="n">
        <x:v>132</x:v>
      </x:c>
      <x:c r="O146" t="n">
        <x:v>0.08403361344537814</x:v>
      </x:c>
      <x:c r="P146" t="n">
        <x:v>0.07228915662650602</x:v>
      </x:c>
      <x:c r="Q146" t="n">
        <x:v>75.71428571428571</x:v>
      </x:c>
      <x:c r="R146" t="n">
        <x:v>124.73523181925158</x:v>
      </x:c>
      <x:c r="S146" t="n">
        <x:v>393.64285714285717</x:v>
      </x:c>
      <x:c r="T146" t="n">
        <x:v>776.4158918005072</x:v>
      </x:c>
      <x:c r="U146" t="n">
        <x:v>182.89156626506022</x:v>
      </x:c>
      <x:c r="V146" t="n">
        <x:v>2511.3462946246473</x:v>
      </x:c>
      <x:c r="W146" t="n">
        <x:v>32.61488694317724</x:v>
      </x:c>
      <x:c r="X146" t="str">
        <x:v>https://www.fantasypros.com/nba/projections/overall.php</x:v>
      </x:c>
    </x:row>
    <x:row r="147">
      <x:c r="A147" t="str">
        <x:v>Anthony Black</x:v>
      </x:c>
      <x:c r="B147" t="str">
        <x:v>ORL</x:v>
      </x:c>
      <x:c r="C147" t="str">
        <x:v>PG/SG/SF</x:v>
      </x:c>
      <x:c r="D147" t="n">
        <x:v>860</x:v>
      </x:c>
      <x:c r="E147" t="n">
        <x:v>243</x:v>
      </x:c>
      <x:c r="F147" t="n">
        <x:v>226</x:v>
      </x:c>
      <x:c r="G147" t="n">
        <x:v>45</x:v>
      </x:c>
      <x:c r="H147" t="n">
        <x:v>91</x:v>
      </x:c>
      <x:c r="I147" t="n">
        <x:v>0.442</x:v>
      </x:c>
      <x:c r="J147" t="n">
        <x:v>0.737</x:v>
      </x:c>
      <x:c r="K147" t="n">
        <x:v>84</x:v>
      </x:c>
      <x:c r="L147" t="n">
        <x:v>74</x:v>
      </x:c>
      <x:c r="M147" t="n">
        <x:v>1917</x:v>
      </x:c>
      <x:c r="N147" t="n">
        <x:v>126</x:v>
      </x:c>
      <x:c r="O147" t="n">
        <x:v>0.18</x:v>
      </x:c>
      <x:c r="P147" t="n">
        <x:v>0.035</x:v>
      </x:c>
      <x:c r="Q147" t="n">
        <x:v>154.79999999999998</x:v>
      </x:c>
      <x:c r="R147" t="n">
        <x:v>210.0407055630936</x:v>
      </x:c>
      <x:c r="S147" t="n">
        <x:v>310.6</x:v>
      </x:c>
      <x:c r="T147" t="n">
        <x:v>702.7149321266969</x:v>
      </x:c>
      <x:c r="U147" t="n">
        <x:v>67.09500000000001</x:v>
      </x:c>
      <x:c r="V147" t="n">
        <x:v>1675.7343623102095</x:v>
      </x:c>
      <x:c r="W147" t="n">
        <x:v>22.645058950137965</x:v>
      </x:c>
      <x:c r="X147" t="str">
        <x:v>https://www.fantasypros.com/nba/projections/overall.php</x:v>
      </x:c>
    </x:row>
    <x:row r="148">
      <x:c r="A148" t="str">
        <x:v>Kyle Kuzma</x:v>
      </x:c>
      <x:c r="B148" t="str">
        <x:v>MIL</x:v>
      </x:c>
      <x:c r="C148" t="str">
        <x:v>SF/PF</x:v>
      </x:c>
      <x:c r="D148" t="n">
        <x:v>851</x:v>
      </x:c>
      <x:c r="E148" t="n">
        <x:v>301</x:v>
      </x:c>
      <x:c r="F148" t="n">
        <x:v>164</x:v>
      </x:c>
      <x:c r="G148" t="n">
        <x:v>25</x:v>
      </x:c>
      <x:c r="H148" t="n">
        <x:v>39</x:v>
      </x:c>
      <x:c r="I148" t="n">
        <x:v>0.465</x:v>
      </x:c>
      <x:c r="J148" t="n">
        <x:v>0.697</x:v>
      </x:c>
      <x:c r="K148" t="n">
        <x:v>80</x:v>
      </x:c>
      <x:c r="L148" t="n">
        <x:v>73</x:v>
      </x:c>
      <x:c r="M148" t="n">
        <x:v>1791</x:v>
      </x:c>
      <x:c r="N148" t="n">
        <x:v>120</x:v>
      </x:c>
      <x:c r="O148" t="n">
        <x:v>0.18</x:v>
      </x:c>
      <x:c r="P148" t="n">
        <x:v>0.05</x:v>
      </x:c>
      <x:c r="Q148" t="n">
        <x:v>153.18</x:v>
      </x:c>
      <x:c r="R148" t="n">
        <x:v>219.7704447632712</x:v>
      </x:c>
      <x:c r="S148" t="n">
        <x:v>308.90999999999997</x:v>
      </x:c>
      <x:c r="T148" t="n">
        <x:v>664.3225806451612</x:v>
      </x:c>
      <x:c r="U148" t="n">
        <x:v>89.55000000000001</x:v>
      </x:c>
      <x:c r="V148" t="n">
        <x:v>1572.6869745915674</x:v>
      </x:c>
      <x:c r="W148" t="n">
        <x:v>21.543657186185854</x:v>
      </x:c>
      <x:c r="X148" t="str">
        <x:v>https://www.fantasypros.com/nba/projections/overall.php</x:v>
      </x:c>
    </x:row>
    <x:row r="149">
      <x:c r="A149" t="str">
        <x:v>Nic Claxton</x:v>
      </x:c>
      <x:c r="B149" t="str">
        <x:v>CHI</x:v>
      </x:c>
      <x:c r="C149" t="str">
        <x:v>C</x:v>
      </x:c>
      <x:c r="D149" t="n">
        <x:v>854</x:v>
      </x:c>
      <x:c r="E149" t="n">
        <x:v>500</x:v>
      </x:c>
      <x:c r="F149" t="n">
        <x:v>238</x:v>
      </x:c>
      <x:c r="G149" t="n">
        <x:v>92</x:v>
      </x:c>
      <x:c r="H149" t="n">
        <x:v>50</x:v>
      </x:c>
      <x:c r="I149" t="n">
        <x:v>0.587</x:v>
      </x:c>
      <x:c r="J149" t="n">
        <x:v>0.591</x:v>
      </x:c>
      <x:c r="K149" t="n">
        <x:v>6</x:v>
      </x:c>
      <x:c r="L149" t="n">
        <x:v>74</x:v>
      </x:c>
      <x:c r="M149" t="n">
        <x:v>2031</x:v>
      </x:c>
      <x:c r="N149" t="n">
        <x:v>95</x:v>
      </x:c>
      <x:c r="O149" t="n">
        <x:v>0.17094017094017094</x:v>
      </x:c>
      <x:c r="P149" t="n">
        <x:v>0.08633093525179855</x:v>
      </x:c>
      <x:c r="Q149" t="n">
        <x:v>145.98290598290598</x:v>
      </x:c>
      <x:c r="R149" t="n">
        <x:v>247.0099932028866</x:v>
      </x:c>
      <x:c r="S149" t="n">
        <x:v>351.008547008547</x:v>
      </x:c>
      <x:c r="T149" t="n">
        <x:v>597.97026747623</x:v>
      </x:c>
      <x:c r="U149" t="n">
        <x:v>175.33812949640287</x:v>
      </x:c>
      <x:c r="V149" t="n">
        <x:v>2264.6789042965947</x:v>
      </x:c>
      <x:c r="W149" t="n">
        <x:v>30.60376897698101</x:v>
      </x:c>
      <x:c r="X149" t="str">
        <x:v>https://www.fantasypros.com/nba/projections/overall.php</x:v>
      </x:c>
    </x:row>
    <x:row r="150">
      <x:c r="A150" t="str">
        <x:v>Duncan Robinson</x:v>
      </x:c>
      <x:c r="B150" t="str">
        <x:v>DET</x:v>
      </x:c>
      <x:c r="C150" t="str">
        <x:v>SG/SF</x:v>
      </x:c>
      <x:c r="D150" t="n">
        <x:v>879</x:v>
      </x:c>
      <x:c r="E150" t="n">
        <x:v>192</x:v>
      </x:c>
      <x:c r="F150" t="n">
        <x:v>161</x:v>
      </x:c>
      <x:c r="G150" t="n">
        <x:v>15</x:v>
      </x:c>
      <x:c r="H150" t="n">
        <x:v>47</x:v>
      </x:c>
      <x:c r="I150" t="n">
        <x:v>0.452</x:v>
      </x:c>
      <x:c r="J150" t="n">
        <x:v>0.776</x:v>
      </x:c>
      <x:c r="K150" t="n">
        <x:v>205</x:v>
      </x:c>
      <x:c r="L150" t="n">
        <x:v>77</x:v>
      </x:c>
      <x:c r="M150" t="n">
        <x:v>1969</x:v>
      </x:c>
      <x:c r="N150" t="n">
        <x:v>67</x:v>
      </x:c>
      <x:c r="O150" t="n">
        <x:v>0.18</x:v>
      </x:c>
      <x:c r="P150" t="n">
        <x:v>0.035</x:v>
      </x:c>
      <x:c r="Q150" t="n">
        <x:v>158.22</x:v>
      </x:c>
      <x:c r="R150" t="n">
        <x:v>203.89175257731958</x:v>
      </x:c>
      <x:c r="S150" t="n">
        <x:v>257.89</x:v>
      </x:c>
      <x:c r="T150" t="n">
        <x:v>570.5530973451326</x:v>
      </x:c>
      <x:c r="U150" t="n">
        <x:v>68.915</x:v>
      </x:c>
      <x:c r="V150" t="n">
        <x:v>1695.6051500775475</x:v>
      </x:c>
      <x:c r="W150" t="n">
        <x:v>22.020846104903214</x:v>
      </x:c>
      <x:c r="X150" t="str">
        <x:v>https://www.fantasypros.com/nba/projections/overall.php</x:v>
      </x:c>
    </x:row>
    <x:row r="151">
      <x:c r="A151" t="str">
        <x:v>Kelly Oubre Jr.</x:v>
      </x:c>
      <x:c r="B151" t="str">
        <x:v>IND</x:v>
      </x:c>
      <x:c r="C151" t="str">
        <x:v>PF/SF/SG</x:v>
      </x:c>
      <x:c r="D151" t="n">
        <x:v>832</x:v>
      </x:c>
      <x:c r="E151" t="n">
        <x:v>307</x:v>
      </x:c>
      <x:c r="F151" t="n">
        <x:v>100</x:v>
      </x:c>
      <x:c r="G151" t="n">
        <x:v>31</x:v>
      </x:c>
      <x:c r="H151" t="n">
        <x:v>67</x:v>
      </x:c>
      <x:c r="I151" t="n">
        <x:v>0.484</x:v>
      </x:c>
      <x:c r="J151" t="n">
        <x:v>0.758</x:v>
      </x:c>
      <x:c r="K151" t="n">
        <x:v>80</x:v>
      </x:c>
      <x:c r="L151" t="n">
        <x:v>73</x:v>
      </x:c>
      <x:c r="M151" t="n">
        <x:v>1872</x:v>
      </x:c>
      <x:c r="N151" t="n">
        <x:v>71</x:v>
      </x:c>
      <x:c r="O151" t="n">
        <x:v>0.18</x:v>
      </x:c>
      <x:c r="P151" t="n">
        <x:v>0.05</x:v>
      </x:c>
      <x:c r="Q151" t="n">
        <x:v>149.76</x:v>
      </x:c>
      <x:c r="R151" t="n">
        <x:v>197.5725593667546</x:v>
      </x:c>
      <x:c r="S151" t="n">
        <x:v>301.12</x:v>
      </x:c>
      <x:c r="T151" t="n">
        <x:v>622.1487603305785</x:v>
      </x:c>
      <x:c r="U151" t="n">
        <x:v>93.60000000000001</x:v>
      </x:c>
      <x:c r="V151" t="n">
        <x:v>1676.7386803026668</x:v>
      </x:c>
      <x:c r="W151" t="n">
        <x:v>22.96902301784475</x:v>
      </x:c>
      <x:c r="X151" t="str">
        <x:v>https://www.fantasypros.com/nba/projections/overall.php</x:v>
      </x:c>
    </x:row>
    <x:row r="152">
      <x:c r="A152" t="str">
        <x:v>Zach Edey</x:v>
      </x:c>
      <x:c r="B152" t="str">
        <x:v>MEM</x:v>
      </x:c>
      <x:c r="C152" t="str">
        <x:v>C</x:v>
      </x:c>
      <x:c r="D152" t="n">
        <x:v>801</x:v>
      </x:c>
      <x:c r="E152" t="n">
        <x:v>642</x:v>
      </x:c>
      <x:c r="F152" t="n">
        <x:v>83</x:v>
      </x:c>
      <x:c r="G152" t="n">
        <x:v>106</x:v>
      </x:c>
      <x:c r="H152" t="n">
        <x:v>44</x:v>
      </x:c>
      <x:c r="I152" t="n">
        <x:v>0.595</x:v>
      </x:c>
      <x:c r="J152" t="n">
        <x:v>0.736</x:v>
      </x:c>
      <x:c r="K152" t="n">
        <x:v>17</x:v>
      </x:c>
      <x:c r="L152" t="n">
        <x:v>70</x:v>
      </x:c>
      <x:c r="M152" t="n">
        <x:v>1813</x:v>
      </x:c>
      <x:c r="N152" t="n">
        <x:v>131</x:v>
      </x:c>
      <x:c r="O152" t="n">
        <x:v>0.1691176470588235</x:v>
      </x:c>
      <x:c r="P152" t="n">
        <x:v>0.1511627906976744</x:v>
      </x:c>
      <x:c r="Q152" t="n">
        <x:v>135.46323529411762</x:v>
      </x:c>
      <x:c r="R152" t="n">
        <x:v>184.0533088235294</x:v>
      </x:c>
      <x:c r="S152" t="n">
        <x:v>324.2683823529412</x:v>
      </x:c>
      <x:c r="T152" t="n">
        <x:v>544.9888779041029</x:v>
      </x:c>
      <x:c r="U152" t="n">
        <x:v>274.0581395348837</x:v>
      </x:c>
      <x:c r="V152" t="n">
        <x:v>2308.037327636253</x:v>
      </x:c>
      <x:c r="W152" t="n">
        <x:v>32.97196182337504</x:v>
      </x:c>
      <x:c r="X152" t="str">
        <x:v>https://www.fantasypros.com/nba/projections/overall.php</x:v>
      </x:c>
    </x:row>
    <x:row r="153">
      <x:c r="A153" t="str">
        <x:v>Nikola Vucevic</x:v>
      </x:c>
      <x:c r="B153" t="str">
        <x:v>ORL</x:v>
      </x:c>
      <x:c r="C153" t="str">
        <x:v>C</x:v>
      </x:c>
      <x:c r="D153" t="n">
        <x:v>857</x:v>
      </x:c>
      <x:c r="E153" t="n">
        <x:v>501</x:v>
      </x:c>
      <x:c r="F153" t="n">
        <x:v>164</x:v>
      </x:c>
      <x:c r="G153" t="n">
        <x:v>40</x:v>
      </x:c>
      <x:c r="H153" t="n">
        <x:v>44</x:v>
      </x:c>
      <x:c r="I153" t="n">
        <x:v>0.501</x:v>
      </x:c>
      <x:c r="J153" t="n">
        <x:v>0.814</x:v>
      </x:c>
      <x:c r="K153" t="n">
        <x:v>71</x:v>
      </x:c>
      <x:c r="L153" t="n">
        <x:v>75</x:v>
      </x:c>
      <x:c r="M153" t="n">
        <x:v>1695</x:v>
      </x:c>
      <x:c r="N153" t="n">
        <x:v>76</x:v>
      </x:c>
      <x:c r="O153" t="n">
        <x:v>0.07947019867549669</x:v>
      </x:c>
      <x:c r="P153" t="n">
        <x:v>0.07042253521126761</x:v>
      </x:c>
      <x:c r="Q153" t="n">
        <x:v>68.10596026490066</x:v>
      </x:c>
      <x:c r="R153" t="n">
        <x:v>83.66825585368632</x:v>
      </x:c>
      <x:c r="S153" t="n">
        <x:v>358.94701986754967</x:v>
      </x:c>
      <x:c r="T153" t="n">
        <x:v>716.4611175000991</x:v>
      </x:c>
      <x:c r="U153" t="n">
        <x:v>119.36619718309859</x:v>
      </x:c>
      <x:c r="V153" t="n">
        <x:v>1963.7089812773124</x:v>
      </x:c>
      <x:c r="W153" t="n">
        <x:v>26.182786417030833</x:v>
      </x:c>
      <x:c r="X153" t="str">
        <x:v>https://www.fantasypros.com/nba/projections/overall.php</x:v>
      </x:c>
    </x:row>
    <x:row r="154">
      <x:c r="A154" t="str">
        <x:v>De'Anthony Melton</x:v>
      </x:c>
      <x:c r="B154" t="str">
        <x:v>GSW</x:v>
      </x:c>
      <x:c r="C154" t="str">
        <x:v>PG/SG</x:v>
      </x:c>
      <x:c r="D154" t="n">
        <x:v>823</x:v>
      </x:c>
      <x:c r="E154" t="n">
        <x:v>224</x:v>
      </x:c>
      <x:c r="F154" t="n">
        <x:v>173</x:v>
      </x:c>
      <x:c r="G154" t="n">
        <x:v>27</x:v>
      </x:c>
      <x:c r="H154" t="n">
        <x:v>109</x:v>
      </x:c>
      <x:c r="I154" t="n">
        <x:v>0.398</x:v>
      </x:c>
      <x:c r="J154" t="n">
        <x:v>0.817</x:v>
      </x:c>
      <x:c r="K154" t="n">
        <x:v>106</x:v>
      </x:c>
      <x:c r="L154" t="n">
        <x:v>72</x:v>
      </x:c>
      <x:c r="M154" t="n">
        <x:v>1575</x:v>
      </x:c>
      <x:c r="N154" t="n">
        <x:v>122</x:v>
      </x:c>
      <x:c r="O154" t="n">
        <x:v>0.19</x:v>
      </x:c>
      <x:c r="P154" t="n">
        <x:v>0.02</x:v>
      </x:c>
      <x:c r="Q154" t="n">
        <x:v>156.37</x:v>
      </x:c>
      <x:c r="R154" t="n">
        <x:v>191.39534883720933</x:v>
      </x:c>
      <x:c r="S154" t="n">
        <x:v>280.315</x:v>
      </x:c>
      <x:c r="T154" t="n">
        <x:v>704.3090452261306</x:v>
      </x:c>
      <x:c r="U154" t="n">
        <x:v>31.5</x:v>
      </x:c>
      <x:c r="V154" t="n">
        <x:v>1467.66560593666</x:v>
      </x:c>
      <x:c r="W154" t="n">
        <x:v>20.38424452689806</x:v>
      </x:c>
      <x:c r="X154" t="str">
        <x:v>https://www.fantasypros.com/nba/projections/overall.php</x:v>
      </x:c>
    </x:row>
    <x:row r="155">
      <x:c r="A155" t="str">
        <x:v>Walker Kessler</x:v>
      </x:c>
      <x:c r="B155" t="str">
        <x:v>LAL</x:v>
      </x:c>
      <x:c r="C155" t="str">
        <x:v>C</x:v>
      </x:c>
      <x:c r="D155" t="n">
        <x:v>817</x:v>
      </x:c>
      <x:c r="E155" t="n">
        <x:v>825</x:v>
      </x:c>
      <x:c r="F155" t="n">
        <x:v>118</x:v>
      </x:c>
      <x:c r="G155" t="n">
        <x:v>158</x:v>
      </x:c>
      <x:c r="H155" t="n">
        <x:v>53</x:v>
      </x:c>
      <x:c r="I155" t="n">
        <x:v>0.681</x:v>
      </x:c>
      <x:c r="J155" t="n">
        <x:v>0.536</x:v>
      </x:c>
      <x:c r="K155" t="n">
        <x:v>11</x:v>
      </x:c>
      <x:c r="L155" t="n">
        <x:v>72</x:v>
      </x:c>
      <x:c r="M155" t="n">
        <x:v>2213</x:v>
      </x:c>
      <x:c r="N155" t="n">
        <x:v>105</x:v>
      </x:c>
      <x:c r="O155" t="n">
        <x:v>0.12612612612612611</x:v>
      </x:c>
      <x:c r="P155" t="n">
        <x:v>0.15333333333333332</x:v>
      </x:c>
      <x:c r="Q155" t="n">
        <x:v>103.04504504504503</x:v>
      </x:c>
      <x:c r="R155" t="n">
        <x:v>192.24821836762132</x:v>
      </x:c>
      <x:c r="S155" t="n">
        <x:v>351.47747747747746</x:v>
      </x:c>
      <x:c r="T155" t="n">
        <x:v>516.1196438729478</x:v>
      </x:c>
      <x:c r="U155" t="n">
        <x:v>339.32666666666665</x:v>
      </x:c>
      <x:c r="V155" t="n">
        <x:v>2842.330516137809</x:v>
      </x:c>
      <x:c r="W155" t="n">
        <x:v>39.47681272413624</x:v>
      </x:c>
      <x:c r="X155" t="str">
        <x:v>https://www.fantasypros.com/nba/projections/overall.php</x:v>
      </x:c>
    </x:row>
  </x:sheetData>
  <x:mergeCells>
    <x:mergeCell ref="A1:K1"/>
    <x:mergeCell ref="A2:K3"/>
  </x:mergeCells>
  <x:pageMargins left="0.7" right="0.7" top="0.75" bottom="0.75" header="0.3" footer="0.3"/>
  <x:tableParts count="1">
    <x:tablePart xmlns:r="http://schemas.openxmlformats.org/officeDocument/2006/relationships" r:id="Raf6457045dd048fc"/>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40" hidden="0" customWidth="1"/>
  </x:cols>
  <x:sheetData>
    <x:row r="1" ht="30" customHeight="1">
      <x:c r="A1" s="95" t="str">
        <x:v>HASHTAG BASKETBALL INPUTS | 2026–27 | DRAFT-DAY REFRESH</x:v>
      </x:c>
      <x:c r="B1" s="95"/>
      <x:c r="C1" s="95"/>
      <x:c r="D1" s="95"/>
      <x:c r="E1" s="95"/>
      <x:c r="F1" s="95"/>
      <x:c r="G1" s="95"/>
      <x:c r="H1" s="95"/>
      <x:c r="I1" s="95"/>
      <x:c r="J1" s="95"/>
      <x:c r="K1" s="95"/>
      <x:c r="L1" s="95"/>
      <x:c r="M1" s="95"/>
      <x:c r="N1" s="95"/>
      <x:c r="O1" s="95"/>
      <x:c r="P1" s="95"/>
      <x:c r="Q1" s="95"/>
      <x:c r="R1" s="95"/>
    </x:row>
    <x:row r="2" ht="23" customHeight="1">
      <x:c r="A2" s="131" t="str">
        <x:v>Retrieved Oct. 10, 2026 • public projection page updated Oct. 6 • visible top-30 cross-check • custom-scored under this league's settings</x:v>
      </x:c>
      <x:c r="B2" s="131"/>
      <x:c r="C2" s="131"/>
      <x:c r="D2" s="131"/>
      <x:c r="E2" s="131"/>
      <x:c r="F2" s="131"/>
      <x:c r="G2" s="131"/>
      <x:c r="H2" s="131"/>
      <x:c r="I2" s="131"/>
      <x:c r="J2" s="131"/>
      <x:c r="K2" s="131"/>
      <x:c r="L2" s="131"/>
      <x:c r="M2" s="131"/>
      <x:c r="N2" s="131"/>
      <x:c r="O2" s="131"/>
      <x:c r="P2" s="131"/>
      <x:c r="Q2" s="131"/>
      <x:c r="R2" s="131"/>
    </x:row>
    <x:row r="3" ht="23" customHeight="1">
      <x:c r="A3" s="42"/>
      <x:c r="B3" s="42"/>
      <x:c r="C3" s="42"/>
      <x:c r="D3" s="42"/>
      <x:c r="E3" s="42"/>
      <x:c r="F3" s="42"/>
      <x:c r="G3" s="42"/>
      <x:c r="H3" s="42"/>
      <x:c r="I3" s="42"/>
      <x:c r="J3" s="42"/>
      <x:c r="K3" s="42"/>
      <x:c r="L3" s="7"/>
      <x:c r="M3" s="7"/>
      <x:c r="N3" s="7"/>
      <x:c r="O3" s="7"/>
      <x:c r="P3" s="7"/>
      <x:c r="Q3" s="7"/>
      <x:c r="R3" s="7"/>
    </x:row>
    <x:row r="5" ht="36" customHeight="1">
      <x:c r="A5" s="134" t="str">
        <x:v>Player</x:v>
      </x:c>
      <x:c r="B5" s="134" t="str">
        <x:v>GP</x:v>
      </x:c>
      <x:c r="C5" s="134" t="str">
        <x:v>MIN</x:v>
      </x:c>
      <x:c r="D5" s="134" t="str">
        <x:v>FGM</x:v>
      </x:c>
      <x:c r="E5" s="134" t="str">
        <x:v>FGA</x:v>
      </x:c>
      <x:c r="F5" s="134" t="str">
        <x:v>FTM</x:v>
      </x:c>
      <x:c r="G5" s="134" t="str">
        <x:v>FTA</x:v>
      </x:c>
      <x:c r="H5" s="134" t="str">
        <x:v>3PM</x:v>
      </x:c>
      <x:c r="I5" s="134" t="str">
        <x:v>PTS</x:v>
      </x:c>
      <x:c r="J5" s="134" t="str">
        <x:v>REB</x:v>
      </x:c>
      <x:c r="K5" s="134" t="str">
        <x:v>AST</x:v>
      </x:c>
      <x:c r="L5" s="134" t="str">
        <x:v>STL</x:v>
      </x:c>
      <x:c r="M5" s="134" t="str">
        <x:v>BLK</x:v>
      </x:c>
      <x:c r="N5" s="134" t="str">
        <x:v>TO</x:v>
      </x:c>
      <x:c r="O5" s="134" t="str">
        <x:v>OREB/MIN</x:v>
      </x:c>
      <x:c r="P5" s="134" t="str">
        <x:v>Est OREB</x:v>
      </x:c>
      <x:c r="Q5" s="134" t="str">
        <x:v>Custom FP/G</x:v>
      </x:c>
      <x:c r="R5" s="134" t="str">
        <x:v>Source</x:v>
      </x:c>
    </x:row>
    <x:row r="6" ht="22" customHeight="1">
      <x:c r="A6" t="str">
        <x:v>Nikola Jokic</x:v>
      </x:c>
      <x:c r="B6" t="n">
        <x:v>72</x:v>
      </x:c>
      <x:c r="C6" s="22" t="n">
        <x:v>35.1</x:v>
      </x:c>
      <x:c r="D6" s="22" t="n">
        <x:v>10.5</x:v>
      </x:c>
      <x:c r="E6" s="22" t="n">
        <x:v>18.3</x:v>
      </x:c>
      <x:c r="F6" s="22" t="n">
        <x:v>5.6</x:v>
      </x:c>
      <x:c r="G6" s="22" t="n">
        <x:v>6.8</x:v>
      </x:c>
      <x:c r="H6" s="22" t="n">
        <x:v>1.8</x:v>
      </x:c>
      <x:c r="I6" s="22" t="n">
        <x:v>28.4</x:v>
      </x:c>
      <x:c r="J6" s="22" t="n">
        <x:v>12.7</x:v>
      </x:c>
      <x:c r="K6" s="22" t="n">
        <x:v>10.4</x:v>
      </x:c>
      <x:c r="L6" s="22" t="n">
        <x:v>1.6</x:v>
      </x:c>
      <x:c r="M6" s="22" t="n">
        <x:v>0.7</x:v>
      </x:c>
      <x:c r="N6" s="22" t="n">
        <x:v>3.5</x:v>
      </x:c>
      <x:c r="O6" s="24" t="n">
        <x:v>0.08620689655172414</x:v>
      </x:c>
      <x:c r="P6" s="22" t="n">
        <x:v>3.0258620689655173</x:v>
      </x:c>
      <x:c r="Q6" s="22" t="n">
        <x:v>68.90172413793101</x:v>
      </x:c>
      <x:c r="R6" t="str">
        <x:v>https://hashtagbasketball.com/fantasy-basketball-projections</x:v>
      </x:c>
    </x:row>
    <x:row r="7" ht="22" customHeight="1">
      <x:c r="A7" t="str">
        <x:v>Victor Wembanyama</x:v>
      </x:c>
      <x:c r="B7" t="n">
        <x:v>66</x:v>
      </x:c>
      <x:c r="C7" s="22" t="n">
        <x:v>30.4</x:v>
      </x:c>
      <x:c r="D7" s="22" t="n">
        <x:v>9.2</x:v>
      </x:c>
      <x:c r="E7" s="22" t="n">
        <x:v>18.3</x:v>
      </x:c>
      <x:c r="F7" s="22" t="n">
        <x:v>5.1</x:v>
      </x:c>
      <x:c r="G7" s="22" t="n">
        <x:v>6.1</x:v>
      </x:c>
      <x:c r="H7" s="22" t="n">
        <x:v>2.2</x:v>
      </x:c>
      <x:c r="I7" s="22" t="n">
        <x:v>25.6</x:v>
      </x:c>
      <x:c r="J7" s="22" t="n">
        <x:v>11.8</x:v>
      </x:c>
      <x:c r="K7" s="22" t="n">
        <x:v>3.6</x:v>
      </x:c>
      <x:c r="L7" s="22" t="n">
        <x:v>1.1</x:v>
      </x:c>
      <x:c r="M7" s="22" t="n">
        <x:v>3.2</x:v>
      </x:c>
      <x:c r="N7" s="22" t="n">
        <x:v>2.9</x:v>
      </x:c>
      <x:c r="O7" s="24" t="n">
        <x:v>0.0684931506849315</x:v>
      </x:c>
      <x:c r="P7" s="22" t="n">
        <x:v>2.0821917808219177</x:v>
      </x:c>
      <x:c r="Q7" s="22" t="n">
        <x:v>54.56438356164384</x:v>
      </x:c>
      <x:c r="R7" t="str">
        <x:v>https://hashtagbasketball.com/fantasy-basketball-projections</x:v>
      </x:c>
    </x:row>
    <x:row r="8" ht="22" customHeight="1">
      <x:c r="A8" t="str">
        <x:v>Shai Gilgeous-Alexander</x:v>
      </x:c>
      <x:c r="B8" t="n">
        <x:v>71</x:v>
      </x:c>
      <x:c r="C8" s="22" t="n">
        <x:v>33.5</x:v>
      </x:c>
      <x:c r="D8" s="22" t="n">
        <x:v>11.1</x:v>
      </x:c>
      <x:c r="E8" s="22" t="n">
        <x:v>20.7</x:v>
      </x:c>
      <x:c r="F8" s="22" t="n">
        <x:v>8</x:v>
      </x:c>
      <x:c r="G8" s="22" t="n">
        <x:v>8.9</x:v>
      </x:c>
      <x:c r="H8" s="22" t="n">
        <x:v>1.9</x:v>
      </x:c>
      <x:c r="I8" s="22" t="n">
        <x:v>32.1</x:v>
      </x:c>
      <x:c r="J8" s="22" t="n">
        <x:v>4.7</x:v>
      </x:c>
      <x:c r="K8" s="22" t="n">
        <x:v>6.5</x:v>
      </x:c>
      <x:c r="L8" s="22" t="n">
        <x:v>1.6</x:v>
      </x:c>
      <x:c r="M8" s="22" t="n">
        <x:v>0.9</x:v>
      </x:c>
      <x:c r="N8" s="22" t="n">
        <x:v>2.3</x:v>
      </x:c>
      <x:c r="O8" s="24" t="n">
        <x:v>0.018072289156626505</x:v>
      </x:c>
      <x:c r="P8" s="22" t="n">
        <x:v>0.6054216867469879</x:v>
      </x:c>
      <x:c r="Q8" s="22" t="n">
        <x:v>58.21084337349399</x:v>
      </x:c>
      <x:c r="R8" t="str">
        <x:v>https://hashtagbasketball.com/fantasy-basketball-projections</x:v>
      </x:c>
    </x:row>
    <x:row r="9" ht="22" customHeight="1">
      <x:c r="A9" t="str">
        <x:v>Luka Doncic</x:v>
      </x:c>
      <x:c r="B9" t="n">
        <x:v>68</x:v>
      </x:c>
      <x:c r="C9" s="22" t="n">
        <x:v>35.4</x:v>
      </x:c>
      <x:c r="D9" s="22" t="n">
        <x:v>11</x:v>
      </x:c>
      <x:c r="E9" s="22" t="n">
        <x:v>23.5</x:v>
      </x:c>
      <x:c r="F9" s="22" t="n">
        <x:v>7.5</x:v>
      </x:c>
      <x:c r="G9" s="22" t="n">
        <x:v>9.6</x:v>
      </x:c>
      <x:c r="H9" s="22" t="n">
        <x:v>4.1</x:v>
      </x:c>
      <x:c r="I9" s="22" t="n">
        <x:v>33.6</x:v>
      </x:c>
      <x:c r="J9" s="22" t="n">
        <x:v>8.7</x:v>
      </x:c>
      <x:c r="K9" s="22" t="n">
        <x:v>9.1</x:v>
      </x:c>
      <x:c r="L9" s="22" t="n">
        <x:v>1.7</x:v>
      </x:c>
      <x:c r="M9" s="22" t="n">
        <x:v>0.5</x:v>
      </x:c>
      <x:c r="N9" s="22" t="n">
        <x:v>4</x:v>
      </x:c>
      <x:c r="O9" s="24" t="n">
        <x:v>0.01675977653631285</x:v>
      </x:c>
      <x:c r="P9" s="22" t="n">
        <x:v>0.5932960893854748</x:v>
      </x:c>
      <x:c r="Q9" s="22" t="n">
        <x:v>61.286592178770945</x:v>
      </x:c>
      <x:c r="R9" t="str">
        <x:v>https://hashtagbasketball.com/fantasy-basketball-projections</x:v>
      </x:c>
    </x:row>
    <x:row r="10" ht="22" customHeight="1">
      <x:c r="A10" t="str">
        <x:v>Giannis Antetokounmpo</x:v>
      </x:c>
      <x:c r="B10" t="n">
        <x:v>69</x:v>
      </x:c>
      <x:c r="C10" s="22" t="n">
        <x:v>34.2</x:v>
      </x:c>
      <x:c r="D10" s="22" t="n">
        <x:v>12.1</x:v>
      </x:c>
      <x:c r="E10" s="22" t="n">
        <x:v>19.9</x:v>
      </x:c>
      <x:c r="F10" s="22" t="n">
        <x:v>6.9</x:v>
      </x:c>
      <x:c r="G10" s="22" t="n">
        <x:v>11</x:v>
      </x:c>
      <x:c r="H10" s="22" t="n">
        <x:v>0.3</x:v>
      </x:c>
      <x:c r="I10" s="22" t="n">
        <x:v>31.4</x:v>
      </x:c>
      <x:c r="J10" s="22" t="n">
        <x:v>11.9</x:v>
      </x:c>
      <x:c r="K10" s="22" t="n">
        <x:v>6.5</x:v>
      </x:c>
      <x:c r="L10" s="22" t="n">
        <x:v>1</x:v>
      </x:c>
      <x:c r="M10" s="22" t="n">
        <x:v>1.1</x:v>
      </x:c>
      <x:c r="N10" s="22" t="n">
        <x:v>3.3</x:v>
      </x:c>
      <x:c r="O10" s="24" t="n">
        <x:v>0.0934256055363322</x:v>
      </x:c>
      <x:c r="P10" s="22" t="n">
        <x:v>3.1951557093425613</x:v>
      </x:c>
      <x:c r="Q10" s="22" t="n">
        <x:v>63.89031141868512</x:v>
      </x:c>
      <x:c r="R10" t="str">
        <x:v>https://hashtagbasketball.com/fantasy-basketball-projections</x:v>
      </x:c>
    </x:row>
    <x:row r="11" ht="22" customHeight="1">
      <x:c r="A11" t="str">
        <x:v>Cade Cunningham</x:v>
      </x:c>
      <x:c r="B11" t="n">
        <x:v>68</x:v>
      </x:c>
      <x:c r="C11" s="22" t="n">
        <x:v>33.9</x:v>
      </x:c>
      <x:c r="D11" s="22" t="n">
        <x:v>9.2</x:v>
      </x:c>
      <x:c r="E11" s="22" t="n">
        <x:v>19.7</x:v>
      </x:c>
      <x:c r="F11" s="22" t="n">
        <x:v>4.6</x:v>
      </x:c>
      <x:c r="G11" s="22" t="n">
        <x:v>5.6</x:v>
      </x:c>
      <x:c r="H11" s="22" t="n">
        <x:v>2</x:v>
      </x:c>
      <x:c r="I11" s="22" t="n">
        <x:v>25</x:v>
      </x:c>
      <x:c r="J11" s="22" t="n">
        <x:v>5.8</x:v>
      </x:c>
      <x:c r="K11" s="22" t="n">
        <x:v>9.8</x:v>
      </x:c>
      <x:c r="L11" s="22" t="n">
        <x:v>1.3</x:v>
      </x:c>
      <x:c r="M11" s="22" t="n">
        <x:v>0.8</x:v>
      </x:c>
      <x:c r="N11" s="22" t="n">
        <x:v>4.1</x:v>
      </x:c>
      <x:c r="O11" s="24" t="n">
        <x:v>0.026548672566371685</x:v>
      </x:c>
      <x:c r="P11" s="22" t="n">
        <x:v>0.9</x:v>
      </x:c>
      <x:c r="Q11" s="22" t="n">
        <x:v>47.20000000000002</x:v>
      </x:c>
      <x:c r="R11" t="str">
        <x:v>https://hashtagbasketball.com/fantasy-basketball-projections</x:v>
      </x:c>
    </x:row>
    <x:row r="12" ht="22" customHeight="1">
      <x:c r="A12" t="str">
        <x:v>Jayson Tatum</x:v>
      </x:c>
      <x:c r="B12" t="n">
        <x:v>68</x:v>
      </x:c>
      <x:c r="C12" s="22" t="n">
        <x:v>33.7</x:v>
      </x:c>
      <x:c r="D12" s="22" t="n">
        <x:v>9</x:v>
      </x:c>
      <x:c r="E12" s="22" t="n">
        <x:v>19.4</x:v>
      </x:c>
      <x:c r="F12" s="22" t="n">
        <x:v>4.8</x:v>
      </x:c>
      <x:c r="G12" s="22" t="n">
        <x:v>5.8</x:v>
      </x:c>
      <x:c r="H12" s="22" t="n">
        <x:v>3.3</x:v>
      </x:c>
      <x:c r="I12" s="22" t="n">
        <x:v>26.1</x:v>
      </x:c>
      <x:c r="J12" s="22" t="n">
        <x:v>8.8</x:v>
      </x:c>
      <x:c r="K12" s="22" t="n">
        <x:v>6.1</x:v>
      </x:c>
      <x:c r="L12" s="22" t="n">
        <x:v>1.2</x:v>
      </x:c>
      <x:c r="M12" s="22" t="n">
        <x:v>0.5</x:v>
      </x:c>
      <x:c r="N12" s="22" t="n">
        <x:v>2.8</x:v>
      </x:c>
      <x:c r="O12" s="24" t="n">
        <x:v>0.015337423312883436</x:v>
      </x:c>
      <x:c r="P12" s="22" t="n">
        <x:v>0.5168711656441718</x:v>
      </x:c>
      <x:c r="Q12" s="22" t="n">
        <x:v>48.33374233128834</x:v>
      </x:c>
      <x:c r="R12" t="str">
        <x:v>https://hashtagbasketball.com/fantasy-basketball-projections</x:v>
      </x:c>
    </x:row>
    <x:row r="13" ht="22" customHeight="1">
      <x:c r="A13" t="str">
        <x:v>Anthony Edwards</x:v>
      </x:c>
      <x:c r="B13" t="n">
        <x:v>74</x:v>
      </x:c>
      <x:c r="C13" s="22" t="n">
        <x:v>35.3</x:v>
      </x:c>
      <x:c r="D13" s="22" t="n">
        <x:v>9.7</x:v>
      </x:c>
      <x:c r="E13" s="22" t="n">
        <x:v>20</x:v>
      </x:c>
      <x:c r="F13" s="22" t="n">
        <x:v>5.4</x:v>
      </x:c>
      <x:c r="G13" s="22" t="n">
        <x:v>6.6</x:v>
      </x:c>
      <x:c r="H13" s="22" t="n">
        <x:v>3.7</x:v>
      </x:c>
      <x:c r="I13" s="22" t="n">
        <x:v>28.7</x:v>
      </x:c>
      <x:c r="J13" s="22" t="n">
        <x:v>5.6</x:v>
      </x:c>
      <x:c r="K13" s="22" t="n">
        <x:v>3.5</x:v>
      </x:c>
      <x:c r="L13" s="22" t="n">
        <x:v>1.2</x:v>
      </x:c>
      <x:c r="M13" s="22" t="n">
        <x:v>0.7</x:v>
      </x:c>
      <x:c r="N13" s="22" t="n">
        <x:v>3</x:v>
      </x:c>
      <x:c r="O13" s="24" t="n">
        <x:v>0.017142857142857144</x:v>
      </x:c>
      <x:c r="P13" s="22" t="n">
        <x:v>0.6051428571428571</x:v>
      </x:c>
      <x:c r="Q13" s="22" t="n">
        <x:v>45.510285714285715</x:v>
      </x:c>
      <x:c r="R13" t="str">
        <x:v>https://hashtagbasketball.com/fantasy-basketball-projections</x:v>
      </x:c>
    </x:row>
    <x:row r="14" ht="22" customHeight="1">
      <x:c r="A14" t="str">
        <x:v>Tyrese Maxey</x:v>
      </x:c>
      <x:c r="B14" t="n">
        <x:v>70</x:v>
      </x:c>
      <x:c r="C14" s="22" t="n">
        <x:v>36.1</x:v>
      </x:c>
      <x:c r="D14" s="22" t="n">
        <x:v>8.4</x:v>
      </x:c>
      <x:c r="E14" s="22" t="n">
        <x:v>18.2</x:v>
      </x:c>
      <x:c r="F14" s="22" t="n">
        <x:v>4.6</x:v>
      </x:c>
      <x:c r="G14" s="22" t="n">
        <x:v>5.2</x:v>
      </x:c>
      <x:c r="H14" s="22" t="n">
        <x:v>2.8</x:v>
      </x:c>
      <x:c r="I14" s="22" t="n">
        <x:v>24.2</x:v>
      </x:c>
      <x:c r="J14" s="22" t="n">
        <x:v>3.4</x:v>
      </x:c>
      <x:c r="K14" s="22" t="n">
        <x:v>5.8</x:v>
      </x:c>
      <x:c r="L14" s="22" t="n">
        <x:v>1.8</x:v>
      </x:c>
      <x:c r="M14" s="22" t="n">
        <x:v>0.5</x:v>
      </x:c>
      <x:c r="N14" s="22" t="n">
        <x:v>2.2</x:v>
      </x:c>
      <x:c r="O14" s="24" t="n">
        <x:v>0.007894736842105263</x:v>
      </x:c>
      <x:c r="P14" s="22" t="n">
        <x:v>0.28500000000000003</x:v>
      </x:c>
      <x:c r="Q14" s="22" t="n">
        <x:v>42.22000000000001</x:v>
      </x:c>
      <x:c r="R14" t="str">
        <x:v>https://hashtagbasketball.com/fantasy-basketball-projections</x:v>
      </x:c>
    </x:row>
    <x:row r="15" ht="22" customHeight="1">
      <x:c r="A15" t="str">
        <x:v>Stephen Curry</x:v>
      </x:c>
      <x:c r="B15" t="n">
        <x:v>60</x:v>
      </x:c>
      <x:c r="C15" s="22" t="n">
        <x:v>31.6</x:v>
      </x:c>
      <x:c r="D15" s="22" t="n">
        <x:v>8.4</x:v>
      </x:c>
      <x:c r="E15" s="22" t="n">
        <x:v>18.3</x:v>
      </x:c>
      <x:c r="F15" s="22" t="n">
        <x:v>4.3</x:v>
      </x:c>
      <x:c r="G15" s="22" t="n">
        <x:v>4.6</x:v>
      </x:c>
      <x:c r="H15" s="22" t="n">
        <x:v>4.4</x:v>
      </x:c>
      <x:c r="I15" s="22" t="n">
        <x:v>25.4</x:v>
      </x:c>
      <x:c r="J15" s="22" t="n">
        <x:v>3.6</x:v>
      </x:c>
      <x:c r="K15" s="22" t="n">
        <x:v>5.2</x:v>
      </x:c>
      <x:c r="L15" s="22" t="n">
        <x:v>1</x:v>
      </x:c>
      <x:c r="M15" s="22" t="n">
        <x:v>0.4</x:v>
      </x:c>
      <x:c r="N15" s="22" t="n">
        <x:v>2.9</x:v>
      </x:c>
      <x:c r="O15" s="24" t="n">
        <x:v>0.012944983818770227</x:v>
      </x:c>
      <x:c r="P15" s="22" t="n">
        <x:v>0.4090614886731392</x:v>
      </x:c>
      <x:c r="Q15" s="22" t="n">
        <x:v>41.318122977346285</x:v>
      </x:c>
      <x:c r="R15" t="str">
        <x:v>https://hashtagbasketball.com/fantasy-basketball-projections</x:v>
      </x:c>
    </x:row>
    <x:row r="16" ht="22" customHeight="1">
      <x:c r="A16" t="str">
        <x:v>Kevin Durant</x:v>
      </x:c>
      <x:c r="B16" t="n">
        <x:v>70</x:v>
      </x:c>
      <x:c r="C16" s="22" t="n">
        <x:v>34.6</x:v>
      </x:c>
      <x:c r="D16" s="22" t="n">
        <x:v>8.8</x:v>
      </x:c>
      <x:c r="E16" s="22" t="n">
        <x:v>16.8</x:v>
      </x:c>
      <x:c r="F16" s="22" t="n">
        <x:v>4.8</x:v>
      </x:c>
      <x:c r="G16" s="22" t="n">
        <x:v>5.6</x:v>
      </x:c>
      <x:c r="H16" s="22" t="n">
        <x:v>2.3</x:v>
      </x:c>
      <x:c r="I16" s="22" t="n">
        <x:v>24.7</x:v>
      </x:c>
      <x:c r="J16" s="22" t="n">
        <x:v>5.4</x:v>
      </x:c>
      <x:c r="K16" s="22" t="n">
        <x:v>4.3</x:v>
      </x:c>
      <x:c r="L16" s="22" t="n">
        <x:v>0.8</x:v>
      </x:c>
      <x:c r="M16" s="22" t="n">
        <x:v>1</x:v>
      </x:c>
      <x:c r="N16" s="22" t="n">
        <x:v>2.9</x:v>
      </x:c>
      <x:c r="O16" s="24" t="n">
        <x:v>0.013736263736263736</x:v>
      </x:c>
      <x:c r="P16" s="22" t="n">
        <x:v>0.4752747252747253</x:v>
      </x:c>
      <x:c r="Q16" s="22" t="n">
        <x:v>41.900549450549455</x:v>
      </x:c>
      <x:c r="R16" t="str">
        <x:v>https://hashtagbasketball.com/fantasy-basketball-projections</x:v>
      </x:c>
    </x:row>
    <x:row r="17" ht="22" customHeight="1">
      <x:c r="A17" t="str">
        <x:v>Donovan Mitchell</x:v>
      </x:c>
      <x:c r="B17" t="n">
        <x:v>72</x:v>
      </x:c>
      <x:c r="C17" s="22" t="n">
        <x:v>33.4</x:v>
      </x:c>
      <x:c r="D17" s="22" t="n">
        <x:v>9.3</x:v>
      </x:c>
      <x:c r="E17" s="22" t="n">
        <x:v>20.1</x:v>
      </x:c>
      <x:c r="F17" s="22" t="n">
        <x:v>4.9</x:v>
      </x:c>
      <x:c r="G17" s="22" t="n">
        <x:v>5.8</x:v>
      </x:c>
      <x:c r="H17" s="22" t="n">
        <x:v>3.3</x:v>
      </x:c>
      <x:c r="I17" s="22" t="n">
        <x:v>26.9</x:v>
      </x:c>
      <x:c r="J17" s="22" t="n">
        <x:v>4.7</x:v>
      </x:c>
      <x:c r="K17" s="22" t="n">
        <x:v>5.4</x:v>
      </x:c>
      <x:c r="L17" s="22" t="n">
        <x:v>1.5</x:v>
      </x:c>
      <x:c r="M17" s="22" t="n">
        <x:v>0.3</x:v>
      </x:c>
      <x:c r="N17" s="22" t="n">
        <x:v>2.6</x:v>
      </x:c>
      <x:c r="O17" s="24" t="n">
        <x:v>0.0208955223880597</x:v>
      </x:c>
      <x:c r="P17" s="22" t="n">
        <x:v>0.6979104477611939</x:v>
      </x:c>
      <x:c r="Q17" s="22" t="n">
        <x:v>45.1458208955224</x:v>
      </x:c>
      <x:c r="R17" t="str">
        <x:v>https://hashtagbasketball.com/fantasy-basketball-projections</x:v>
      </x:c>
    </x:row>
    <x:row r="18" ht="22" customHeight="1">
      <x:c r="A18" t="str">
        <x:v>Karl-Anthony Towns</x:v>
      </x:c>
      <x:c r="B18" t="n">
        <x:v>73</x:v>
      </x:c>
      <x:c r="C18" s="22" t="n">
        <x:v>31.3</x:v>
      </x:c>
      <x:c r="D18" s="22" t="n">
        <x:v>7.6</x:v>
      </x:c>
      <x:c r="E18" s="22" t="n">
        <x:v>14.7</x:v>
      </x:c>
      <x:c r="F18" s="22" t="n">
        <x:v>4.6</x:v>
      </x:c>
      <x:c r="G18" s="22" t="n">
        <x:v>5.4</x:v>
      </x:c>
      <x:c r="H18" s="22" t="n">
        <x:v>1.7</x:v>
      </x:c>
      <x:c r="I18" s="22" t="n">
        <x:v>21.3</x:v>
      </x:c>
      <x:c r="J18" s="22" t="n">
        <x:v>11.8</x:v>
      </x:c>
      <x:c r="K18" s="22" t="n">
        <x:v>3.5</x:v>
      </x:c>
      <x:c r="L18" s="22" t="n">
        <x:v>0.9</x:v>
      </x:c>
      <x:c r="M18" s="22" t="n">
        <x:v>0.6</x:v>
      </x:c>
      <x:c r="N18" s="22" t="n">
        <x:v>2.5</x:v>
      </x:c>
      <x:c r="O18" s="24" t="n">
        <x:v>0.1</x:v>
      </x:c>
      <x:c r="P18" s="22" t="n">
        <x:v>3.1300000000000003</x:v>
      </x:c>
      <x:c r="Q18" s="22" t="n">
        <x:v>48.309999999999995</x:v>
      </x:c>
      <x:c r="R18" t="str">
        <x:v>https://hashtagbasketball.com/fantasy-basketball-projections</x:v>
      </x:c>
    </x:row>
    <x:row r="19" ht="22" customHeight="1">
      <x:c r="A19" t="str">
        <x:v>Jamal Murray</x:v>
      </x:c>
      <x:c r="B19" t="n">
        <x:v>73</x:v>
      </x:c>
      <x:c r="C19" s="22" t="n">
        <x:v>34.8</x:v>
      </x:c>
      <x:c r="D19" s="22" t="n">
        <x:v>8.2</x:v>
      </x:c>
      <x:c r="E19" s="22" t="n">
        <x:v>17.2</x:v>
      </x:c>
      <x:c r="F19" s="22" t="n">
        <x:v>3.9</x:v>
      </x:c>
      <x:c r="G19" s="22" t="n">
        <x:v>4.4</x:v>
      </x:c>
      <x:c r="H19" s="22" t="n">
        <x:v>2.8</x:v>
      </x:c>
      <x:c r="I19" s="22" t="n">
        <x:v>23.2</x:v>
      </x:c>
      <x:c r="J19" s="22" t="n">
        <x:v>4.1</x:v>
      </x:c>
      <x:c r="K19" s="22" t="n">
        <x:v>6.5</x:v>
      </x:c>
      <x:c r="L19" s="22" t="n">
        <x:v>1.1</x:v>
      </x:c>
      <x:c r="M19" s="22" t="n">
        <x:v>0.4</x:v>
      </x:c>
      <x:c r="N19" s="22" t="n">
        <x:v>2.1</x:v>
      </x:c>
      <x:c r="O19" s="24" t="n">
        <x:v>0.01129943502824859</x:v>
      </x:c>
      <x:c r="P19" s="22" t="n">
        <x:v>0.39322033898305087</x:v>
      </x:c>
      <x:c r="Q19" s="22" t="n">
        <x:v>41.8364406779661</x:v>
      </x:c>
      <x:c r="R19" t="str">
        <x:v>https://hashtagbasketball.com/fantasy-basketball-projections</x:v>
      </x:c>
    </x:row>
    <x:row r="20" ht="22" customHeight="1">
      <x:c r="A20" t="str">
        <x:v>Jalen Johnson</x:v>
      </x:c>
      <x:c r="B20" t="n">
        <x:v>72</x:v>
      </x:c>
      <x:c r="C20" s="22" t="n">
        <x:v>35.1</x:v>
      </x:c>
      <x:c r="D20" s="22" t="n">
        <x:v>8.1</x:v>
      </x:c>
      <x:c r="E20" s="22" t="n">
        <x:v>16.8</x:v>
      </x:c>
      <x:c r="F20" s="22" t="n">
        <x:v>3.7</x:v>
      </x:c>
      <x:c r="G20" s="22" t="n">
        <x:v>4.7</x:v>
      </x:c>
      <x:c r="H20" s="22" t="n">
        <x:v>1.5</x:v>
      </x:c>
      <x:c r="I20" s="22" t="n">
        <x:v>21.4</x:v>
      </x:c>
      <x:c r="J20" s="22" t="n">
        <x:v>10.2</x:v>
      </x:c>
      <x:c r="K20" s="22" t="n">
        <x:v>6.9</x:v>
      </x:c>
      <x:c r="L20" s="22" t="n">
        <x:v>1.4</x:v>
      </x:c>
      <x:c r="M20" s="22" t="n">
        <x:v>0.6</x:v>
      </x:c>
      <x:c r="N20" s="22" t="n">
        <x:v>3.3</x:v>
      </x:c>
      <x:c r="O20" s="24" t="n">
        <x:v>0.039772727272727265</x:v>
      </x:c>
      <x:c r="P20" s="22" t="n">
        <x:v>1.396022727272727</x:v>
      </x:c>
      <x:c r="Q20" s="22" t="n">
        <x:v>45.44204545454544</x:v>
      </x:c>
      <x:c r="R20" t="str">
        <x:v>https://hashtagbasketball.com/fantasy-basketball-projections</x:v>
      </x:c>
    </x:row>
    <x:row r="21" ht="22" customHeight="1">
      <x:c r="A21" t="str">
        <x:v>Kawhi Leonard</x:v>
      </x:c>
      <x:c r="B21" t="n">
        <x:v>58</x:v>
      </x:c>
      <x:c r="C21" s="22" t="n">
        <x:v>31.1</x:v>
      </x:c>
      <x:c r="D21" s="22" t="n">
        <x:v>8.6</x:v>
      </x:c>
      <x:c r="E21" s="22" t="n">
        <x:v>17.5</x:v>
      </x:c>
      <x:c r="F21" s="22" t="n">
        <x:v>4.4</x:v>
      </x:c>
      <x:c r="G21" s="22" t="n">
        <x:v>5</x:v>
      </x:c>
      <x:c r="H21" s="22" t="n">
        <x:v>2.2</x:v>
      </x:c>
      <x:c r="I21" s="22" t="n">
        <x:v>23.7</x:v>
      </x:c>
      <x:c r="J21" s="22" t="n">
        <x:v>5</x:v>
      </x:c>
      <x:c r="K21" s="22" t="n">
        <x:v>3</x:v>
      </x:c>
      <x:c r="L21" s="22" t="n">
        <x:v>1.7</x:v>
      </x:c>
      <x:c r="M21" s="22" t="n">
        <x:v>0.4</x:v>
      </x:c>
      <x:c r="N21" s="22" t="n">
        <x:v>1.9</x:v>
      </x:c>
      <x:c r="O21" s="24" t="n">
        <x:v>0.034267912772585674</x:v>
      </x:c>
      <x:c r="P21" s="22" t="n">
        <x:v>1.0657320872274145</x:v>
      </x:c>
      <x:c r="Q21" s="22" t="n">
        <x:v>41.23146417445483</x:v>
      </x:c>
      <x:c r="R21" t="str">
        <x:v>https://hashtagbasketball.com/fantasy-basketball-projections</x:v>
      </x:c>
    </x:row>
    <x:row r="22" ht="22" customHeight="1">
      <x:c r="A22" t="str">
        <x:v>Cooper Flagg</x:v>
      </x:c>
      <x:c r="B22" t="n">
        <x:v>72</x:v>
      </x:c>
      <x:c r="C22" s="22" t="n">
        <x:v>34.1</x:v>
      </x:c>
      <x:c r="D22" s="22" t="n">
        <x:v>8.8</x:v>
      </x:c>
      <x:c r="E22" s="22" t="n">
        <x:v>18.5</x:v>
      </x:c>
      <x:c r="F22" s="22" t="n">
        <x:v>4.4</x:v>
      </x:c>
      <x:c r="G22" s="22" t="n">
        <x:v>5.3</x:v>
      </x:c>
      <x:c r="H22" s="22" t="n">
        <x:v>1.3</x:v>
      </x:c>
      <x:c r="I22" s="22" t="n">
        <x:v>23.3</x:v>
      </x:c>
      <x:c r="J22" s="22" t="n">
        <x:v>7.3</x:v>
      </x:c>
      <x:c r="K22" s="22" t="n">
        <x:v>4.9</x:v>
      </x:c>
      <x:c r="L22" s="22" t="n">
        <x:v>1.3</x:v>
      </x:c>
      <x:c r="M22" s="22" t="n">
        <x:v>1</x:v>
      </x:c>
      <x:c r="N22" s="22" t="n">
        <x:v>2.2</x:v>
      </x:c>
      <x:c r="O22" s="24" t="n">
        <x:v>0.03582089552238806</x:v>
      </x:c>
      <x:c r="P22" s="22" t="n">
        <x:v>1.2214925373134329</x:v>
      </x:c>
      <x:c r="Q22" s="22" t="n">
        <x:v>43.99298507462687</x:v>
      </x:c>
      <x:c r="R22" t="str">
        <x:v>https://hashtagbasketball.com/fantasy-basketball-projections</x:v>
      </x:c>
    </x:row>
    <x:row r="23" ht="22" customHeight="1">
      <x:c r="A23" t="str">
        <x:v>Tyrese Haliburton</x:v>
      </x:c>
      <x:c r="B23" t="n">
        <x:v>60</x:v>
      </x:c>
      <x:c r="C23" s="22" t="n">
        <x:v>30.9</x:v>
      </x:c>
      <x:c r="D23" s="22" t="n">
        <x:v>6.1</x:v>
      </x:c>
      <x:c r="E23" s="22" t="n">
        <x:v>13</x:v>
      </x:c>
      <x:c r="F23" s="22" t="n">
        <x:v>2.4</x:v>
      </x:c>
      <x:c r="G23" s="22" t="n">
        <x:v>2.8</x:v>
      </x:c>
      <x:c r="H23" s="22" t="n">
        <x:v>2.8</x:v>
      </x:c>
      <x:c r="I23" s="22" t="n">
        <x:v>17.3</x:v>
      </x:c>
      <x:c r="J23" s="22" t="n">
        <x:v>3.3</x:v>
      </x:c>
      <x:c r="K23" s="22" t="n">
        <x:v>9.6</x:v>
      </x:c>
      <x:c r="L23" s="22" t="n">
        <x:v>1.3</x:v>
      </x:c>
      <x:c r="M23" s="22" t="n">
        <x:v>0.6</x:v>
      </x:c>
      <x:c r="N23" s="22" t="n">
        <x:v>1.7</x:v>
      </x:c>
      <x:c r="O23" s="24" t="n">
        <x:v>0.017857142857142856</x:v>
      </x:c>
      <x:c r="P23" s="22" t="n">
        <x:v>0.5517857142857142</x:v>
      </x:c>
      <x:c r="Q23" s="22" t="n">
        <x:v>40.20357142857143</x:v>
      </x:c>
      <x:c r="R23" t="str">
        <x:v>https://hashtagbasketball.com/fantasy-basketball-projections</x:v>
      </x:c>
    </x:row>
    <x:row r="24" ht="22" customHeight="1">
      <x:c r="A24" t="str">
        <x:v>Austin Reaves</x:v>
      </x:c>
      <x:c r="B24" t="n">
        <x:v>70</x:v>
      </x:c>
      <x:c r="C24" s="22" t="n">
        <x:v>34.4</x:v>
      </x:c>
      <x:c r="D24" s="22" t="n">
        <x:v>7.9</x:v>
      </x:c>
      <x:c r="E24" s="22" t="n">
        <x:v>16.7</x:v>
      </x:c>
      <x:c r="F24" s="22" t="n">
        <x:v>6.2</x:v>
      </x:c>
      <x:c r="G24" s="22" t="n">
        <x:v>7.1</x:v>
      </x:c>
      <x:c r="H24" s="22" t="n">
        <x:v>2.6</x:v>
      </x:c>
      <x:c r="I24" s="22" t="n">
        <x:v>24.5</x:v>
      </x:c>
      <x:c r="J24" s="22" t="n">
        <x:v>4.6</x:v>
      </x:c>
      <x:c r="K24" s="22" t="n">
        <x:v>5.7</x:v>
      </x:c>
      <x:c r="L24" s="22" t="n">
        <x:v>1.1</x:v>
      </x:c>
      <x:c r="M24" s="22" t="n">
        <x:v>0.3</x:v>
      </x:c>
      <x:c r="N24" s="22" t="n">
        <x:v>3</x:v>
      </x:c>
      <x:c r="O24" s="24" t="n">
        <x:v>0.017391304347826087</x:v>
      </x:c>
      <x:c r="P24" s="22" t="n">
        <x:v>0.5982608695652174</x:v>
      </x:c>
      <x:c r="Q24" s="22" t="n">
        <x:v>42.49652173913044</x:v>
      </x:c>
      <x:c r="R24" t="str">
        <x:v>https://hashtagbasketball.com/fantasy-basketball-projections</x:v>
      </x:c>
    </x:row>
    <x:row r="25" ht="22" customHeight="1">
      <x:c r="A25" t="str">
        <x:v>Trae Young</x:v>
      </x:c>
      <x:c r="B25" t="n">
        <x:v>70</x:v>
      </x:c>
      <x:c r="C25" s="22" t="n">
        <x:v>33.4</x:v>
      </x:c>
      <x:c r="D25" s="22" t="n">
        <x:v>7</x:v>
      </x:c>
      <x:c r="E25" s="22" t="n">
        <x:v>16</x:v>
      </x:c>
      <x:c r="F25" s="22" t="n">
        <x:v>6.2</x:v>
      </x:c>
      <x:c r="G25" s="22" t="n">
        <x:v>7.1</x:v>
      </x:c>
      <x:c r="H25" s="22" t="n">
        <x:v>2.7</x:v>
      </x:c>
      <x:c r="I25" s="22" t="n">
        <x:v>22.8</x:v>
      </x:c>
      <x:c r="J25" s="22" t="n">
        <x:v>2.9</x:v>
      </x:c>
      <x:c r="K25" s="22" t="n">
        <x:v>10.8</x:v>
      </x:c>
      <x:c r="L25" s="22" t="n">
        <x:v>1.1</x:v>
      </x:c>
      <x:c r="M25" s="22" t="n">
        <x:v>0.2</x:v>
      </x:c>
      <x:c r="N25" s="22" t="n">
        <x:v>4.3</x:v>
      </x:c>
      <x:c r="O25" s="24" t="n">
        <x:v>0.011718749999999998</x:v>
      </x:c>
      <x:c r="P25" s="22" t="n">
        <x:v>0.3914062499999999</x:v>
      </x:c>
      <x:c r="Q25" s="22" t="n">
        <x:v>42.5828125</x:v>
      </x:c>
      <x:c r="R25" t="str">
        <x:v>https://hashtagbasketball.com/fantasy-basketball-projections</x:v>
      </x:c>
    </x:row>
    <x:row r="26" ht="22" customHeight="1">
      <x:c r="A26" t="str">
        <x:v>Trey Murphy III</x:v>
      </x:c>
      <x:c r="B26" t="n">
        <x:v>68</x:v>
      </x:c>
      <x:c r="C26" s="22" t="n">
        <x:v>35.2</x:v>
      </x:c>
      <x:c r="D26" s="22" t="n">
        <x:v>7.4</x:v>
      </x:c>
      <x:c r="E26" s="22" t="n">
        <x:v>16</x:v>
      </x:c>
      <x:c r="F26" s="22" t="n">
        <x:v>3.6</x:v>
      </x:c>
      <x:c r="G26" s="22" t="n">
        <x:v>4</x:v>
      </x:c>
      <x:c r="H26" s="22" t="n">
        <x:v>3.2</x:v>
      </x:c>
      <x:c r="I26" s="22" t="n">
        <x:v>21.6</x:v>
      </x:c>
      <x:c r="J26" s="22" t="n">
        <x:v>5.5</x:v>
      </x:c>
      <x:c r="K26" s="22" t="n">
        <x:v>3.7</x:v>
      </x:c>
      <x:c r="L26" s="22" t="n">
        <x:v>1.3</x:v>
      </x:c>
      <x:c r="M26" s="22" t="n">
        <x:v>0.5</x:v>
      </x:c>
      <x:c r="N26" s="22" t="n">
        <x:v>1.9</x:v>
      </x:c>
      <x:c r="O26" s="24" t="n">
        <x:v>0.028169014084507043</x:v>
      </x:c>
      <x:c r="P26" s="22" t="n">
        <x:v>0.991549295774648</x:v>
      </x:c>
      <x:c r="Q26" s="22" t="n">
        <x:v>39.383098591549306</x:v>
      </x:c>
      <x:c r="R26" t="str">
        <x:v>https://hashtagbasketball.com/fantasy-basketball-projections</x:v>
      </x:c>
    </x:row>
    <x:row r="27" ht="22" customHeight="1">
      <x:c r="A27" t="str">
        <x:v>Scottie Barnes</x:v>
      </x:c>
      <x:c r="B27" t="n">
        <x:v>80</x:v>
      </x:c>
      <x:c r="C27" s="22" t="n">
        <x:v>34.2</x:v>
      </x:c>
      <x:c r="D27" s="22" t="n">
        <x:v>7.5</x:v>
      </x:c>
      <x:c r="E27" s="22" t="n">
        <x:v>15.7</x:v>
      </x:c>
      <x:c r="F27" s="22" t="n">
        <x:v>3.4</x:v>
      </x:c>
      <x:c r="G27" s="22" t="n">
        <x:v>4.3</x:v>
      </x:c>
      <x:c r="H27" s="22" t="n">
        <x:v>1</x:v>
      </x:c>
      <x:c r="I27" s="22" t="n">
        <x:v>19.4</x:v>
      </x:c>
      <x:c r="J27" s="22" t="n">
        <x:v>7.9</x:v>
      </x:c>
      <x:c r="K27" s="22" t="n">
        <x:v>6.1</x:v>
      </x:c>
      <x:c r="L27" s="22" t="n">
        <x:v>1.5</x:v>
      </x:c>
      <x:c r="M27" s="22" t="n">
        <x:v>1.3</x:v>
      </x:c>
      <x:c r="N27" s="22" t="n">
        <x:v>2.8</x:v>
      </x:c>
      <x:c r="O27" s="24" t="n">
        <x:v>0.05671641791044776</x:v>
      </x:c>
      <x:c r="P27" s="22" t="n">
        <x:v>1.9397014925373135</x:v>
      </x:c>
      <x:c r="Q27" s="22" t="n">
        <x:v>42.47940298507463</x:v>
      </x:c>
      <x:c r="R27" t="str">
        <x:v>https://hashtagbasketball.com/fantasy-basketball-projections</x:v>
      </x:c>
    </x:row>
    <x:row r="28" ht="22" customHeight="1">
      <x:c r="A28" t="str">
        <x:v>Chet Holmgren</x:v>
      </x:c>
      <x:c r="B28" t="n">
        <x:v>70</x:v>
      </x:c>
      <x:c r="C28" s="22" t="n">
        <x:v>29.7</x:v>
      </x:c>
      <x:c r="D28" s="22" t="n">
        <x:v>6.3</x:v>
      </x:c>
      <x:c r="E28" s="22" t="n">
        <x:v>11.7</x:v>
      </x:c>
      <x:c r="F28" s="22" t="n">
        <x:v>3.4</x:v>
      </x:c>
      <x:c r="G28" s="22" t="n">
        <x:v>4.4</x:v>
      </x:c>
      <x:c r="H28" s="22" t="n">
        <x:v>1.4</x:v>
      </x:c>
      <x:c r="I28" s="22" t="n">
        <x:v>17.3</x:v>
      </x:c>
      <x:c r="J28" s="22" t="n">
        <x:v>9.1</x:v>
      </x:c>
      <x:c r="K28" s="22" t="n">
        <x:v>1.9</x:v>
      </x:c>
      <x:c r="L28" s="22" t="n">
        <x:v>0.7</x:v>
      </x:c>
      <x:c r="M28" s="22" t="n">
        <x:v>2.1</x:v>
      </x:c>
      <x:c r="N28" s="22" t="n">
        <x:v>1.7</x:v>
      </x:c>
      <x:c r="O28" s="24" t="n">
        <x:v>0.0657439446366782</x:v>
      </x:c>
      <x:c r="P28" s="22" t="n">
        <x:v>1.9525951557093424</x:v>
      </x:c>
      <x:c r="Q28" s="22" t="n">
        <x:v>39.00519031141869</x:v>
      </x:c>
      <x:c r="R28" t="str">
        <x:v>https://hashtagbasketball.com/fantasy-basketball-projections</x:v>
      </x:c>
    </x:row>
    <x:row r="29" ht="22" customHeight="1">
      <x:c r="A29" t="str">
        <x:v>James Harden</x:v>
      </x:c>
      <x:c r="B29" t="n">
        <x:v>72</x:v>
      </x:c>
      <x:c r="C29" s="22" t="n">
        <x:v>33.4</x:v>
      </x:c>
      <x:c r="D29" s="22" t="n">
        <x:v>5.9</x:v>
      </x:c>
      <x:c r="E29" s="22" t="n">
        <x:v>14</x:v>
      </x:c>
      <x:c r="F29" s="22" t="n">
        <x:v>5.6</x:v>
      </x:c>
      <x:c r="G29" s="22" t="n">
        <x:v>6.4</x:v>
      </x:c>
      <x:c r="H29" s="22" t="n">
        <x:v>2.6</x:v>
      </x:c>
      <x:c r="I29" s="22" t="n">
        <x:v>20</x:v>
      </x:c>
      <x:c r="J29" s="22" t="n">
        <x:v>4.6</x:v>
      </x:c>
      <x:c r="K29" s="22" t="n">
        <x:v>8.2</x:v>
      </x:c>
      <x:c r="L29" s="22" t="n">
        <x:v>1.1</x:v>
      </x:c>
      <x:c r="M29" s="22" t="n">
        <x:v>0.5</x:v>
      </x:c>
      <x:c r="N29" s="22" t="n">
        <x:v>3.4</x:v>
      </x:c>
      <x:c r="O29" s="24" t="n">
        <x:v>0.017241379310344827</x:v>
      </x:c>
      <x:c r="P29" s="22" t="n">
        <x:v>0.5758620689655172</x:v>
      </x:c>
      <x:c r="Q29" s="22" t="n">
        <x:v>39.40172413793103</x:v>
      </x:c>
      <x:c r="R29" t="str">
        <x:v>https://hashtagbasketball.com/fantasy-basketball-projections</x:v>
      </x:c>
    </x:row>
    <x:row r="30" ht="22" customHeight="1">
      <x:c r="A30" t="str">
        <x:v>Evan Mobley</x:v>
      </x:c>
      <x:c r="B30" t="n">
        <x:v>72</x:v>
      </x:c>
      <x:c r="C30" s="22" t="n">
        <x:v>32.5</x:v>
      </x:c>
      <x:c r="D30" s="22" t="n">
        <x:v>7.5</x:v>
      </x:c>
      <x:c r="E30" s="22" t="n">
        <x:v>13.7</x:v>
      </x:c>
      <x:c r="F30" s="22" t="n">
        <x:v>3.1</x:v>
      </x:c>
      <x:c r="G30" s="22" t="n">
        <x:v>4.7</x:v>
      </x:c>
      <x:c r="H30" s="22" t="n">
        <x:v>1.1</x:v>
      </x:c>
      <x:c r="I30" s="22" t="n">
        <x:v>19.3</x:v>
      </x:c>
      <x:c r="J30" s="22" t="n">
        <x:v>9.6</x:v>
      </x:c>
      <x:c r="K30" s="22" t="n">
        <x:v>3.6</x:v>
      </x:c>
      <x:c r="L30" s="22" t="n">
        <x:v>0.8</x:v>
      </x:c>
      <x:c r="M30" s="22" t="n">
        <x:v>1.8</x:v>
      </x:c>
      <x:c r="N30" s="22" t="n">
        <x:v>2.1</x:v>
      </x:c>
      <x:c r="O30" s="24" t="n">
        <x:v>0.07523510971786834</x:v>
      </x:c>
      <x:c r="P30" s="22" t="n">
        <x:v>2.4451410658307213</x:v>
      </x:c>
      <x:c r="Q30" s="22" t="n">
        <x:v>43.19028213166145</x:v>
      </x:c>
      <x:c r="R30" t="str">
        <x:v>https://hashtagbasketball.com/fantasy-basketball-projections</x:v>
      </x:c>
    </x:row>
    <x:row r="31" ht="22" customHeight="1">
      <x:c r="A31" t="str">
        <x:v>Anthony Davis</x:v>
      </x:c>
      <x:c r="B31" t="n">
        <x:v>59</x:v>
      </x:c>
      <x:c r="C31" s="22" t="n">
        <x:v>31.1</x:v>
      </x:c>
      <x:c r="D31" s="22" t="n">
        <x:v>7.5</x:v>
      </x:c>
      <x:c r="E31" s="22" t="n">
        <x:v>15</x:v>
      </x:c>
      <x:c r="F31" s="22" t="n">
        <x:v>4.2</x:v>
      </x:c>
      <x:c r="G31" s="22" t="n">
        <x:v>5.5</x:v>
      </x:c>
      <x:c r="H31" s="22" t="n">
        <x:v>0.6</x:v>
      </x:c>
      <x:c r="I31" s="22" t="n">
        <x:v>19.8</x:v>
      </x:c>
      <x:c r="J31" s="22" t="n">
        <x:v>9.8</x:v>
      </x:c>
      <x:c r="K31" s="22" t="n">
        <x:v>2.9</x:v>
      </x:c>
      <x:c r="L31" s="22" t="n">
        <x:v>1</x:v>
      </x:c>
      <x:c r="M31" s="22" t="n">
        <x:v>1.7</x:v>
      </x:c>
      <x:c r="N31" s="22" t="n">
        <x:v>1.9</x:v>
      </x:c>
      <x:c r="O31" s="24" t="n">
        <x:v>0.09904153354632587</x:v>
      </x:c>
      <x:c r="P31" s="22" t="n">
        <x:v>3.0801916932907347</x:v>
      </x:c>
      <x:c r="Q31" s="22" t="n">
        <x:v>44.36038338658147</x:v>
      </x:c>
      <x:c r="R31" t="str">
        <x:v>https://hashtagbasketball.com/fantasy-basketball-projections</x:v>
      </x:c>
    </x:row>
    <x:row r="32" ht="22" customHeight="1">
      <x:c r="A32" t="str">
        <x:v>Kyrie Irving</x:v>
      </x:c>
      <x:c r="B32" t="n">
        <x:v>55</x:v>
      </x:c>
      <x:c r="C32" s="22" t="n">
        <x:v>31.8</x:v>
      </x:c>
      <x:c r="D32" s="22" t="n">
        <x:v>7.5</x:v>
      </x:c>
      <x:c r="E32" s="22" t="n">
        <x:v>15.5</x:v>
      </x:c>
      <x:c r="F32" s="22" t="n">
        <x:v>3.3</x:v>
      </x:c>
      <x:c r="G32" s="22" t="n">
        <x:v>3.7</x:v>
      </x:c>
      <x:c r="H32" s="22" t="n">
        <x:v>2.4</x:v>
      </x:c>
      <x:c r="I32" s="22" t="n">
        <x:v>20.7</x:v>
      </x:c>
      <x:c r="J32" s="22" t="n">
        <x:v>4</x:v>
      </x:c>
      <x:c r="K32" s="22" t="n">
        <x:v>4.9</x:v>
      </x:c>
      <x:c r="L32" s="22" t="n">
        <x:v>1.1</x:v>
      </x:c>
      <x:c r="M32" s="22" t="n">
        <x:v>0.4</x:v>
      </x:c>
      <x:c r="N32" s="22" t="n">
        <x:v>1.9</x:v>
      </x:c>
      <x:c r="O32" s="24" t="n">
        <x:v>0.018</x:v>
      </x:c>
      <x:c r="P32" s="22" t="n">
        <x:v>0.5724</x:v>
      </x:c>
      <x:c r="Q32" s="22" t="n">
        <x:v>36.994800000000005</x:v>
      </x:c>
      <x:c r="R32" t="str">
        <x:v>https://hashtagbasketball.com/fantasy-basketball-projections</x:v>
      </x:c>
    </x:row>
    <x:row r="33" ht="22" customHeight="1">
      <x:c r="A33" t="str">
        <x:v>Jaren Jackson Jr.</x:v>
      </x:c>
      <x:c r="B33" t="n">
        <x:v>67</x:v>
      </x:c>
      <x:c r="C33" s="22" t="n">
        <x:v>30.7</x:v>
      </x:c>
      <x:c r="D33" s="22" t="n">
        <x:v>7.9</x:v>
      </x:c>
      <x:c r="E33" s="22" t="n">
        <x:v>16.4</x:v>
      </x:c>
      <x:c r="F33" s="22" t="n">
        <x:v>4</x:v>
      </x:c>
      <x:c r="G33" s="22" t="n">
        <x:v>5.1</x:v>
      </x:c>
      <x:c r="H33" s="22" t="n">
        <x:v>2</x:v>
      </x:c>
      <x:c r="I33" s="22" t="n">
        <x:v>21.8</x:v>
      </x:c>
      <x:c r="J33" s="22" t="n">
        <x:v>5.8</x:v>
      </x:c>
      <x:c r="K33" s="22" t="n">
        <x:v>2.1</x:v>
      </x:c>
      <x:c r="L33" s="22" t="n">
        <x:v>1.2</x:v>
      </x:c>
      <x:c r="M33" s="22" t="n">
        <x:v>1.5</x:v>
      </x:c>
      <x:c r="N33" s="22" t="n">
        <x:v>2.2</x:v>
      </x:c>
      <x:c r="O33" s="24" t="n">
        <x:v>0.0297029702970297</x:v>
      </x:c>
      <x:c r="P33" s="22" t="n">
        <x:v>0.9118811881188118</x:v>
      </x:c>
      <x:c r="Q33" s="22" t="n">
        <x:v>37.12376237623762</x:v>
      </x:c>
      <x:c r="R33" t="str">
        <x:v>https://hashtagbasketball.com/fantasy-basketball-projections</x:v>
      </x:c>
    </x:row>
    <x:row r="34" ht="22" customHeight="1">
      <x:c r="A34" t="str">
        <x:v>Amen Thompson</x:v>
      </x:c>
      <x:c r="B34" t="n">
        <x:v>76</x:v>
      </x:c>
      <x:c r="C34" s="22" t="n">
        <x:v>36.2</x:v>
      </x:c>
      <x:c r="D34" s="22" t="n">
        <x:v>7</x:v>
      </x:c>
      <x:c r="E34" s="22" t="n">
        <x:v>13</x:v>
      </x:c>
      <x:c r="F34" s="22" t="n">
        <x:v>3.7</x:v>
      </x:c>
      <x:c r="G34" s="22" t="n">
        <x:v>4.9</x:v>
      </x:c>
      <x:c r="H34" s="22" t="n">
        <x:v>0.4</x:v>
      </x:c>
      <x:c r="I34" s="22" t="n">
        <x:v>18.1</x:v>
      </x:c>
      <x:c r="J34" s="22" t="n">
        <x:v>7.9</x:v>
      </x:c>
      <x:c r="K34" s="22" t="n">
        <x:v>4.2</x:v>
      </x:c>
      <x:c r="L34" s="22" t="n">
        <x:v>1.5</x:v>
      </x:c>
      <x:c r="M34" s="22" t="n">
        <x:v>1</x:v>
      </x:c>
      <x:c r="N34" s="22" t="n">
        <x:v>2.2</x:v>
      </x:c>
      <x:c r="O34" s="24" t="n">
        <x:v>0.08021390374331551</x:v>
      </x:c>
      <x:c r="P34" s="22" t="n">
        <x:v>2.9037433155080214</x:v>
      </x:c>
      <x:c r="Q34" s="22" t="n">
        <x:v>42.10748663101605</x:v>
      </x:c>
      <x:c r="R34" t="str">
        <x:v>https://hashtagbasketball.com/fantasy-basketball-projections</x:v>
      </x:c>
    </x:row>
    <x:row r="35" ht="22" customHeight="1">
      <x:c r="A35" t="str">
        <x:v>Devin Booker</x:v>
      </x:c>
      <x:c r="B35" t="n">
        <x:v>68</x:v>
      </x:c>
      <x:c r="C35" s="22" t="n">
        <x:v>33.5</x:v>
      </x:c>
      <x:c r="D35" s="22" t="n">
        <x:v>8.2</x:v>
      </x:c>
      <x:c r="E35" s="22" t="n">
        <x:v>17.9</x:v>
      </x:c>
      <x:c r="F35" s="22" t="n">
        <x:v>6.1</x:v>
      </x:c>
      <x:c r="G35" s="22" t="n">
        <x:v>6.9</x:v>
      </x:c>
      <x:c r="H35" s="22" t="n">
        <x:v>2.1</x:v>
      </x:c>
      <x:c r="I35" s="22" t="n">
        <x:v>24.6</x:v>
      </x:c>
      <x:c r="J35" s="22" t="n">
        <x:v>3.8</x:v>
      </x:c>
      <x:c r="K35" s="22" t="n">
        <x:v>6.3</x:v>
      </x:c>
      <x:c r="L35" s="22" t="n">
        <x:v>0.8</x:v>
      </x:c>
      <x:c r="M35" s="22" t="n">
        <x:v>0.2</x:v>
      </x:c>
      <x:c r="N35" s="22" t="n">
        <x:v>2.9</x:v>
      </x:c>
      <x:c r="O35" s="24" t="n">
        <x:v>0.023880597014925373</x:v>
      </x:c>
      <x:c r="P35" s="22" t="n">
        <x:v>0.8</x:v>
      </x:c>
      <x:c r="Q35" s="22" t="n">
        <x:v>41.449999999999996</x:v>
      </x:c>
      <x:c r="R35" t="str">
        <x:v>https://hashtagbasketball.com/fantasy-basketball-projections</x:v>
      </x:c>
    </x:row>
  </x:sheetData>
  <x:mergeCells>
    <x:mergeCell ref="A1:K1"/>
    <x:mergeCell ref="A2:K3"/>
  </x:mergeCells>
  <x:pageMargins left="0.7" right="0.7" top="0.75" bottom="0.75" header="0.3" footer="0.3"/>
  <x:tableParts count="1">
    <x:tablePart xmlns:r="http://schemas.openxmlformats.org/officeDocument/2006/relationships" r:id="R10aaac38a84647e4"/>
  </x:tableParts>
</x:worksheet>
</file>

<file path=xl/worksheets/sheet13.xml><?xml version="1.0" encoding="utf-8"?>
<x:worksheet xmlns:x="http://schemas.openxmlformats.org/spreadsheetml/2006/main">
  <x:sheetFormatPr defaultRowHeight="15"/>
  <x:cols>
    <x:col min="1" max="1" width="2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38" hidden="0" customWidth="1"/>
  </x:cols>
  <x:sheetData>
    <x:row r="1" ht="30" customHeight="1">
      <x:c r="A1" s="40" t="str">
        <x:v>OLDER BASELINES</x:v>
      </x:c>
      <x:c r="B1" s="40"/>
      <x:c r="C1" s="40"/>
      <x:c r="D1" s="40"/>
      <x:c r="E1" s="40"/>
      <x:c r="F1" s="40"/>
      <x:c r="G1" s="40"/>
      <x:c r="H1" s="40"/>
      <x:c r="I1" s="40"/>
      <x:c r="J1" s="40"/>
      <x:c r="K1" s="40"/>
      <x:c r="L1" s="3"/>
      <x:c r="M1" s="3"/>
      <x:c r="N1" s="3"/>
      <x:c r="O1" s="3"/>
      <x:c r="P1" s="3"/>
      <x:c r="Q1" s="3"/>
    </x:row>
    <x:row r="2" ht="23" customHeight="1">
      <x:c r="A2" s="42" t="str">
        <x:v>Per-game inputs, except games played. Reconstructed custom points are approximate because published averages are rounded; ejections are not included.</x:v>
      </x:c>
      <x:c r="B2" s="42"/>
      <x:c r="C2" s="42"/>
      <x:c r="D2" s="42"/>
      <x:c r="E2" s="42"/>
      <x:c r="F2" s="42"/>
      <x:c r="G2" s="42"/>
      <x:c r="H2" s="42"/>
      <x:c r="I2" s="42"/>
      <x:c r="J2" s="42"/>
      <x:c r="K2" s="42"/>
      <x:c r="L2" s="7"/>
      <x:c r="M2" s="7"/>
      <x:c r="N2" s="7"/>
      <x:c r="O2" s="7"/>
      <x:c r="P2" s="7"/>
      <x:c r="Q2" s="7"/>
    </x:row>
    <x:row r="3" ht="23" customHeight="1">
      <x:c r="A3" s="42"/>
      <x:c r="B3" s="42"/>
      <x:c r="C3" s="42"/>
      <x:c r="D3" s="42"/>
      <x:c r="E3" s="42"/>
      <x:c r="F3" s="42"/>
      <x:c r="G3" s="42"/>
      <x:c r="H3" s="42"/>
      <x:c r="I3" s="42"/>
      <x:c r="J3" s="42"/>
      <x:c r="K3" s="42"/>
      <x:c r="L3" s="7"/>
      <x:c r="M3" s="7"/>
      <x:c r="N3" s="7"/>
      <x:c r="O3" s="7"/>
      <x:c r="P3" s="7"/>
      <x:c r="Q3" s="7"/>
    </x:row>
    <x:row r="5" ht="36" customHeight="1">
      <x:c r="A5" s="44" t="str">
        <x:v>Player</x:v>
      </x:c>
      <x:c r="B5" s="44" t="str">
        <x:v>GP</x:v>
      </x:c>
      <x:c r="C5" s="44" t="str">
        <x:v>MIN</x:v>
      </x:c>
      <x:c r="D5" s="44" t="str">
        <x:v>PTS</x:v>
      </x:c>
      <x:c r="E5" s="44" t="str">
        <x:v>FGM</x:v>
      </x:c>
      <x:c r="F5" s="44" t="str">
        <x:v>FGA</x:v>
      </x:c>
      <x:c r="G5" s="44" t="str">
        <x:v>3PM</x:v>
      </x:c>
      <x:c r="H5" s="44" t="str">
        <x:v>FTM</x:v>
      </x:c>
      <x:c r="I5" s="44" t="str">
        <x:v>FTA</x:v>
      </x:c>
      <x:c r="J5" s="44" t="str">
        <x:v>OREB</x:v>
      </x:c>
      <x:c r="K5" s="44" t="str">
        <x:v>REB</x:v>
      </x:c>
      <x:c r="L5" s="44" t="str">
        <x:v>AST</x:v>
      </x:c>
      <x:c r="M5" s="44" t="str">
        <x:v>STL</x:v>
      </x:c>
      <x:c r="N5" s="44" t="str">
        <x:v>BLK</x:v>
      </x:c>
      <x:c r="O5" s="44" t="str">
        <x:v>TO</x:v>
      </x:c>
      <x:c r="P5" s="44" t="str">
        <x:v>Custom FP/G</x:v>
      </x:c>
      <x:c r="Q5" s="44" t="str">
        <x:v>Source</x:v>
      </x:c>
    </x:row>
    <x:row r="6" ht="22" customHeight="1">
      <x:c r="A6" t="str">
        <x:v>Damian Lillard</x:v>
      </x:c>
      <x:c r="B6" t="n">
        <x:v>58</x:v>
      </x:c>
      <x:c r="C6" s="22" t="n">
        <x:v>36.1</x:v>
      </x:c>
      <x:c r="D6" s="22" t="n">
        <x:v>24.9</x:v>
      </x:c>
      <x:c r="E6" s="22" t="n">
        <x:v>7.7</x:v>
      </x:c>
      <x:c r="F6" s="22" t="n">
        <x:v>17.1</x:v>
      </x:c>
      <x:c r="G6" s="22" t="n">
        <x:v>3.4</x:v>
      </x:c>
      <x:c r="H6" s="22" t="n">
        <x:v>6.2</x:v>
      </x:c>
      <x:c r="I6" s="22" t="n">
        <x:v>6.8</x:v>
      </x:c>
      <x:c r="J6" s="22" t="n">
        <x:v>0.5</x:v>
      </x:c>
      <x:c r="K6" s="22" t="n">
        <x:v>4.7</x:v>
      </x:c>
      <x:c r="L6" s="22" t="n">
        <x:v>7.1</x:v>
      </x:c>
      <x:c r="M6" s="22" t="n">
        <x:v>1.2</x:v>
      </x:c>
      <x:c r="N6" s="22" t="n">
        <x:v>0.2</x:v>
      </x:c>
      <x:c r="O6" s="22" t="n">
        <x:v>2.8</x:v>
      </x:c>
      <x:c r="P6" s="22" t="n">
        <x:f>D6*Scoring!$B$6+E6*Scoring!$B$7+(F6-E6)*Scoring!$B$8+H6*Scoring!$B$9+(I6-H6)*Scoring!$B$10+G6*Scoring!$B$11+J6*Scoring!$B$12+K6*Scoring!$B$13+L6*Scoring!$B$14+M6*Scoring!$B$15+N6*Scoring!$B$16+O6*Scoring!$B$17</x:f>
        <x:v>45.64999999999999</x:v>
      </x:c>
      <x:c r="Q6" t="str">
        <x:v>https://basketball.realgm.com/nba/stats/2025/Averages/Qualified/points/All/desc/1/Regular_Season</x:v>
      </x:c>
    </x:row>
    <x:row r="7" ht="22" customHeight="1">
      <x:c r="A7" t="str">
        <x:v>Tyrese Haliburton</x:v>
      </x:c>
      <x:c r="B7" t="n">
        <x:v>73</x:v>
      </x:c>
      <x:c r="C7" s="22" t="n">
        <x:v>33.6</x:v>
      </x:c>
      <x:c r="D7" s="22" t="n">
        <x:v>18.6</x:v>
      </x:c>
      <x:c r="E7" s="22" t="n">
        <x:v>6.5</x:v>
      </x:c>
      <x:c r="F7" s="22" t="n">
        <x:v>13.8</x:v>
      </x:c>
      <x:c r="G7" s="22" t="n">
        <x:v>3</x:v>
      </x:c>
      <x:c r="H7" s="22" t="n">
        <x:v>2.6</x:v>
      </x:c>
      <x:c r="I7" s="22" t="n">
        <x:v>3</x:v>
      </x:c>
      <x:c r="J7" s="22" t="n">
        <x:v>0.6</x:v>
      </x:c>
      <x:c r="K7" s="22" t="n">
        <x:v>3.5</x:v>
      </x:c>
      <x:c r="L7" s="22" t="n">
        <x:v>9.2</x:v>
      </x:c>
      <x:c r="M7" s="22" t="n">
        <x:v>1.4</x:v>
      </x:c>
      <x:c r="N7" s="22" t="n">
        <x:v>0.7</x:v>
      </x:c>
      <x:c r="O7" s="22" t="n">
        <x:v>1.6</x:v>
      </x:c>
      <x:c r="P7" s="22" t="n">
        <x:f>D7*Scoring!$B$6+E7*Scoring!$B$7+(F7-E7)*Scoring!$B$8+H7*Scoring!$B$9+(I7-H7)*Scoring!$B$10+G7*Scoring!$B$11+J7*Scoring!$B$12+K7*Scoring!$B$13+L7*Scoring!$B$14+M7*Scoring!$B$15+N7*Scoring!$B$16+O7*Scoring!$B$17</x:f>
        <x:v>42.14999999999999</x:v>
      </x:c>
      <x:c r="Q7" t="str">
        <x:v>https://basketball.realgm.com/nba/stats/2025/Averages/Qualified/points/All/desc/1/Regular_Season</x:v>
      </x:c>
    </x:row>
    <x:row r="8" ht="22" customHeight="1">
      <x:c r="A8" t="str">
        <x:v>Fred VanVleet</x:v>
      </x:c>
      <x:c r="B8" t="n">
        <x:v>60</x:v>
      </x:c>
      <x:c r="C8" s="22" t="n">
        <x:v>35.2</x:v>
      </x:c>
      <x:c r="D8" s="22" t="n">
        <x:v>14.1</x:v>
      </x:c>
      <x:c r="E8" s="22" t="n">
        <x:v>4.8</x:v>
      </x:c>
      <x:c r="F8" s="22" t="n">
        <x:v>12.7</x:v>
      </x:c>
      <x:c r="G8" s="22" t="n">
        <x:v>2.7</x:v>
      </x:c>
      <x:c r="H8" s="22" t="n">
        <x:v>1.9</x:v>
      </x:c>
      <x:c r="I8" s="22" t="n">
        <x:v>2.3</x:v>
      </x:c>
      <x:c r="J8" s="22" t="n">
        <x:v>0.5</x:v>
      </x:c>
      <x:c r="K8" s="22" t="n">
        <x:v>3.7</x:v>
      </x:c>
      <x:c r="L8" s="22" t="n">
        <x:v>5.6</x:v>
      </x:c>
      <x:c r="M8" s="22" t="n">
        <x:v>1.6</x:v>
      </x:c>
      <x:c r="N8" s="22" t="n">
        <x:v>0.4</x:v>
      </x:c>
      <x:c r="O8" s="22" t="n">
        <x:v>1.5</x:v>
      </x:c>
      <x:c r="P8" s="22" t="n">
        <x:f>D8*Scoring!$B$6+E8*Scoring!$B$7+(F8-E8)*Scoring!$B$8+H8*Scoring!$B$9+(I8-H8)*Scoring!$B$10+G8*Scoring!$B$11+J8*Scoring!$B$12+K8*Scoring!$B$13+L8*Scoring!$B$14+M8*Scoring!$B$15+N8*Scoring!$B$16+O8*Scoring!$B$17</x:f>
        <x:v>29.099999999999994</x:v>
      </x:c>
      <x:c r="Q8" t="str">
        <x:v>https://basketball.realgm.com/nba/stats/2025/Averages/Qualified/points/All/desc/1/Regular_Season</x:v>
      </x:c>
    </x:row>
    <x:row r="9" ht="22" customHeight="1">
      <x:c r="A9" t="str">
        <x:v>Walker Kessler</x:v>
      </x:c>
      <x:c r="B9" t="n">
        <x:v>58</x:v>
      </x:c>
      <x:c r="C9" s="22" t="n">
        <x:v>30</x:v>
      </x:c>
      <x:c r="D9" s="22" t="n">
        <x:v>11.1</x:v>
      </x:c>
      <x:c r="E9" s="22" t="n">
        <x:v>4.8</x:v>
      </x:c>
      <x:c r="F9" s="22" t="n">
        <x:v>7.2</x:v>
      </x:c>
      <x:c r="G9" s="22" t="n">
        <x:v>0.1</x:v>
      </x:c>
      <x:c r="H9" s="22" t="n">
        <x:v>1.4</x:v>
      </x:c>
      <x:c r="I9" s="22" t="n">
        <x:v>2.6</x:v>
      </x:c>
      <x:c r="J9" s="22" t="n">
        <x:v>4.6</x:v>
      </x:c>
      <x:c r="K9" s="22" t="n">
        <x:v>12.2</x:v>
      </x:c>
      <x:c r="L9" s="22" t="n">
        <x:v>1.7</x:v>
      </x:c>
      <x:c r="M9" s="22" t="n">
        <x:v>0.6</x:v>
      </x:c>
      <x:c r="N9" s="22" t="n">
        <x:v>2.4</x:v>
      </x:c>
      <x:c r="O9" s="22" t="n">
        <x:v>1.5</x:v>
      </x:c>
      <x:c r="P9" s="22" t="n">
        <x:f>D9*Scoring!$B$6+E9*Scoring!$B$7+(F9-E9)*Scoring!$B$8+H9*Scoring!$B$9+(I9-H9)*Scoring!$B$10+G9*Scoring!$B$11+J9*Scoring!$B$12+K9*Scoring!$B$13+L9*Scoring!$B$14+M9*Scoring!$B$15+N9*Scoring!$B$16+O9*Scoring!$B$17</x:f>
        <x:v>39.550000000000004</x:v>
      </x:c>
      <x:c r="Q9" t="str">
        <x:v>https://basketball.realgm.com/nba/stats/2025/Averages/Qualified/points/All/desc/1/Regular_Season</x:v>
      </x:c>
    </x:row>
  </x:sheetData>
  <x:mergeCells>
    <x:mergeCell ref="A1:K1"/>
    <x:mergeCell ref="A2:K3"/>
  </x:mergeCells>
  <x:pageMargins left="0.7" right="0.7" top="0.75" bottom="0.75" header="0.3" footer="0.3"/>
  <x:tableParts count="1">
    <x:tablePart xmlns:r="http://schemas.openxmlformats.org/officeDocument/2006/relationships" r:id="Rc6a65bdd0b934ffb"/>
  </x:tableParts>
</x:worksheet>
</file>

<file path=xl/worksheets/sheet14.xml><?xml version="1.0" encoding="utf-8"?>
<x:worksheet xmlns:x="http://schemas.openxmlformats.org/spreadsheetml/2006/main">
  <x:sheetFormatPr defaultRowHeight="15"/>
  <x:cols>
    <x:col min="1" max="1" width="28" hidden="0" customWidth="1"/>
    <x:col min="2" max="2" width="26" hidden="0" customWidth="1"/>
    <x:col min="3" max="3" width="24" hidden="0" customWidth="1"/>
    <x:col min="4" max="4" width="66" hidden="0" customWidth="1"/>
    <x:col min="5" max="5" width="76" hidden="0" customWidth="1"/>
  </x:cols>
  <x:sheetData>
    <x:row r="1" ht="30" customHeight="1">
      <x:c r="A1" s="3" t="str">
        <x:v>SOURCE REGISTER</x:v>
      </x:c>
      <x:c r="B1" s="3"/>
      <x:c r="C1" s="3"/>
      <x:c r="D1" s="3"/>
      <x:c r="E1" s="3"/>
    </x:row>
    <x:row r="2" ht="23" customHeight="1">
      <x:c r="A2" s="7" t="str">
        <x:v>Draft-day refresh retrieved through October 10, 2026. The 600-player universe remains the master; current projections, market rankings, preseason roles and injuries supersede the Sept. 28 snapshot where noted.</x:v>
      </x:c>
      <x:c r="B2" s="7"/>
      <x:c r="C2" s="7"/>
      <x:c r="D2" s="7"/>
      <x:c r="E2" s="7"/>
    </x:row>
    <x:row r="3" ht="23" customHeight="1">
      <x:c r="A3" s="7"/>
      <x:c r="B3" s="7"/>
      <x:c r="C3" s="7"/>
      <x:c r="D3" s="7"/>
      <x:c r="E3" s="7"/>
    </x:row>
    <x:row r="5" ht="36" customHeight="1">
      <x:c r="A5" s="12" t="str">
        <x:v>Use</x:v>
      </x:c>
      <x:c r="B5" s="12" t="str">
        <x:v>Publisher</x:v>
      </x:c>
      <x:c r="C5" s="12" t="str">
        <x:v>Period / update</x:v>
      </x:c>
      <x:c r="D5" s="12" t="str">
        <x:v>Scope and limitations</x:v>
      </x:c>
      <x:c r="E5" s="12" t="str">
        <x:v>Source URL</x:v>
      </x:c>
    </x:row>
    <x:row r="6" ht="42" customHeight="1">
      <x:c r="A6" s="16" t="str">
        <x:v>Historical per-game statistics</x:v>
      </x:c>
      <x:c r="B6" s="16" t="str">
        <x:v>RealGM</x:v>
      </x:c>
      <x:c r="C6" s="16" t="str">
        <x:v>2025–26</x:v>
      </x:c>
      <x:c r="D6" s="16" t="str">
        <x:v>111 selected players; rounded averages; source for historical rescoring.</x:v>
      </x:c>
      <x:c r="E6" s="16" t="str">
        <x:v>https://basketball.realgm.com/nba/stats/2026/Averages/All/points/All/desc/1/Regular_Season</x:v>
      </x:c>
    </x:row>
    <x:row r="7" ht="42" customHeight="1">
      <x:c r="A7" s="16" t="str">
        <x:v>Projection baseline</x:v>
      </x:c>
      <x:c r="B7" s="16" t="str">
        <x:v>FantasyPros</x:v>
      </x:c>
      <x:c r="C7" s="16" t="str">
        <x:v>Updated 2026-09-19</x:v>
      </x:c>
      <x:c r="D7" s="16" t="str">
        <x:v>120 selected players; season totals and percentages. Missing fields are modeled, not supplied by source.</x:v>
      </x:c>
      <x:c r="E7" s="16" t="str">
        <x:v>https://www.fantasypros.com/nba/projections/overall.php</x:v>
      </x:c>
    </x:row>
    <x:row r="8" ht="42" customHeight="1">
      <x:c r="A8" s="16" t="str">
        <x:v>Projection cross-check</x:v>
      </x:c>
      <x:c r="B8" s="16" t="str">
        <x:v>Hashtag Basketball</x:v>
      </x:c>
      <x:c r="C8" s="16" t="str">
        <x:v>Updated 2026-09-28</x:v>
      </x:c>
      <x:c r="D8" s="16" t="str">
        <x:v>Public top 30 only; no claim of accessing the full paid projection set.</x:v>
      </x:c>
      <x:c r="E8" s="16" t="str">
        <x:v>https://hashtagbasketball.com/fantasy-basketball-projections</x:v>
      </x:c>
    </x:row>
    <x:row r="9" ht="42" customHeight="1">
      <x:c r="A9" s="16" t="str">
        <x:v>Older rate fallback</x:v>
      </x:c>
      <x:c r="B9" s="16" t="str">
        <x:v>RealGM</x:v>
      </x:c>
      <x:c r="C9" s="16" t="str">
        <x:v>2024–25</x:v>
      </x:c>
      <x:c r="D9" s="16" t="str">
        <x:v>VanVleet, Haliburton, Lillard and Kessler rate baselines.</x:v>
      </x:c>
      <x:c r="E9" s="16" t="str">
        <x:v>https://basketball.realgm.com/nba/stats/2025/Averages/Qualified/points/All/desc/1/Regular_Season</x:v>
      </x:c>
    </x:row>
    <x:row r="10" ht="42" customHeight="1">
      <x:c r="A10" s="16" t="str">
        <x:v>Offseason transactions</x:v>
      </x:c>
      <x:c r="B10" s="16" t="str">
        <x:v>NBA.com</x:v>
      </x:c>
      <x:c r="C10" s="16" t="str">
        <x:v>Updated 2026-09-28</x:v>
      </x:c>
      <x:c r="D10" s="16" t="str">
        <x:v>Cross-check current team moves, not statistical projections.</x:v>
      </x:c>
      <x:c r="E10" s="16" t="str">
        <x:v>https://www.nba.com/news/2026-offseason-trade-tracker</x:v>
      </x:c>
    </x:row>
    <x:row r="11" ht="42" customHeight="1">
      <x:c r="A11" s="16" t="str">
        <x:v>Duren contract</x:v>
      </x:c>
      <x:c r="B11" s="16" t="str">
        <x:v>NBA.com / Associated Press</x:v>
      </x:c>
      <x:c r="C11" s="16" t="str">
        <x:v>2026-09-28</x:v>
      </x:c>
      <x:c r="D11" s="16" t="str">
        <x:v>No long-term agreement at camp opening; rank is conditional.</x:v>
      </x:c>
      <x:c r="E11" s="16" t="str">
        <x:v>https://www.nba.com/news/duren-pistons-still-without-deal</x:v>
      </x:c>
    </x:row>
    <x:row r="12" ht="42" customHeight="1">
      <x:c r="A12" s="16" t="str">
        <x:v>Porzingis health</x:v>
      </x:c>
      <x:c r="B12" s="16" t="str">
        <x:v>NBA.com / Associated Press</x:v>
      </x:c>
      <x:c r="C12" s="16" t="str">
        <x:v>2026-09-28</x:v>
      </x:c>
      <x:c r="D12" s="16" t="str">
        <x:v>Out indefinitely; prior projection GP is stale.</x:v>
      </x:c>
      <x:c r="E12" s="16" t="str">
        <x:v>https://www.nba.com/news/kristaps-porzingis-health-issue-out-indefinitely</x:v>
      </x:c>
    </x:row>
    <x:row r="13" ht="42" customHeight="1">
      <x:c r="A13" s="16" t="str">
        <x:v>Sharpe knee surgery</x:v>
      </x:c>
      <x:c r="B13" s="16" t="str">
        <x:v>Reuters</x:v>
      </x:c>
      <x:c r="C13" s="16" t="str">
        <x:v>2026-08-27</x:v>
      </x:c>
      <x:c r="D13" s="16" t="str">
        <x:v>Six-month reevaluation/absence; no exact return date.</x:v>
      </x:c>
      <x:c r="E13" s="16" t="str">
        <x:v>https://www.reuters.com/sports/blazers-shaedon-sharpe-out-6-months-after-knee-surgery--flm-2026-08-27/</x:v>
      </x:c>
    </x:row>
    <x:row r="14" ht="42" customHeight="1">
      <x:c r="A14" s="16" t="str">
        <x:v>Kyrie season-long absence</x:v>
      </x:c>
      <x:c r="B14" s="16" t="str">
        <x:v>Reuters</x:v>
      </x:c>
      <x:c r="C14" s="16" t="str">
        <x:v>2026-02-18</x:v>
      </x:c>
      <x:c r="D14" s="16" t="str">
        <x:v>Did not play in 2025–26; returning-season uncertainty.</x:v>
      </x:c>
      <x:c r="E14" s="16" t="str">
        <x:v>https://www.reuters.com/sports/mavericks-g-kyrie-irving-sidelined-until-2026-27-season--flm-2026-02-18/</x:v>
      </x:c>
    </x:row>
    <x:row r="15" ht="42" customHeight="1">
      <x:c r="A15" s="16" t="str">
        <x:v>Edey ankle surgery</x:v>
      </x:c>
      <x:c r="B15" s="16" t="str">
        <x:v>RealGM</x:v>
      </x:c>
      <x:c r="C15" s="16" t="str">
        <x:v>2026-03-01</x:v>
      </x:c>
      <x:c r="D15" s="16" t="str">
        <x:v>Injury context, not proof of a 2026–27 return date.</x:v>
      </x:c>
      <x:c r="E15" s="16" t="str">
        <x:v>https://basketball.realgm.com/wiretap/284176/Zach-Edey-To-Undergo-Ankle-Surgery%3B-Brandon-Clarke-Out-At-Least-Two-More-Weeks</x:v>
      </x:c>
    </x:row>
    <x:row r="16" ht="42" customHeight="1">
      <x:c r="A16" s="16" t="str">
        <x:v>PHI season preview</x:v>
      </x:c>
      <x:c r="B16" s="16" t="str">
        <x:v>NBA.com</x:v>
      </x:c>
      <x:c r="C16" s="16" t="str">
        <x:v>2026–27 preseason</x:v>
      </x:c>
      <x:c r="D16" s="16" t="str">
        <x:v>Team context; numerical adjustments and rankings are analyst judgments.</x:v>
      </x:c>
      <x:c r="E16" s="16" t="str">
        <x:v>https://www.nba.com/news/2026-27-season-preview-phi</x:v>
      </x:c>
    </x:row>
    <x:row r="17" ht="42" customHeight="1">
      <x:c r="A17" s="16" t="str">
        <x:v>BOS season preview</x:v>
      </x:c>
      <x:c r="B17" s="16" t="str">
        <x:v>NBA.com</x:v>
      </x:c>
      <x:c r="C17" s="16" t="str">
        <x:v>2026–27 preseason</x:v>
      </x:c>
      <x:c r="D17" s="16" t="str">
        <x:v>Team context; numerical adjustments and rankings are analyst judgments.</x:v>
      </x:c>
      <x:c r="E17" s="16" t="str">
        <x:v>https://www.nba.com/news/2026-27-season-preview-bos</x:v>
      </x:c>
    </x:row>
    <x:row r="18" ht="42" customHeight="1">
      <x:c r="A18" s="16" t="str">
        <x:v>MIA season preview</x:v>
      </x:c>
      <x:c r="B18" s="16" t="str">
        <x:v>NBA.com</x:v>
      </x:c>
      <x:c r="C18" s="16" t="str">
        <x:v>2026–27 preseason</x:v>
      </x:c>
      <x:c r="D18" s="16" t="str">
        <x:v>Team context; numerical adjustments and rankings are analyst judgments.</x:v>
      </x:c>
      <x:c r="E18" s="16" t="str">
        <x:v>https://www.nba.com/news/2026-27-season-preview-mia</x:v>
      </x:c>
    </x:row>
    <x:row r="19" ht="42" customHeight="1">
      <x:c r="A19" s="16" t="str">
        <x:v>MIN season preview</x:v>
      </x:c>
      <x:c r="B19" s="16" t="str">
        <x:v>NBA.com</x:v>
      </x:c>
      <x:c r="C19" s="16" t="str">
        <x:v>2026–27 preseason</x:v>
      </x:c>
      <x:c r="D19" s="16" t="str">
        <x:v>Team context; numerical adjustments and rankings are analyst judgments.</x:v>
      </x:c>
      <x:c r="E19" s="16" t="str">
        <x:v>https://www.nba.com/news/2026-27-season-preview-min</x:v>
      </x:c>
    </x:row>
    <x:row r="20" ht="42" customHeight="1">
      <x:c r="A20" s="16" t="str">
        <x:v>POR season preview</x:v>
      </x:c>
      <x:c r="B20" s="16" t="str">
        <x:v>NBA.com</x:v>
      </x:c>
      <x:c r="C20" s="16" t="str">
        <x:v>2026–27 preseason</x:v>
      </x:c>
      <x:c r="D20" s="16" t="str">
        <x:v>Team context; numerical adjustments and rankings are analyst judgments.</x:v>
      </x:c>
      <x:c r="E20" s="16" t="str">
        <x:v>https://www.nba.com/news/2026-27-season-preview-por</x:v>
      </x:c>
    </x:row>
    <x:row r="21" ht="42" customHeight="1">
      <x:c r="A21" s="16" t="str">
        <x:v>WAS season preview</x:v>
      </x:c>
      <x:c r="B21" s="16" t="str">
        <x:v>NBA.com</x:v>
      </x:c>
      <x:c r="C21" s="16" t="str">
        <x:v>2026–27 preseason</x:v>
      </x:c>
      <x:c r="D21" s="16" t="str">
        <x:v>Team context; numerical adjustments and rankings are analyst judgments.</x:v>
      </x:c>
      <x:c r="E21" s="16" t="str">
        <x:v>https://www.nba.com/news/2026-27-season-preview-was</x:v>
      </x:c>
    </x:row>
    <x:row r="22" ht="42" customHeight="1">
      <x:c r="A22" s="16" t="str">
        <x:v>SAC season preview</x:v>
      </x:c>
      <x:c r="B22" s="16" t="str">
        <x:v>NBA.com</x:v>
      </x:c>
      <x:c r="C22" s="16" t="str">
        <x:v>2026–27 preseason</x:v>
      </x:c>
      <x:c r="D22" s="16" t="str">
        <x:v>Team context; numerical adjustments and rankings are analyst judgments.</x:v>
      </x:c>
      <x:c r="E22" s="16" t="str">
        <x:v>https://www.nba.com/news/2026-27-season-preview-sac</x:v>
      </x:c>
    </x:row>
    <x:row r="23" ht="42" customHeight="1">
      <x:c r="A23" s="16" t="str">
        <x:v>DAL season preview</x:v>
      </x:c>
      <x:c r="B23" s="16" t="str">
        <x:v>NBA.com</x:v>
      </x:c>
      <x:c r="C23" s="16" t="str">
        <x:v>2026–27 preseason</x:v>
      </x:c>
      <x:c r="D23" s="16" t="str">
        <x:v>Team context; numerical adjustments and rankings are analyst judgments.</x:v>
      </x:c>
      <x:c r="E23" s="16" t="str">
        <x:v>https://www.nba.com/news/2026-27-season-preview-dal</x:v>
      </x:c>
    </x:row>
    <x:row r="24" ht="42" customHeight="1">
      <x:c r="A24" s="16" t="str">
        <x:v>GSW season preview</x:v>
      </x:c>
      <x:c r="B24" s="16" t="str">
        <x:v>NBA.com</x:v>
      </x:c>
      <x:c r="C24" s="16" t="str">
        <x:v>2026–27 preseason</x:v>
      </x:c>
      <x:c r="D24" s="16" t="str">
        <x:v>Team context; numerical adjustments and rankings are analyst judgments.</x:v>
      </x:c>
      <x:c r="E24" s="16" t="str">
        <x:v>https://www.nba.com/news/2026-27-season-preview-gsw</x:v>
      </x:c>
    </x:row>
    <x:row r="25" ht="42" customHeight="1">
      <x:c r="A25" s="16" t="str">
        <x:v>MIL season preview</x:v>
      </x:c>
      <x:c r="B25" s="16" t="str">
        <x:v>NBA.com</x:v>
      </x:c>
      <x:c r="C25" s="16" t="str">
        <x:v>2026–27 preseason</x:v>
      </x:c>
      <x:c r="D25" s="16" t="str">
        <x:v>Team context; numerical adjustments and rankings are analyst judgments.</x:v>
      </x:c>
      <x:c r="E25" s="16" t="str">
        <x:v>https://www.nba.com/news/2026-27-season-preview-mil</x:v>
      </x:c>
    </x:row>
    <x:row r="26" ht="42" customHeight="1">
      <x:c r="A26" s="16" t="str">
        <x:v>UTA season preview</x:v>
      </x:c>
      <x:c r="B26" s="16" t="str">
        <x:v>NBA.com</x:v>
      </x:c>
      <x:c r="C26" s="16" t="str">
        <x:v>2026–27 preseason</x:v>
      </x:c>
      <x:c r="D26" s="16" t="str">
        <x:v>Team context; numerical adjustments and rankings are analyst judgments.</x:v>
      </x:c>
      <x:c r="E26" s="16" t="str">
        <x:v>https://www.nba.com/news/2026-27-season-preview-uta</x:v>
      </x:c>
    </x:row>
    <x:row r="27" ht="42" customHeight="1">
      <x:c r="A27" s="16" t="str">
        <x:v>MEM season preview</x:v>
      </x:c>
      <x:c r="B27" s="16" t="str">
        <x:v>NBA.com</x:v>
      </x:c>
      <x:c r="C27" s="16" t="str">
        <x:v>2026–27 preseason</x:v>
      </x:c>
      <x:c r="D27" s="16" t="str">
        <x:v>Team context; numerical adjustments and rankings are analyst judgments.</x:v>
      </x:c>
      <x:c r="E27" s="16" t="str">
        <x:v>https://www.nba.com/news/2026-27-season-preview-mem</x:v>
      </x:c>
    </x:row>
    <x:row r="28" ht="42" customHeight="1">
      <x:c r="A28" s="16" t="str">
        <x:v>LAL season preview</x:v>
      </x:c>
      <x:c r="B28" s="16" t="str">
        <x:v>NBA.com</x:v>
      </x:c>
      <x:c r="C28" s="16" t="str">
        <x:v>2026–27 preseason</x:v>
      </x:c>
      <x:c r="D28" s="16" t="str">
        <x:v>Team context; numerical adjustments and rankings are analyst judgments.</x:v>
      </x:c>
      <x:c r="E28" s="16" t="str">
        <x:v>https://www.nba.com/news/2026-27-season-preview-lal</x:v>
      </x:c>
    </x:row>
    <x:row r="29" ht="42" customHeight="1">
      <x:c r="A29" s="16" t="str">
        <x:v>IND season preview</x:v>
      </x:c>
      <x:c r="B29" s="16" t="str">
        <x:v>NBA.com</x:v>
      </x:c>
      <x:c r="C29" s="16" t="str">
        <x:v>2026–27 preseason</x:v>
      </x:c>
      <x:c r="D29" s="16" t="str">
        <x:v>Team context; numerical adjustments and rankings are analyst judgments.</x:v>
      </x:c>
      <x:c r="E29" s="16" t="str">
        <x:v>https://cdn-uat.nba.com/news/2026-27-season-preview-ind</x:v>
      </x:c>
    </x:row>
    <x:row r="30" ht="42" customHeight="1">
      <x:c r="A30" s="16" t="str">
        <x:v>Atlantic division</x:v>
      </x:c>
      <x:c r="B30" s="16" t="str">
        <x:v>NBA.com</x:v>
      </x:c>
      <x:c r="C30" s="16" t="str">
        <x:v>2026 offseason</x:v>
      </x:c>
      <x:c r="D30" s="16" t="str">
        <x:v>Division roster context; no arbitrary division-strength bonus applied.</x:v>
      </x:c>
      <x:c r="E30" s="16" t="str">
        <x:v>https://www.nba.com/news/atlantic-division-offseason-recap-look-ahead</x:v>
      </x:c>
    </x:row>
    <x:row r="31" ht="42" customHeight="1">
      <x:c r="A31" s="16" t="str">
        <x:v>Central division</x:v>
      </x:c>
      <x:c r="B31" s="16" t="str">
        <x:v>NBA.com</x:v>
      </x:c>
      <x:c r="C31" s="16" t="str">
        <x:v>2026 offseason</x:v>
      </x:c>
      <x:c r="D31" s="16" t="str">
        <x:v>Division roster context; no arbitrary division-strength bonus applied.</x:v>
      </x:c>
      <x:c r="E31" s="16" t="str">
        <x:v>https://www.nba.com/news/central-division-offseason-recap-look-ahead</x:v>
      </x:c>
    </x:row>
    <x:row r="32" ht="42" customHeight="1">
      <x:c r="A32" s="16" t="str">
        <x:v>Southeast division</x:v>
      </x:c>
      <x:c r="B32" s="16" t="str">
        <x:v>NBA.com</x:v>
      </x:c>
      <x:c r="C32" s="16" t="str">
        <x:v>2026 offseason</x:v>
      </x:c>
      <x:c r="D32" s="16" t="str">
        <x:v>Division roster context; no arbitrary division-strength bonus applied.</x:v>
      </x:c>
      <x:c r="E32" s="16" t="str">
        <x:v>https://www.nba.com/news/southeast-division-offseason-recap-look-ahead</x:v>
      </x:c>
    </x:row>
    <x:row r="33" ht="42" customHeight="1">
      <x:c r="A33" s="16" t="str">
        <x:v>Northwest division</x:v>
      </x:c>
      <x:c r="B33" s="16" t="str">
        <x:v>NBA.com</x:v>
      </x:c>
      <x:c r="C33" s="16" t="str">
        <x:v>2026 offseason</x:v>
      </x:c>
      <x:c r="D33" s="16" t="str">
        <x:v>Division roster context; no arbitrary division-strength bonus applied.</x:v>
      </x:c>
      <x:c r="E33" s="16" t="str">
        <x:v>https://www.nba.com/news/northwest-division-offseason-recap-look-ahead</x:v>
      </x:c>
    </x:row>
    <x:row r="34" ht="42" customHeight="1">
      <x:c r="A34" s="16" t="str">
        <x:v>Southwest division</x:v>
      </x:c>
      <x:c r="B34" s="16" t="str">
        <x:v>NBA.com</x:v>
      </x:c>
      <x:c r="C34" s="16" t="str">
        <x:v>2026 offseason</x:v>
      </x:c>
      <x:c r="D34" s="16" t="str">
        <x:v>Division roster context; no arbitrary division-strength bonus applied.</x:v>
      </x:c>
      <x:c r="E34" s="16" t="str">
        <x:v>https://www.nba.com/news/southwest-division-offseason-recap-look-ahead</x:v>
      </x:c>
    </x:row>
    <x:row r="35" ht="42" customHeight="1">
      <x:c r="A35" s="16" t="str">
        <x:v>Pacific division</x:v>
      </x:c>
      <x:c r="B35" s="16" t="str">
        <x:v>NBA.com</x:v>
      </x:c>
      <x:c r="C35" s="16" t="str">
        <x:v>2026 offseason</x:v>
      </x:c>
      <x:c r="D35" s="16" t="str">
        <x:v>Division roster context; no arbitrary division-strength bonus applied.</x:v>
      </x:c>
      <x:c r="E35" s="16" t="str">
        <x:v>https://www.nba.com/news/pacific-division-offseason-recap-look-ahead</x:v>
      </x:c>
    </x:row>
    <x:row r="36">
      <x:c r="A36" t="str">
        <x:v>2026–27 Yahoo points-league Top 200</x:v>
      </x:c>
      <x:c r="B36" t="str">
        <x:v>Yahoo Sports</x:v>
      </x:c>
      <x:c r="C36" t="str">
        <x:v>https://ca.sports.yahoo.com/news/2026-27-fantasy-basketball-rankings-top-200-players-points-leagues-182942270.html</x:v>
      </x:c>
      <x:c r="D36" t="str">
        <x:v>2026-09-18</x:v>
      </x:c>
      <x:c r="E36" t="str">
        <x:v>Cross-check for deep-board player pool / late-round relevance.</x:v>
      </x:c>
    </x:row>
    <x:row r="37">
      <x:c r="A37" t="str">
        <x:v>NBA fantasy guard tiers 2026–27</x:v>
      </x:c>
      <x:c r="B37" t="str">
        <x:v>NBA.com</x:v>
      </x:c>
      <x:c r="C37" t="str">
        <x:v>https://www.nba.com/news/nba-fantasy-guard-tiers-rankings-for-2026-27</x:v>
      </x:c>
      <x:c r="D37" t="str">
        <x:v>2026-09-17</x:v>
      </x:c>
      <x:c r="E37" t="str">
        <x:v>Current roles and guard depth tiers used as a late-board sanity check.</x:v>
      </x:c>
    </x:row>
    <x:row r="38">
      <x:c r="A38" s="16" t="str">
        <x:v>2026–27 player directory</x:v>
      </x:c>
      <x:c r="B38" s="16" t="str">
        <x:v>NBA.com</x:v>
      </x:c>
      <x:c r="C38" s="16" t="str">
        <x:v>2026-09-28</x:v>
      </x:c>
      <x:c r="D38" s="16" t="str">
        <x:v>Official current player directory cross-check; roster cuts/transactions can still change before opening day.</x:v>
      </x:c>
      <x:c r="E38" s="16" t="str">
        <x:v>https://www.nba.com/players</x:v>
      </x:c>
    </x:row>
    <x:row r="39">
      <x:c r="A39" s="16" t="str">
        <x:v>2026–27 current player list</x:v>
      </x:c>
      <x:c r="B39" s="16" t="str">
        <x:v>RealGM</x:v>
      </x:c>
      <x:c r="C39" s="16" t="str">
        <x:v>2026-09-28</x:v>
      </x:c>
      <x:c r="D39" s="16" t="str">
        <x:v>Current player/team/position cross-check for deep-player identity and roster context.</x:v>
      </x:c>
      <x:c r="E39" s="16" t="str">
        <x:v>https://basketball.realgm.com/nba/players</x:v>
      </x:c>
    </x:row>
    <x:row r="40">
      <x:c r="A40" s="16" t="str">
        <x:v>Deep-pool roster / contract snapshot</x:v>
      </x:c>
      <x:c r="B40" s="16" t="str">
        <x:v>Spotrac-derived public dataset</x:v>
      </x:c>
      <x:c r="C40" s="16" t="str">
        <x:v>2026-09-03</x:v>
      </x:c>
      <x:c r="D40" s="16" t="str">
        <x:v>622-row preseason cap/roster snapshot. Used for ranks 201–430 role/status context; not a final opening-night roster.</x:v>
      </x:c>
      <x:c r="E40" s="16" t="str">
        <x:v>https://github.com/plourr03/wolves-front-office/blob/5d152a169188fb9b210186a7a0d3403d4081ed38/kuminga/data/roster_snapshot_2026_27_v3.csv</x:v>
      </x:c>
    </x:row>
    <x:row r="41">
      <x:c r="A41" s="16" t="str">
        <x:v>2025–26 deep historical stats</x:v>
      </x:c>
      <x:c r="B41" s="16" t="str">
        <x:v>Basketball Reference-derived public dataset</x:v>
      </x:c>
      <x:c r="C41" s="16" t="str">
        <x:v>2025–26 regular season</x:v>
      </x:c>
      <x:c r="D41" s="16" t="str">
        <x:v>Per-game FGM/FGA/3PM/FTM/FTA/OREB/REB/AST/STL/BLK/TOV used to reconstruct custom historical FP/G for the expanded pool.</x:v>
      </x:c>
      <x:c r="E41" s="16" t="str">
        <x:v>https://github.com/ballacademy/NBA-head-to-head-/blob/5b1decfc31ffb645469c7ffbd01aaca4b18181bd/data/nba-stats/nba-player-stats-202526-regular-season-per-game.csv</x:v>
      </x:c>
    </x:row>
    <x:row r="42">
      <x:c r="A42" s="16" t="str">
        <x:v>Camp / summer depth pool</x:v>
      </x:c>
      <x:c r="B42" s="16" t="str">
        <x:v>Public roster dataset</x:v>
      </x:c>
      <x:c r="C42" s="16" t="str">
        <x:v>2026 offseason</x:v>
      </x:c>
      <x:c r="D42" s="16" t="str">
        <x:v>Used only to broaden the searchable watch pool. Entries are labeled CAMP/SUMMER and are not treated as verified opening-night NBA players.</x:v>
      </x:c>
      <x:c r="E42" s="16" t="str">
        <x:v>https://github.com/A-V29/NBA.Rosters/blob/main/2026.Summer.League.json</x:v>
      </x:c>
    </x:row>
    <x:row r="44">
      <x:c r="A44" t="str">
        <x:v>Projection baseline</x:v>
      </x:c>
      <x:c r="B44" t="str">
        <x:v>FantasyPros</x:v>
      </x:c>
      <x:c r="C44" t="str">
        <x:v>Updated 2026-10-09</x:v>
      </x:c>
      <x:c r="D44" t="str">
        <x:v>150-player public projection snapshot; season totals/percentages rescored under this league's custom settings. Shooting/rebounding fields not published directly are estimated from preserved rate assumptions.</x:v>
      </x:c>
      <x:c r="E44" t="str">
        <x:v>https://www.fantasypros.com/nba/projections/overall.php</x:v>
      </x:c>
    </x:row>
    <x:row r="45">
      <x:c r="A45" t="str">
        <x:v>Projection cross-check</x:v>
      </x:c>
      <x:c r="B45" t="str">
        <x:v>Hashtag Basketball</x:v>
      </x:c>
      <x:c r="C45" t="str">
        <x:v>Retrieved 2026-10-10; page updated 2026-10-06</x:v>
      </x:c>
      <x:c r="D45" t="str">
        <x:v>Public visible leaders used as a second custom-scoring projection check; no claim of accessing paid/full projections.</x:v>
      </x:c>
      <x:c r="E45" t="str">
        <x:v>https://hashtagbasketball.com/fantasy-basketball-projections</x:v>
      </x:c>
    </x:row>
    <x:row r="46">
      <x:c r="A46" t="str">
        <x:v>Cross-platform ADP</x:v>
      </x:c>
      <x:c r="B46" t="str">
        <x:v>Hashtag Basketball</x:v>
      </x:c>
      <x:c r="C46" t="str">
        <x:v>Updated 2026-10-09</x:v>
      </x:c>
      <x:c r="D46" t="str">
        <x:v>Yahoo/ESPN/Fantrax blended ADP used only as market context, not as the ranking engine.</x:v>
      </x:c>
      <x:c r="E46" t="str">
        <x:v>https://hashtagbasketball.com/fantasy-basketball-adp</x:v>
      </x:c>
    </x:row>
    <x:row r="47">
      <x:c r="A47" t="str">
        <x:v>Points-league market Top 200</x:v>
      </x:c>
      <x:c r="B47" t="str">
        <x:v>Yahoo Sports</x:v>
      </x:c>
      <x:c r="C47" t="str">
        <x:v>Updated 2026-10-08</x:v>
      </x:c>
      <x:c r="D47" t="str">
        <x:v>Current 2026–27 points-league ranking used as a broad market sanity check; scoring differs from this league.</x:v>
      </x:c>
      <x:c r="E47" t="str">
        <x:v>https://sports.yahoo.com/fantasy/article/2026-27-fantasy-basketball-rankings-top-200-players-points-leagues-182942270.html</x:v>
      </x:c>
    </x:row>
    <x:row r="48">
      <x:c r="A48" t="str">
        <x:v>NBA fantasy calendar</x:v>
      </x:c>
      <x:c r="B48" t="str">
        <x:v>NBA.com</x:v>
      </x:c>
      <x:c r="C48" t="str">
        <x:v>2026-27 preseason</x:v>
      </x:c>
      <x:c r="D48" t="str">
        <x:v>Final rosters Oct. 19; regular season Oct. 20. Supports a final draft-day health/role refresh.</x:v>
      </x:c>
      <x:c r="E48" t="str">
        <x:v>https://www.nba.com/news/fantasy-basketball-every-important-date-on-the-2026-27-nba-calendar</x:v>
      </x:c>
    </x:row>
    <x:row r="49">
      <x:c r="A49" t="str">
        <x:v>Duren extension</x:v>
      </x:c>
      <x:c r="B49" t="str">
        <x:v>NBA.com / Associated Press</x:v>
      </x:c>
      <x:c r="C49" t="str">
        <x:v>2026-10-02</x:v>
      </x:c>
      <x:c r="D49" t="str">
        <x:v>Five-year extension resolved the camp contract uncertainty; prior contract discount removed.</x:v>
      </x:c>
      <x:c r="E49" t="str">
        <x:v>https://www.nba.com/news/pistons-jalen-duren-rookie-extension</x:v>
      </x:c>
    </x:row>
    <x:row r="50">
      <x:c r="A50" t="str">
        <x:v>Haliburton return / ankle</x:v>
      </x:c>
      <x:c r="B50" t="str">
        <x:v>Yahoo Sports</x:v>
      </x:c>
      <x:c r="C50" t="str">
        <x:v>2026-10-10</x:v>
      </x:c>
      <x:c r="D50" t="str">
        <x:v>Achilles return remains a workload consideration; minor right-ankle tweak in first preseason game, MRI encouraging.</x:v>
      </x:c>
      <x:c r="E50" t="str">
        <x:v>https://sports.yahoo.com/articles/tyrese-haliburton-injury-pacers-star-213647317.html</x:v>
      </x:c>
    </x:row>
    <x:row r="51">
      <x:c r="A51" t="str">
        <x:v>Kyrie return</x:v>
      </x:c>
      <x:c r="B51" t="str">
        <x:v>Reuters</x:v>
      </x:c>
      <x:c r="C51" t="str">
        <x:v>2026-10-08</x:v>
      </x:c>
      <x:c r="D51" t="str">
        <x:v>Returned after lengthy ACL absence; conditioning/availability still warrants a moderate discount.</x:v>
      </x:c>
      <x:c r="E51" t="str">
        <x:v>https://www.reuters.com/sports/dallas-mavericks-irving-excited-play-again-after-lengthy-injury-absence-2026-10-08/</x:v>
      </x:c>
    </x:row>
    <x:row r="52">
      <x:c r="A52" t="str">
        <x:v>Anthony Davis preseason</x:v>
      </x:c>
      <x:c r="B52" t="str">
        <x:v>NBA.com</x:v>
      </x:c>
      <x:c r="C52" t="str">
        <x:v>2026-10-09</x:v>
      </x:c>
      <x:c r="D52" t="str">
        <x:v>Healthy and active in preseason; injury-history discount remains modest rather than severe.</x:v>
      </x:c>
      <x:c r="E52" t="str">
        <x:v>https://www.nba.com/wizards/player/203076/anthony-davis</x:v>
      </x:c>
    </x:row>
    <x:row r="53">
      <x:c r="A53" t="str">
        <x:v>Porzingis health</x:v>
      </x:c>
      <x:c r="B53" t="str">
        <x:v>NBA.com / Associated Press</x:v>
      </x:c>
      <x:c r="C53" t="str">
        <x:v>2026-09-29</x:v>
      </x:c>
      <x:c r="D53" t="str">
        <x:v>Out indefinitely with no established return timeline.</x:v>
      </x:c>
      <x:c r="E53" t="str">
        <x:v>https://www.nba.com/news/kristaps-porzingis-health-issue-out-indefinitely</x:v>
      </x:c>
    </x:row>
    <x:row r="54">
      <x:c r="A54" t="str">
        <x:v>Jimmy Butler recovery</x:v>
      </x:c>
      <x:c r="B54" t="str">
        <x:v>NBA.com</x:v>
      </x:c>
      <x:c r="C54" t="str">
        <x:v>2026-27 preseason</x:v>
      </x:c>
      <x:c r="D54" t="str">
        <x:v>ACL rehabilitation; season preview points to a midseason return rather than opening night.</x:v>
      </x:c>
      <x:c r="E54" t="str">
        <x:v>https://www.nba.com/news/2026-27-season-preview-gsw</x:v>
      </x:c>
    </x:row>
    <x:row r="55">
      <x:c r="A55" t="str">
        <x:v>Brandon Ingram surgery</x:v>
      </x:c>
      <x:c r="B55" t="str">
        <x:v>NBA.com / Associated Press</x:v>
      </x:c>
      <x:c r="C55" t="str">
        <x:v>2026-09-29</x:v>
      </x:c>
      <x:c r="D55" t="str">
        <x:v>Heel surgery plus partial Achilles injury; out to start season with no firm timetable.</x:v>
      </x:c>
      <x:c r="E55" t="str">
        <x:v>https://www.nba.com/news/brandon-ingrams-clippers-debut-on-hold-after-heel-surgery-partial-achilles-tear</x:v>
      </x:c>
    </x:row>
    <x:row r="56">
      <x:c r="A56" t="str">
        <x:v>Jusuf Nurkic foot</x:v>
      </x:c>
      <x:c r="B56" t="str">
        <x:v>NBA.com</x:v>
      </x:c>
      <x:c r="C56" t="str">
        <x:v>2026-10-08</x:v>
      </x:c>
      <x:c r="D56" t="str">
        <x:v>Partial plantar plate tear; four-week reevaluation.</x:v>
      </x:c>
      <x:c r="E56" t="str">
        <x:v>https://www.nba.com/news/jazz-jusuf-nurkic-foot-injury</x:v>
      </x:c>
    </x:row>
    <x:row r="57">
      <x:c r="A57" t="str">
        <x:v>Max Strus foot</x:v>
      </x:c>
      <x:c r="B57" t="str">
        <x:v>NBA.com</x:v>
      </x:c>
      <x:c r="C57" t="str">
        <x:v>2026-10-05</x:v>
      </x:c>
      <x:c r="D57" t="str">
        <x:v>Partial plantar fascia tear; expected to miss start of season, four-week reevaluation.</x:v>
      </x:c>
      <x:c r="E57" t="str">
        <x:v>https://www.nba.com/news/clippers-max-strus-to-miss-start-of-season-with-foot-injury</x:v>
      </x:c>
    </x:row>
    <x:row r="58">
      <x:c r="A58" t="str">
        <x:v>Tobias Harris calf</x:v>
      </x:c>
      <x:c r="B58" t="str">
        <x:v>NBA.com / Associated Press</x:v>
      </x:c>
      <x:c r="C58" t="str">
        <x:v>2026-10-05</x:v>
      </x:c>
      <x:c r="D58" t="str">
        <x:v>Calf strain; preseason absence and opener uncertainty.</x:v>
      </x:c>
      <x:c r="E58" t="str">
        <x:v>https://www.nba.com/news/spurs-harris-questionable-for-regular-season-opener-after-straining-left-calf-in-training-camp</x:v>
      </x:c>
    </x:row>
    <x:row r="59">
      <x:c r="A59" t="str">
        <x:v>Kon Knueppel hamstring</x:v>
      </x:c>
      <x:c r="B59" t="str">
        <x:v>NBA.com / Associated Press</x:v>
      </x:c>
      <x:c r="C59" t="str">
        <x:v>2026-10-06</x:v>
      </x:c>
      <x:c r="D59" t="str">
        <x:v>Expected to miss preseason and could miss start of regular season.</x:v>
      </x:c>
      <x:c r="E59" t="str">
        <x:v>https://www.nba.com/news/hornets-kon-knueppel-injures-his-left-hamstring-and-could-miss-the-start-of-the-season</x:v>
      </x:c>
    </x:row>
    <x:row r="60">
      <x:c r="A60" t="str">
        <x:v>Coby White calf</x:v>
      </x:c>
      <x:c r="B60" t="str">
        <x:v>NBA.com / Associated Press</x:v>
      </x:c>
      <x:c r="C60" t="str">
        <x:v>2026-10-06</x:v>
      </x:c>
      <x:c r="D60" t="str">
        <x:v>Calf strain; preseason absence and opener uncertain.</x:v>
      </x:c>
      <x:c r="E60" t="str">
        <x:v>https://www.nba.com/news/coby-white-preseason-calf-strain</x:v>
      </x:c>
    </x:row>
    <x:row r="61">
      <x:c r="A61" t="str">
        <x:v>Damian Lillard return</x:v>
      </x:c>
      <x:c r="B61" t="str">
        <x:v>NBA.com</x:v>
      </x:c>
      <x:c r="C61" t="str">
        <x:v>2026-10-08</x:v>
      </x:c>
      <x:c r="D61" t="str">
        <x:v>Returned to preseason action from Achilles recovery; still carries age/post-Achilles risk.</x:v>
      </x:c>
      <x:c r="E61" t="str">
        <x:v>https://www.nba.com/news/starting-5-october-8-2026</x:v>
      </x:c>
    </x:row>
  </x:sheetData>
  <x:mergeCells>
    <x:mergeCell ref="A1:E1"/>
    <x:mergeCell ref="A2:E3"/>
  </x:mergeCells>
  <x:pageMargins left="0.7" right="0.7" top="0.75" bottom="0.75" header="0.3" footer="0.3"/>
  <x:tableParts count="1">
    <x:tablePart xmlns:r="http://schemas.openxmlformats.org/officeDocument/2006/relationships" r:id="Rf006ba6c3d054d57"/>
  </x:tableParts>
</x:worksheet>
</file>

<file path=xl/worksheets/sheet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8" hidden="0" customWidth="1"/>
    <x:col min="2" max="2" width="25" hidden="0" customWidth="1"/>
    <x:col min="3" max="3" width="12" hidden="0" customWidth="1"/>
    <x:col min="4" max="4" width="10" hidden="0" customWidth="1"/>
    <x:col min="5" max="5" width="15" hidden="0" customWidth="1"/>
    <x:col min="6" max="6" width="15" hidden="0" customWidth="1"/>
    <x:col min="7" max="7" width="15" hidden="0" customWidth="1"/>
    <x:col min="8" max="8" width="15" hidden="0" customWidth="1"/>
    <x:col min="9" max="9" width="24" hidden="0" customWidth="1"/>
    <x:col min="10" max="10" width="24" hidden="0" customWidth="1"/>
  </x:cols>
  <x:sheetData>
    <x:row r="1" ht="28" customHeight="1">
      <x:c r="A1" s="95" t="str">
        <x:v>NBA FANTASY DRAFT WAR ROOM | OCTOBER 13, 2026</x:v>
      </x:c>
      <x:c r="B1" s="95"/>
      <x:c r="C1" s="95"/>
      <x:c r="D1" s="95"/>
      <x:c r="E1" s="95"/>
      <x:c r="F1" s="118"/>
      <x:c r="G1" s="119"/>
      <x:c r="H1" s="95"/>
      <x:c r="I1" s="95"/>
      <x:c r="J1" s="95"/>
    </x:row>
    <x:row r="2" ht="22" customHeight="1">
      <x:c r="A2" s="99" t="str">
        <x:v>Refresh snapshot: Oct. 10 • 10-team H2H points • custom scoring • final NBA rosters Oct. 19 • season opens Oct. 20</x:v>
      </x:c>
      <x:c r="B2" s="99"/>
      <x:c r="C2" s="99"/>
      <x:c r="D2" s="99"/>
      <x:c r="E2" s="99"/>
      <x:c r="F2" s="99"/>
      <x:c r="G2" s="99"/>
      <x:c r="H2" s="99"/>
      <x:c r="I2" s="99"/>
      <x:c r="J2" s="99"/>
    </x:row>
    <x:row r="4">
      <x:c r="A4" s="102" t="str">
        <x:v>REFRESHED TOP 50</x:v>
      </x:c>
      <x:c r="B4" s="102"/>
      <x:c r="C4" s="102"/>
      <x:c r="D4" s="102"/>
      <x:c r="E4" s="102"/>
      <x:c r="F4" s="102"/>
      <x:c r="G4" s="102"/>
      <x:c r="H4" s="102"/>
      <x:c r="I4" s="102"/>
      <x:c r="J4" s="102"/>
    </x:row>
    <x:row r="5">
      <x:c r="A5" s="106" t="str">
        <x:v>Rank</x:v>
      </x:c>
      <x:c r="B5" s="106" t="str">
        <x:v>Player</x:v>
      </x:c>
      <x:c r="C5" s="106" t="str">
        <x:v>NBA</x:v>
      </x:c>
      <x:c r="D5" s="106" t="str">
        <x:v>Pos</x:v>
      </x:c>
      <x:c r="E5" s="106" t="str">
        <x:v>Old Rank</x:v>
      </x:c>
      <x:c r="F5" s="106" t="str">
        <x:v>Move</x:v>
      </x:c>
      <x:c r="G5" s="106" t="str">
        <x:v>Proj FP/G</x:v>
      </x:c>
      <x:c r="H5" s="106" t="str">
        <x:v>Plan GP</x:v>
      </x:c>
      <x:c r="I5" s="106" t="str">
        <x:v>Risk</x:v>
      </x:c>
      <x:c r="J5" s="106" t="str">
        <x:v>Draft-day note</x:v>
      </x:c>
    </x:row>
    <x:row r="6">
      <x:c r="A6" s="109" t="n">
        <x:v>1</x:v>
      </x:c>
      <x:c r="B6" s="109" t="str">
        <x:v>Nikola Jokic</x:v>
      </x:c>
      <x:c r="C6" s="109" t="str">
        <x:v>DEN</x:v>
      </x:c>
      <x:c r="D6" s="109" t="str">
        <x:v>C</x:v>
      </x:c>
      <x:c r="E6" s="122" t="n">
        <x:v>1</x:v>
      </x:c>
      <x:c r="F6" s="122" t="n">
        <x:v>0</x:v>
      </x:c>
      <x:c r="G6" s="122" t="n">
        <x:v>67.7</x:v>
      </x:c>
      <x:c r="H6" s="122" t="n">
        <x:v>75</x:v>
      </x:c>
      <x:c r="I6" s="122" t="str">
        <x:v>STANDARD</x:v>
      </x:c>
      <x:c r="J6" s="120" t="str">
        <x:v>Best overall fit: scoring efficiency, assists and offensive boards; clear first pick.</x:v>
      </x:c>
    </x:row>
    <x:row r="7">
      <x:c r="A7" s="110" t="n">
        <x:v>2</x:v>
      </x:c>
      <x:c r="B7" s="110" t="str">
        <x:v>Shai Gilgeous-Alexander</x:v>
      </x:c>
      <x:c r="C7" s="110" t="str">
        <x:v>OKC</x:v>
      </x:c>
      <x:c r="D7" s="110" t="str">
        <x:v>PG</x:v>
      </x:c>
      <x:c r="E7" s="123" t="n">
        <x:v>3</x:v>
      </x:c>
      <x:c r="F7" s="123" t="n">
        <x:v>1</x:v>
      </x:c>
      <x:c r="G7" s="123" t="n">
        <x:v>57.2</x:v>
      </x:c>
      <x:c r="H7" s="123" t="n">
        <x:v>77</x:v>
      </x:c>
      <x:c r="I7" s="123" t="str">
        <x:v>STANDARD</x:v>
      </x:c>
      <x:c r="J7" s="121" t="str">
        <x:v>Elite efficient guard; excellent first-round combination of per-game value and availability.</x:v>
      </x:c>
    </x:row>
    <x:row r="8">
      <x:c r="A8" s="109" t="n">
        <x:v>3</x:v>
      </x:c>
      <x:c r="B8" s="109" t="str">
        <x:v>Luka Doncic</x:v>
      </x:c>
      <x:c r="C8" s="109" t="str">
        <x:v>LAL</x:v>
      </x:c>
      <x:c r="D8" s="109" t="str">
        <x:v>PG</x:v>
      </x:c>
      <x:c r="E8" s="122" t="n">
        <x:v>2</x:v>
      </x:c>
      <x:c r="F8" s="122" t="n">
        <x:v>-1</x:v>
      </x:c>
      <x:c r="G8" s="122" t="n">
        <x:v>58.7</x:v>
      </x:c>
      <x:c r="H8" s="122" t="n">
        <x:v>74</x:v>
      </x:c>
      <x:c r="I8" s="122" t="str">
        <x:v>STANDARD</x:v>
      </x:c>
      <x:c r="J8" s="120" t="str">
        <x:v>Incremental upside with LeBron gone; misses and turnovers still reduce raw scoring value.</x:v>
      </x:c>
    </x:row>
    <x:row r="9">
      <x:c r="A9" s="110" t="n">
        <x:v>4</x:v>
      </x:c>
      <x:c r="B9" s="110" t="str">
        <x:v>Giannis Antetokounmpo</x:v>
      </x:c>
      <x:c r="C9" s="110" t="str">
        <x:v>MIA</x:v>
      </x:c>
      <x:c r="D9" s="110" t="str">
        <x:v>PF</x:v>
      </x:c>
      <x:c r="E9" s="123" t="n">
        <x:v>4</x:v>
      </x:c>
      <x:c r="F9" s="123" t="n">
        <x:v>0</x:v>
      </x:c>
      <x:c r="G9" s="123" t="n">
        <x:v>62.9</x:v>
      </x:c>
      <x:c r="H9" s="123" t="n">
        <x:v>73</x:v>
      </x:c>
      <x:c r="I9" s="123" t="str">
        <x:v>MEDIUM</x:v>
      </x:c>
      <x:c r="J9" s="121" t="str">
        <x:v>Miami move; huge per-game ceiling. Temper minutes and games assumptions after 36-game season.</x:v>
      </x:c>
    </x:row>
    <x:row r="10">
      <x:c r="A10" s="109" t="n">
        <x:v>5</x:v>
      </x:c>
      <x:c r="B10" s="109" t="str">
        <x:v>Victor Wembanyama</x:v>
      </x:c>
      <x:c r="C10" s="109" t="str">
        <x:v>SAS</x:v>
      </x:c>
      <x:c r="D10" s="109" t="str">
        <x:v>C</x:v>
      </x:c>
      <x:c r="E10" s="122" t="n">
        <x:v>5</x:v>
      </x:c>
      <x:c r="F10" s="122" t="n">
        <x:v>0</x:v>
      </x:c>
      <x:c r="G10" s="122" t="n">
        <x:v>54.1</x:v>
      </x:c>
      <x:c r="H10" s="122" t="n">
        <x:v>73</x:v>
      </x:c>
      <x:c r="I10" s="122" t="str">
        <x:v>MEDIUM</x:v>
      </x:c>
      <x:c r="J10" s="120" t="str">
        <x:v>Elite, but blocks count only 1.5 here. Do not import a category-league No. 1 valuation.</x:v>
      </x:c>
    </x:row>
    <x:row r="11">
      <x:c r="A11" s="110" t="n">
        <x:v>6</x:v>
      </x:c>
      <x:c r="B11" s="110" t="str">
        <x:v>Karl-Anthony Towns</x:v>
      </x:c>
      <x:c r="C11" s="110" t="str">
        <x:v>NYK</x:v>
      </x:c>
      <x:c r="D11" s="110" t="str">
        <x:v>C</x:v>
      </x:c>
      <x:c r="E11" s="123" t="n">
        <x:v>6</x:v>
      </x:c>
      <x:c r="F11" s="123" t="n">
        <x:v>0</x:v>
      </x:c>
      <x:c r="G11" s="123" t="n">
        <x:v>48.6</x:v>
      </x:c>
      <x:c r="H11" s="123" t="n">
        <x:v>74</x:v>
      </x:c>
      <x:c r="I11" s="123" t="str">
        <x:v>STANDARD</x:v>
      </x:c>
      <x:c r="J11" s="121" t="str">
        <x:v>Premium combination of offensive rebounding, shooting and scoring for this formula.</x:v>
      </x:c>
    </x:row>
    <x:row r="12">
      <x:c r="A12" s="109" t="n">
        <x:v>7</x:v>
      </x:c>
      <x:c r="B12" s="109" t="str">
        <x:v>Jayson Tatum</x:v>
      </x:c>
      <x:c r="C12" s="109" t="str">
        <x:v>BOS</x:v>
      </x:c>
      <x:c r="D12" s="109" t="str">
        <x:v>SF</x:v>
      </x:c>
      <x:c r="E12" s="122" t="n">
        <x:v>9</x:v>
      </x:c>
      <x:c r="F12" s="122" t="n">
        <x:v>2</x:v>
      </x:c>
      <x:c r="G12" s="122" t="n">
        <x:v>48.3</x:v>
      </x:c>
      <x:c r="H12" s="122" t="n">
        <x:v>74</x:v>
      </x:c>
      <x:c r="I12" s="122" t="str">
        <x:v>MEDIUM</x:v>
      </x:c>
      <x:c r="J12" s="120" t="str">
        <x:v>Boston's central scorer again; 16-game 2025-26 sample is not a full-season baseline.</x:v>
      </x:c>
    </x:row>
    <x:row r="13">
      <x:c r="A13" s="110" t="n">
        <x:v>8</x:v>
      </x:c>
      <x:c r="B13" s="110" t="str">
        <x:v>Cade Cunningham</x:v>
      </x:c>
      <x:c r="C13" s="110" t="str">
        <x:v>DET</x:v>
      </x:c>
      <x:c r="D13" s="110" t="str">
        <x:v>PG</x:v>
      </x:c>
      <x:c r="E13" s="123" t="n">
        <x:v>7</x:v>
      </x:c>
      <x:c r="F13" s="123" t="n">
        <x:v>-1</x:v>
      </x:c>
      <x:c r="G13" s="123" t="n">
        <x:v>47</x:v>
      </x:c>
      <x:c r="H13" s="123" t="n">
        <x:v>74</x:v>
      </x:c>
      <x:c r="I13" s="123" t="str">
        <x:v>STANDARD</x:v>
      </x:c>
      <x:c r="J13" s="121" t="str">
        <x:v>Core guard target; assists help, but turnovers stop him matching the top three.</x:v>
      </x:c>
    </x:row>
    <x:row r="14">
      <x:c r="A14" s="109" t="n">
        <x:v>9</x:v>
      </x:c>
      <x:c r="B14" s="109" t="str">
        <x:v>Anthony Edwards</x:v>
      </x:c>
      <x:c r="C14" s="109" t="str">
        <x:v>MIN</x:v>
      </x:c>
      <x:c r="D14" s="109" t="str">
        <x:v>SG</x:v>
      </x:c>
      <x:c r="E14" s="122" t="n">
        <x:v>10</x:v>
      </x:c>
      <x:c r="F14" s="122" t="n">
        <x:v>1</x:v>
      </x:c>
      <x:c r="G14" s="122" t="n">
        <x:v>45.9</x:v>
      </x:c>
      <x:c r="H14" s="122" t="n">
        <x:v>75</x:v>
      </x:c>
      <x:c r="I14" s="122" t="str">
        <x:v>STANDARD</x:v>
      </x:c>
      <x:c r="J14" s="120" t="str">
        <x:v>Minnesota now includes LaMelo; avoid assuming both get full primary-handler usage.</x:v>
      </x:c>
    </x:row>
    <x:row r="15">
      <x:c r="A15" s="110" t="n">
        <x:v>10</x:v>
      </x:c>
      <x:c r="B15" s="110" t="str">
        <x:v>Jalen Johnson</x:v>
      </x:c>
      <x:c r="C15" s="110" t="str">
        <x:v>ATL</x:v>
      </x:c>
      <x:c r="D15" s="110" t="str">
        <x:v>PF</x:v>
      </x:c>
      <x:c r="E15" s="123" t="n">
        <x:v>8</x:v>
      </x:c>
      <x:c r="F15" s="123" t="n">
        <x:v>-2</x:v>
      </x:c>
      <x:c r="G15" s="123" t="n">
        <x:v>45.9</x:v>
      </x:c>
      <x:c r="H15" s="123" t="n">
        <x:v>75</x:v>
      </x:c>
      <x:c r="I15" s="123" t="str">
        <x:v>STANDARD</x:v>
      </x:c>
      <x:c r="J15" s="121" t="str">
        <x:v>Strong all-around production; slight growth preference over the consensus input.</x:v>
      </x:c>
    </x:row>
    <x:row r="16">
      <x:c r="A16" s="109" t="n">
        <x:v>11</x:v>
      </x:c>
      <x:c r="B16" s="109" t="str">
        <x:v>Donovan Mitchell</x:v>
      </x:c>
      <x:c r="C16" s="109" t="str">
        <x:v>CLE</x:v>
      </x:c>
      <x:c r="D16" s="109" t="str">
        <x:v>SG</x:v>
      </x:c>
      <x:c r="E16" s="122" t="n">
        <x:v>12</x:v>
      </x:c>
      <x:c r="F16" s="122" t="n">
        <x:v>1</x:v>
      </x:c>
      <x:c r="G16" s="122" t="n">
        <x:v>45.3</x:v>
      </x:c>
      <x:c r="H16" s="122" t="n">
        <x:v>75</x:v>
      </x:c>
      <x:c r="I16" s="122" t="str">
        <x:v>STANDARD</x:v>
      </x:c>
      <x:c r="J16" s="120" t="str">
        <x:v>Cleveland's Harden partnership already reflected in baseline; strong scoring-efficiency target.</x:v>
      </x:c>
    </x:row>
    <x:row r="17">
      <x:c r="A17" s="110" t="n">
        <x:v>12</x:v>
      </x:c>
      <x:c r="B17" s="110" t="str">
        <x:v>Domantas Sabonis</x:v>
      </x:c>
      <x:c r="C17" s="110" t="str">
        <x:v>SAC</x:v>
      </x:c>
      <x:c r="D17" s="110" t="str">
        <x:v>C</x:v>
      </x:c>
      <x:c r="E17" s="123" t="n">
        <x:v>13</x:v>
      </x:c>
      <x:c r="F17" s="123" t="n">
        <x:v>1</x:v>
      </x:c>
      <x:c r="G17" s="123" t="n">
        <x:v>47.5</x:v>
      </x:c>
      <x:c r="H17" s="123" t="n">
        <x:v>70</x:v>
      </x:c>
      <x:c r="I17" s="123" t="str">
        <x:v>MEDIUM</x:v>
      </x:c>
      <x:c r="J17" s="121" t="str">
        <x:v>Preseason absence/issue merits a small buffer, not a major downgrade absent a serious timetable.</x:v>
      </x:c>
    </x:row>
    <x:row r="18">
      <x:c r="A18" s="109" t="n">
        <x:v>13</x:v>
      </x:c>
      <x:c r="B18" s="109" t="str">
        <x:v>Jalen Duren</x:v>
      </x:c>
      <x:c r="C18" s="109" t="str">
        <x:v>DET</x:v>
      </x:c>
      <x:c r="D18" s="109" t="str">
        <x:v>C</x:v>
      </x:c>
      <x:c r="E18" s="122" t="n">
        <x:v>21</x:v>
      </x:c>
      <x:c r="F18" s="122" t="n">
        <x:v>8</x:v>
      </x:c>
      <x:c r="G18" s="122" t="n">
        <x:v>45.9</x:v>
      </x:c>
      <x:c r="H18" s="122" t="n">
        <x:v>73</x:v>
      </x:c>
      <x:c r="I18" s="122" t="str">
        <x:v>STANDARD</x:v>
      </x:c>
      <x:c r="J18" s="120" t="str">
        <x:v>Contract resolved: five-year extension signed; back practicing and expected to play in preseason. Remove prior holdout/contract discount.</x:v>
      </x:c>
    </x:row>
    <x:row r="19">
      <x:c r="A19" s="110" t="n">
        <x:v>14</x:v>
      </x:c>
      <x:c r="B19" s="110" t="str">
        <x:v>Alperen Sengun</x:v>
      </x:c>
      <x:c r="C19" s="110" t="str">
        <x:v>HOU</x:v>
      </x:c>
      <x:c r="D19" s="110" t="str">
        <x:v>C</x:v>
      </x:c>
      <x:c r="E19" s="123" t="n">
        <x:v>11</x:v>
      </x:c>
      <x:c r="F19" s="123" t="n">
        <x:v>-3</x:v>
      </x:c>
      <x:c r="G19" s="123" t="n">
        <x:v>43.7</x:v>
      </x:c>
      <x:c r="H19" s="123" t="n">
        <x:v>75</x:v>
      </x:c>
      <x:c r="I19" s="123" t="str">
        <x:v>STANDARD</x:v>
      </x:c>
      <x:c r="J19" s="121" t="str">
        <x:v>High-value big-man blend; slight growth adjustment, not an assumption of unlimited touches.</x:v>
      </x:c>
    </x:row>
    <x:row r="20">
      <x:c r="A20" s="109" t="n">
        <x:v>15</x:v>
      </x:c>
      <x:c r="B20" s="109" t="str">
        <x:v>Cooper Flagg</x:v>
      </x:c>
      <x:c r="C20" s="109" t="str">
        <x:v>DAL</x:v>
      </x:c>
      <x:c r="D20" s="109" t="str">
        <x:v>SF</x:v>
      </x:c>
      <x:c r="E20" s="122" t="n">
        <x:v>20</x:v>
      </x:c>
      <x:c r="F20" s="122" t="n">
        <x:v>5</x:v>
      </x:c>
      <x:c r="G20" s="122" t="n">
        <x:v>43.8</x:v>
      </x:c>
      <x:c r="H20" s="122" t="n">
        <x:v>75</x:v>
      </x:c>
      <x:c r="I20" s="122" t="str">
        <x:v>STANDARD</x:v>
      </x:c>
      <x:c r="J20" s="120" t="str">
        <x:v>Second-year growth case; slight upside adjustment, with a wider range than established stars.</x:v>
      </x:c>
    </x:row>
    <x:row r="21">
      <x:c r="A21" s="110" t="n">
        <x:v>16</x:v>
      </x:c>
      <x:c r="B21" s="110" t="str">
        <x:v>Tyrese Maxey</x:v>
      </x:c>
      <x:c r="C21" s="110" t="str">
        <x:v>PHI</x:v>
      </x:c>
      <x:c r="D21" s="110" t="str">
        <x:v>PG</x:v>
      </x:c>
      <x:c r="E21" s="123" t="n">
        <x:v>18</x:v>
      </x:c>
      <x:c r="F21" s="123" t="n">
        <x:v>2</x:v>
      </x:c>
      <x:c r="G21" s="123" t="n">
        <x:v>43</x:v>
      </x:c>
      <x:c r="H21" s="123" t="n">
        <x:v>75</x:v>
      </x:c>
      <x:c r="I21" s="123" t="str">
        <x:v>STANDARD</x:v>
      </x:c>
      <x:c r="J21" s="121" t="str">
        <x:v>Philadelphia's crowded star rotation warrants a substantial fall from last season.</x:v>
      </x:c>
    </x:row>
    <x:row r="22">
      <x:c r="A22" s="109" t="n">
        <x:v>17</x:v>
      </x:c>
      <x:c r="B22" s="109" t="str">
        <x:v>Anthony Davis</x:v>
      </x:c>
      <x:c r="C22" s="109" t="str">
        <x:v>WAS</x:v>
      </x:c>
      <x:c r="D22" s="109" t="str">
        <x:v>PF</x:v>
      </x:c>
      <x:c r="E22" s="122" t="n">
        <x:v>14</x:v>
      </x:c>
      <x:c r="F22" s="122" t="n">
        <x:v>-3</x:v>
      </x:c>
      <x:c r="G22" s="122" t="n">
        <x:v>46.1</x:v>
      </x:c>
      <x:c r="H22" s="122" t="n">
        <x:v>66</x:v>
      </x:c>
      <x:c r="I22" s="122" t="str">
        <x:v>MEDIUM</x:v>
      </x:c>
      <x:c r="J22" s="120" t="str">
        <x:v>Healthy in camp and productive in preseason debut. Availability history still warrants a modest games discount.</x:v>
      </x:c>
    </x:row>
    <x:row r="23">
      <x:c r="A23" s="110" t="n">
        <x:v>18</x:v>
      </x:c>
      <x:c r="B23" s="110" t="str">
        <x:v>Devin Booker</x:v>
      </x:c>
      <x:c r="C23" s="110" t="str">
        <x:v>PHX</x:v>
      </x:c>
      <x:c r="D23" s="110" t="str">
        <x:v>SG</x:v>
      </x:c>
      <x:c r="E23" s="123" t="n">
        <x:v>15</x:v>
      </x:c>
      <x:c r="F23" s="123" t="n">
        <x:v>-3</x:v>
      </x:c>
      <x:c r="G23" s="123" t="n">
        <x:v>42.8</x:v>
      </x:c>
      <x:c r="H23" s="123" t="n">
        <x:v>75</x:v>
      </x:c>
      <x:c r="I23" s="123" t="str">
        <x:v>STANDARD</x:v>
      </x:c>
      <x:c r="J23" s="121" t="str">
        <x:v>Strong scoring foundation; more reliable target than speculative breakout guards.</x:v>
      </x:c>
    </x:row>
    <x:row r="24">
      <x:c r="A24" s="109" t="n">
        <x:v>19</x:v>
      </x:c>
      <x:c r="B24" s="109" t="str">
        <x:v>Jalen Brunson</x:v>
      </x:c>
      <x:c r="C24" s="109" t="str">
        <x:v>NYK</x:v>
      </x:c>
      <x:c r="D24" s="109" t="str">
        <x:v>PG</x:v>
      </x:c>
      <x:c r="E24" s="122" t="n">
        <x:v>19</x:v>
      </x:c>
      <x:c r="F24" s="122" t="n">
        <x:v>0</x:v>
      </x:c>
      <x:c r="G24" s="122" t="n">
        <x:v>42.9</x:v>
      </x:c>
      <x:c r="H24" s="122" t="n">
        <x:v>75</x:v>
      </x:c>
      <x:c r="I24" s="122" t="str">
        <x:v>STANDARD</x:v>
      </x:c>
      <x:c r="J24" s="120" t="str">
        <x:v>Excellent guard anchor when the elite early picks are gone.</x:v>
      </x:c>
    </x:row>
    <x:row r="25">
      <x:c r="A25" s="110" t="n">
        <x:v>20</x:v>
      </x:c>
      <x:c r="B25" s="110" t="str">
        <x:v>Evan Mobley</x:v>
      </x:c>
      <x:c r="C25" s="110" t="str">
        <x:v>CLE</x:v>
      </x:c>
      <x:c r="D25" s="110" t="str">
        <x:v>PF</x:v>
      </x:c>
      <x:c r="E25" s="123" t="n">
        <x:v>16</x:v>
      </x:c>
      <x:c r="F25" s="123" t="n">
        <x:v>-4</x:v>
      </x:c>
      <x:c r="G25" s="123" t="n">
        <x:v>43.1</x:v>
      </x:c>
      <x:c r="H25" s="123" t="n">
        <x:v>72</x:v>
      </x:c>
      <x:c r="I25" s="123" t="str">
        <x:v>STANDARD</x:v>
      </x:c>
      <x:c r="J25" s="121" t="str">
        <x:v>Efficient big-man production without needing a huge scoring load.</x:v>
      </x:c>
    </x:row>
    <x:row r="26">
      <x:c r="A26" s="109" t="n">
        <x:v>21</x:v>
      </x:c>
      <x:c r="B26" s="109" t="str">
        <x:v>Paolo Banchero</x:v>
      </x:c>
      <x:c r="C26" s="109" t="str">
        <x:v>ORL</x:v>
      </x:c>
      <x:c r="D26" s="109" t="str">
        <x:v>PF</x:v>
      </x:c>
      <x:c r="E26" s="122" t="n">
        <x:v>17</x:v>
      </x:c>
      <x:c r="F26" s="122" t="n">
        <x:v>-4</x:v>
      </x:c>
      <x:c r="G26" s="122" t="n">
        <x:v>42.7</x:v>
      </x:c>
      <x:c r="H26" s="122" t="n">
        <x:v>74</x:v>
      </x:c>
      <x:c r="I26" s="122" t="str">
        <x:v>STANDARD</x:v>
      </x:c>
      <x:c r="J26" s="120" t="str">
        <x:v>Balanced forward target; missed shots and free throws can cap his fantasy efficiency.</x:v>
      </x:c>
    </x:row>
    <x:row r="27">
      <x:c r="A27" s="110" t="n">
        <x:v>22</x:v>
      </x:c>
      <x:c r="B27" s="110" t="str">
        <x:v>Austin Reaves</x:v>
      </x:c>
      <x:c r="C27" s="110" t="str">
        <x:v>LAL</x:v>
      </x:c>
      <x:c r="D27" s="110" t="str">
        <x:v>SG</x:v>
      </x:c>
      <x:c r="E27" s="123" t="n">
        <x:v>22</x:v>
      </x:c>
      <x:c r="F27" s="123" t="n">
        <x:v>0</x:v>
      </x:c>
      <x:c r="G27" s="123" t="n">
        <x:v>42.1</x:v>
      </x:c>
      <x:c r="H27" s="123" t="n">
        <x:v>73</x:v>
      </x:c>
      <x:c r="I27" s="123" t="str">
        <x:v>STANDARD</x:v>
      </x:c>
      <x:c r="J27" s="121" t="str">
        <x:v>LeBron's departure supports a bigger offensive role; modest upside over consensus.</x:v>
      </x:c>
    </x:row>
    <x:row r="28">
      <x:c r="A28" s="109" t="n">
        <x:v>23</x:v>
      </x:c>
      <x:c r="B28" s="109" t="str">
        <x:v>Kevin Durant</x:v>
      </x:c>
      <x:c r="C28" s="109" t="str">
        <x:v>HOU</x:v>
      </x:c>
      <x:c r="D28" s="109" t="str">
        <x:v>SF</x:v>
      </x:c>
      <x:c r="E28" s="122" t="n">
        <x:v>29</x:v>
      </x:c>
      <x:c r="F28" s="122" t="n">
        <x:v>6</x:v>
      </x:c>
      <x:c r="G28" s="122" t="n">
        <x:v>42.1</x:v>
      </x:c>
      <x:c r="H28" s="122" t="n">
        <x:v>75</x:v>
      </x:c>
      <x:c r="I28" s="122" t="str">
        <x:v>MEDIUM</x:v>
      </x:c>
      <x:c r="J28" s="120" t="str">
        <x:v>Good efficiency keeps value high; use a realistic veteran games assumption.</x:v>
      </x:c>
    </x:row>
    <x:row r="29">
      <x:c r="A29" s="110" t="n">
        <x:v>24</x:v>
      </x:c>
      <x:c r="B29" s="110" t="str">
        <x:v>Scottie Barnes</x:v>
      </x:c>
      <x:c r="C29" s="110" t="str">
        <x:v>TOR</x:v>
      </x:c>
      <x:c r="D29" s="110" t="str">
        <x:v>PF</x:v>
      </x:c>
      <x:c r="E29" s="123" t="n">
        <x:v>23</x:v>
      </x:c>
      <x:c r="F29" s="123" t="n">
        <x:v>-1</x:v>
      </x:c>
      <x:c r="G29" s="123" t="n">
        <x:v>41.8</x:v>
      </x:c>
      <x:c r="H29" s="123" t="n">
        <x:v>75</x:v>
      </x:c>
      <x:c r="I29" s="123" t="str">
        <x:v>STANDARD</x:v>
      </x:c>
      <x:c r="J29" s="121" t="str">
        <x:v>Versatile production; do not assume every offensive category rises with Kawhi present.</x:v>
      </x:c>
    </x:row>
    <x:row r="30">
      <x:c r="A30" s="109" t="n">
        <x:v>25</x:v>
      </x:c>
      <x:c r="B30" s="109" t="str">
        <x:v>Kawhi Leonard</x:v>
      </x:c>
      <x:c r="C30" s="109" t="str">
        <x:v>TOR</x:v>
      </x:c>
      <x:c r="D30" s="109" t="str">
        <x:v>SF</x:v>
      </x:c>
      <x:c r="E30" s="122" t="n">
        <x:v>38</x:v>
      </x:c>
      <x:c r="F30" s="122" t="n">
        <x:v>13</x:v>
      </x:c>
      <x:c r="G30" s="122" t="n">
        <x:v>43.1</x:v>
      </x:c>
      <x:c r="H30" s="122" t="n">
        <x:v>69</x:v>
      </x:c>
      <x:c r="I30" s="122" t="str">
        <x:v>HIGH</x:v>
      </x:c>
      <x:c r="J30" s="120" t="str">
        <x:v>Toronto role is viable; major availability discount despite strong last-season efficiency.</x:v>
      </x:c>
    </x:row>
    <x:row r="31">
      <x:c r="A31" s="110" t="n">
        <x:v>26</x:v>
      </x:c>
      <x:c r="B31" s="110" t="str">
        <x:v>Stephen Curry</x:v>
      </x:c>
      <x:c r="C31" s="110" t="str">
        <x:v>GSW</x:v>
      </x:c>
      <x:c r="D31" s="110" t="str">
        <x:v>PG</x:v>
      </x:c>
      <x:c r="E31" s="123" t="n">
        <x:v>32</x:v>
      </x:c>
      <x:c r="F31" s="123" t="n">
        <x:v>6</x:v>
      </x:c>
      <x:c r="G31" s="123" t="n">
        <x:v>42</x:v>
      </x:c>
      <x:c r="H31" s="123" t="n">
        <x:v>73</x:v>
      </x:c>
      <x:c r="I31" s="123" t="str">
        <x:v>MEDIUM</x:v>
      </x:c>
      <x:c r="J31" s="121" t="str">
        <x:v>Made threes are valuable, but availability prevents a pure per-game ranking.</x:v>
      </x:c>
    </x:row>
    <x:row r="32">
      <x:c r="A32" s="109" t="n">
        <x:v>27</x:v>
      </x:c>
      <x:c r="B32" s="109" t="str">
        <x:v>Bam Adebayo</x:v>
      </x:c>
      <x:c r="C32" s="109" t="str">
        <x:v>MIA</x:v>
      </x:c>
      <x:c r="D32" s="109" t="str">
        <x:v>C</x:v>
      </x:c>
      <x:c r="E32" s="122" t="n">
        <x:v>24</x:v>
      </x:c>
      <x:c r="F32" s="122" t="n">
        <x:v>-3</x:v>
      </x:c>
      <x:c r="G32" s="122" t="n">
        <x:v>41.5</x:v>
      </x:c>
      <x:c r="H32" s="122" t="n">
        <x:v>76</x:v>
      </x:c>
      <x:c r="I32" s="122" t="str">
        <x:v>STANDARD</x:v>
      </x:c>
      <x:c r="J32" s="120" t="str">
        <x:v>Giannis shares interior work. Small downgrade beyond the baseline projection.</x:v>
      </x:c>
    </x:row>
    <x:row r="33">
      <x:c r="A33" s="110" t="n">
        <x:v>28</x:v>
      </x:c>
      <x:c r="B33" s="110" t="str">
        <x:v>Amen Thompson</x:v>
      </x:c>
      <x:c r="C33" s="110" t="str">
        <x:v>HOU</x:v>
      </x:c>
      <x:c r="D33" s="110" t="str">
        <x:v>SG</x:v>
      </x:c>
      <x:c r="E33" s="123" t="n">
        <x:v>27</x:v>
      </x:c>
      <x:c r="F33" s="123" t="n">
        <x:v>-1</x:v>
      </x:c>
      <x:c r="G33" s="123" t="n">
        <x:v>41.2</x:v>
      </x:c>
      <x:c r="H33" s="123" t="n">
        <x:v>78</x:v>
      </x:c>
      <x:c r="I33" s="123" t="str">
        <x:v>STANDARD</x:v>
      </x:c>
      <x:c r="J33" s="121" t="str">
        <x:v>Rebounds and efficiency fit. VanVleet's return limits an unlimited-assists thesis.</x:v>
      </x:c>
    </x:row>
    <x:row r="34">
      <x:c r="A34" s="109" t="n">
        <x:v>29</x:v>
      </x:c>
      <x:c r="B34" s="109" t="str">
        <x:v>Deni Avdija</x:v>
      </x:c>
      <x:c r="C34" s="109" t="str">
        <x:v>POR</x:v>
      </x:c>
      <x:c r="D34" s="109" t="str">
        <x:v>SF</x:v>
      </x:c>
      <x:c r="E34" s="122" t="n">
        <x:v>31</x:v>
      </x:c>
      <x:c r="F34" s="122" t="n">
        <x:v>2</x:v>
      </x:c>
      <x:c r="G34" s="122" t="n">
        <x:v>41.7</x:v>
      </x:c>
      <x:c r="H34" s="122" t="n">
        <x:v>75</x:v>
      </x:c>
      <x:c r="I34" s="122" t="str">
        <x:v>STANDARD</x:v>
      </x:c>
      <x:c r="J34" s="120" t="str">
        <x:v>Morant and Lillard compete for creation; price below last year's peak role.</x:v>
      </x:c>
    </x:row>
    <x:row r="35">
      <x:c r="A35" s="110" t="n">
        <x:v>30</x:v>
      </x:c>
      <x:c r="B35" s="110" t="str">
        <x:v>Joel Embiid</x:v>
      </x:c>
      <x:c r="C35" s="110" t="str">
        <x:v>PHI</x:v>
      </x:c>
      <x:c r="D35" s="110" t="str">
        <x:v>C</x:v>
      </x:c>
      <x:c r="E35" s="123" t="n">
        <x:v>47</x:v>
      </x:c>
      <x:c r="F35" s="123" t="n">
        <x:v>17</x:v>
      </x:c>
      <x:c r="G35" s="123" t="n">
        <x:v>47.6</x:v>
      </x:c>
      <x:c r="H35" s="123" t="n">
        <x:v>55</x:v>
      </x:c>
      <x:c r="I35" s="123" t="str">
        <x:v>HIGH</x:v>
      </x:c>
      <x:c r="J35" s="121" t="str">
        <x:v>Healthy enough for preseason work, but recent availability remains too volatile to price at pure per-game value.</x:v>
      </x:c>
    </x:row>
    <x:row r="36">
      <x:c r="A36" s="109" t="n">
        <x:v>31</x:v>
      </x:c>
      <x:c r="B36" s="109" t="str">
        <x:v>Josh Giddey</x:v>
      </x:c>
      <x:c r="C36" s="109" t="str">
        <x:v>CHI</x:v>
      </x:c>
      <x:c r="D36" s="109" t="str">
        <x:v>PG</x:v>
      </x:c>
      <x:c r="E36" s="122" t="n">
        <x:v>25</x:v>
      </x:c>
      <x:c r="F36" s="122" t="n">
        <x:v>-6</x:v>
      </x:c>
      <x:c r="G36" s="122" t="n">
        <x:v>41.5</x:v>
      </x:c>
      <x:c r="H36" s="122" t="n">
        <x:v>73</x:v>
      </x:c>
      <x:c r="I36" s="122" t="str">
        <x:v>STANDARD</x:v>
      </x:c>
      <x:c r="J36" s="120" t="str">
        <x:v>Rebounding guard profile plays well; losses from missed shots and turnovers still matter.</x:v>
      </x:c>
    </x:row>
    <x:row r="37">
      <x:c r="A37" s="110" t="n">
        <x:v>32</x:v>
      </x:c>
      <x:c r="B37" s="110" t="str">
        <x:v>LaMelo Ball</x:v>
      </x:c>
      <x:c r="C37" s="110" t="str">
        <x:v>MIN</x:v>
      </x:c>
      <x:c r="D37" s="110" t="str">
        <x:v>PG</x:v>
      </x:c>
      <x:c r="E37" s="123" t="n">
        <x:v>33</x:v>
      </x:c>
      <x:c r="F37" s="123" t="n">
        <x:v>1</x:v>
      </x:c>
      <x:c r="G37" s="123" t="n">
        <x:v>41.6</x:v>
      </x:c>
      <x:c r="H37" s="123" t="n">
        <x:v>73</x:v>
      </x:c>
      <x:c r="I37" s="123" t="str">
        <x:v>MEDIUM</x:v>
      </x:c>
      <x:c r="J37" s="121" t="str">
        <x:v>New Minnesota role; passing upside, but health and shot efficiency remain key variables.</x:v>
      </x:c>
    </x:row>
    <x:row r="38">
      <x:c r="A38" s="109" t="n">
        <x:v>33</x:v>
      </x:c>
      <x:c r="B38" s="109" t="str">
        <x:v>Jamal Murray</x:v>
      </x:c>
      <x:c r="C38" s="109" t="str">
        <x:v>DEN</x:v>
      </x:c>
      <x:c r="D38" s="109" t="str">
        <x:v>PG</x:v>
      </x:c>
      <x:c r="E38" s="122" t="n">
        <x:v>26</x:v>
      </x:c>
      <x:c r="F38" s="122" t="n">
        <x:v>-7</x:v>
      </x:c>
      <x:c r="G38" s="122" t="n">
        <x:v>41.1</x:v>
      </x:c>
      <x:c r="H38" s="122" t="n">
        <x:v>74</x:v>
      </x:c>
      <x:c r="I38" s="122" t="str">
        <x:v>MEDIUM</x:v>
      </x:c>
      <x:c r="J38" s="120" t="str">
        <x:v>Good scoring/assists mix; projected regression from a very strong 2025-26.</x:v>
      </x:c>
    </x:row>
    <x:row r="39">
      <x:c r="A39" s="110" t="n">
        <x:v>34</x:v>
      </x:c>
      <x:c r="B39" s="110" t="str">
        <x:v>Pascal Siakam</x:v>
      </x:c>
      <x:c r="C39" s="110" t="str">
        <x:v>IND</x:v>
      </x:c>
      <x:c r="D39" s="110" t="str">
        <x:v>PF</x:v>
      </x:c>
      <x:c r="E39" s="123" t="n">
        <x:v>30</x:v>
      </x:c>
      <x:c r="F39" s="123" t="n">
        <x:v>-4</x:v>
      </x:c>
      <x:c r="G39" s="123" t="n">
        <x:v>41.2</x:v>
      </x:c>
      <x:c r="H39" s="123" t="n">
        <x:v>76</x:v>
      </x:c>
      <x:c r="I39" s="123" t="str">
        <x:v>STANDARD</x:v>
      </x:c>
      <x:c r="J39" s="121" t="str">
        <x:v>Steady multi-category production; Haliburton's return supports a more balanced offense.</x:v>
      </x:c>
    </x:row>
    <x:row r="40">
      <x:c r="A40" s="109" t="n">
        <x:v>35</x:v>
      </x:c>
      <x:c r="B40" s="109" t="str">
        <x:v>Zion Williamson</x:v>
      </x:c>
      <x:c r="C40" s="109" t="str">
        <x:v>NOP</x:v>
      </x:c>
      <x:c r="D40" s="109" t="str">
        <x:v>PF</x:v>
      </x:c>
      <x:c r="E40" s="122" t="n">
        <x:v>50</x:v>
      </x:c>
      <x:c r="F40" s="122" t="n">
        <x:v>15</x:v>
      </x:c>
      <x:c r="G40" s="122" t="n">
        <x:v>42.4</x:v>
      </x:c>
      <x:c r="H40" s="122" t="n">
        <x:v>69</x:v>
      </x:c>
      <x:c r="I40" s="122" t="str">
        <x:v>HIGH</x:v>
      </x:c>
      <x:c r="J40" s="120" t="str">
        <x:v>Efficient scoring helps; no 70-game assumption and no discounting free-throw misses.</x:v>
      </x:c>
    </x:row>
    <x:row r="41">
      <x:c r="A41" s="110" t="n">
        <x:v>36</x:v>
      </x:c>
      <x:c r="B41" s="110" t="str">
        <x:v>Franz Wagner</x:v>
      </x:c>
      <x:c r="C41" s="110" t="str">
        <x:v>ORL</x:v>
      </x:c>
      <x:c r="D41" s="110" t="str">
        <x:v>SF</x:v>
      </x:c>
      <x:c r="E41" s="123" t="n">
        <x:v>28</x:v>
      </x:c>
      <x:c r="F41" s="123" t="n">
        <x:v>-8</x:v>
      </x:c>
      <x:c r="G41" s="123" t="n">
        <x:v>40.9</x:v>
      </x:c>
      <x:c r="H41" s="123" t="n">
        <x:v>72</x:v>
      </x:c>
      <x:c r="I41" s="123" t="str">
        <x:v>MEDIUM</x:v>
      </x:c>
      <x:c r="J41" s="121" t="str">
        <x:v>High-end forward option; games and shooting efficiency are the main draft checks.</x:v>
      </x:c>
    </x:row>
    <x:row r="42">
      <x:c r="A42" s="109" t="n">
        <x:v>37</x:v>
      </x:c>
      <x:c r="B42" s="109" t="str">
        <x:v>Ivica Zubac</x:v>
      </x:c>
      <x:c r="C42" s="109" t="str">
        <x:v>IND</x:v>
      </x:c>
      <x:c r="D42" s="109" t="str">
        <x:v>C</x:v>
      </x:c>
      <x:c r="E42" s="122" t="n">
        <x:v>35</x:v>
      </x:c>
      <x:c r="F42" s="122" t="n">
        <x:v>-2</x:v>
      </x:c>
      <x:c r="G42" s="122" t="n">
        <x:v>41</x:v>
      </x:c>
      <x:c r="H42" s="122" t="n">
        <x:v>74</x:v>
      </x:c>
      <x:c r="I42" s="122" t="str">
        <x:v>STANDARD</x:v>
      </x:c>
      <x:c r="J42" s="120" t="str">
        <x:v>Excellent efficient rebounder; Haliburton pairing supports his Indiana role.</x:v>
      </x:c>
    </x:row>
    <x:row r="43">
      <x:c r="A43" s="110" t="n">
        <x:v>38</x:v>
      </x:c>
      <x:c r="B43" s="110" t="str">
        <x:v>LeBron James</x:v>
      </x:c>
      <x:c r="C43" s="110" t="str">
        <x:v>PHI</x:v>
      </x:c>
      <x:c r="D43" s="110" t="str">
        <x:v>SF</x:v>
      </x:c>
      <x:c r="E43" s="123" t="n">
        <x:v>37</x:v>
      </x:c>
      <x:c r="F43" s="123" t="n">
        <x:v>-1</x:v>
      </x:c>
      <x:c r="G43" s="123" t="n">
        <x:v>41.5</x:v>
      </x:c>
      <x:c r="H43" s="123" t="n">
        <x:v>68</x:v>
      </x:c>
      <x:c r="I43" s="123" t="str">
        <x:v>MEDIUM</x:v>
      </x:c>
      <x:c r="J43" s="121" t="str">
        <x:v>Philadelphia's crowded offense and veteran workload call for a discount from name value.</x:v>
      </x:c>
    </x:row>
    <x:row r="44">
      <x:c r="A44" s="109" t="n">
        <x:v>39</x:v>
      </x:c>
      <x:c r="B44" s="109" t="str">
        <x:v>Jaylen Brown</x:v>
      </x:c>
      <x:c r="C44" s="109" t="str">
        <x:v>PHI</x:v>
      </x:c>
      <x:c r="D44" s="109" t="str">
        <x:v>SG</x:v>
      </x:c>
      <x:c r="E44" s="122" t="n">
        <x:v>36</x:v>
      </x:c>
      <x:c r="F44" s="122" t="n">
        <x:v>-3</x:v>
      </x:c>
      <x:c r="G44" s="122" t="n">
        <x:v>40.4</x:v>
      </x:c>
      <x:c r="H44" s="122" t="n">
        <x:v>75</x:v>
      </x:c>
      <x:c r="I44" s="122" t="str">
        <x:v>STANDARD</x:v>
      </x:c>
      <x:c r="J44" s="120" t="str">
        <x:v>Philadelphia adds major scoring competition; do not pay for Boston's 2025-26 usage.</x:v>
      </x:c>
    </x:row>
    <x:row r="45">
      <x:c r="A45" s="110" t="n">
        <x:v>40</x:v>
      </x:c>
      <x:c r="B45" s="110" t="str">
        <x:v>James Harden</x:v>
      </x:c>
      <x:c r="C45" s="110" t="str">
        <x:v>CLE</x:v>
      </x:c>
      <x:c r="D45" s="110" t="str">
        <x:v>PG</x:v>
      </x:c>
      <x:c r="E45" s="123" t="n">
        <x:v>34</x:v>
      </x:c>
      <x:c r="F45" s="123" t="n">
        <x:v>-6</x:v>
      </x:c>
      <x:c r="G45" s="123" t="n">
        <x:v>40.2</x:v>
      </x:c>
      <x:c r="H45" s="123" t="n">
        <x:v>76</x:v>
      </x:c>
      <x:c r="I45" s="123" t="str">
        <x:v>STANDARD</x:v>
      </x:c>
      <x:c r="J45" s="121" t="str">
        <x:v>Cleveland shared creation limits the old sole-engine ceiling.</x:v>
      </x:c>
    </x:row>
    <x:row r="46">
      <x:c r="A46" s="109" t="n">
        <x:v>41</x:v>
      </x:c>
      <x:c r="B46" s="109" t="str">
        <x:v>Trae Young</x:v>
      </x:c>
      <x:c r="C46" s="109" t="str">
        <x:v>WAS</x:v>
      </x:c>
      <x:c r="D46" s="109" t="str">
        <x:v>PG</x:v>
      </x:c>
      <x:c r="E46" s="122" t="n">
        <x:v>39</x:v>
      </x:c>
      <x:c r="F46" s="122" t="n">
        <x:v>-2</x:v>
      </x:c>
      <x:c r="G46" s="122" t="n">
        <x:v>40.2</x:v>
      </x:c>
      <x:c r="H46" s="122" t="n">
        <x:v>75</x:v>
      </x:c>
      <x:c r="I46" s="122" t="str">
        <x:v>MEDIUM</x:v>
      </x:c>
      <x:c r="J46" s="120" t="str">
        <x:v>Washington has productive targets; turnover penalty means assists alone do not make him elite.</x:v>
      </x:c>
    </x:row>
    <x:row r="47">
      <x:c r="A47" s="110" t="n">
        <x:v>42</x:v>
      </x:c>
      <x:c r="B47" s="110" t="str">
        <x:v>Jarrett Allen</x:v>
      </x:c>
      <x:c r="C47" s="110" t="str">
        <x:v>CLE</x:v>
      </x:c>
      <x:c r="D47" s="110" t="str">
        <x:v>C</x:v>
      </x:c>
      <x:c r="E47" s="123" t="n">
        <x:v>42</x:v>
      </x:c>
      <x:c r="F47" s="123" t="n">
        <x:v>0</x:v>
      </x:c>
      <x:c r="G47" s="123" t="n">
        <x:v>38.9</x:v>
      </x:c>
      <x:c r="H47" s="123" t="n">
        <x:v>75</x:v>
      </x:c>
      <x:c r="I47" s="123" t="str">
        <x:v>STANDARD</x:v>
      </x:c>
      <x:c r="J47" s="121" t="str">
        <x:v>Strong value when offensive rebounds and efficient finishes are rewarded.</x:v>
      </x:c>
    </x:row>
    <x:row r="48">
      <x:c r="A48" s="109" t="n">
        <x:v>43</x:v>
      </x:c>
      <x:c r="B48" s="109" t="str">
        <x:v>Lauri Markkanen</x:v>
      </x:c>
      <x:c r="C48" s="109" t="str">
        <x:v>UTA</x:v>
      </x:c>
      <x:c r="D48" s="109" t="str">
        <x:v>PF</x:v>
      </x:c>
      <x:c r="E48" s="122" t="n">
        <x:v>48</x:v>
      </x:c>
      <x:c r="F48" s="122" t="n">
        <x:v>5</x:v>
      </x:c>
      <x:c r="G48" s="122" t="n">
        <x:v>40.1</x:v>
      </x:c>
      <x:c r="H48" s="122" t="n">
        <x:v>74</x:v>
      </x:c>
      <x:c r="I48" s="122" t="str">
        <x:v>MEDIUM</x:v>
      </x:c>
      <x:c r="J48" s="120" t="str">
        <x:v>Utah has more mouths to feed; do not assume last season's scoring repeats.</x:v>
      </x:c>
    </x:row>
    <x:row r="49">
      <x:c r="A49" s="110" t="n">
        <x:v>44</x:v>
      </x:c>
      <x:c r="B49" s="110" t="str">
        <x:v>Jalen Williams</x:v>
      </x:c>
      <x:c r="C49" s="110" t="str">
        <x:v>OKC</x:v>
      </x:c>
      <x:c r="D49" s="110" t="str">
        <x:v>SF</x:v>
      </x:c>
      <x:c r="E49" s="123" t="n">
        <x:v>45</x:v>
      </x:c>
      <x:c r="F49" s="123" t="n">
        <x:v>1</x:v>
      </x:c>
      <x:c r="G49" s="123" t="n">
        <x:v>38.3</x:v>
      </x:c>
      <x:c r="H49" s="123" t="n">
        <x:v>74</x:v>
      </x:c>
      <x:c r="I49" s="123" t="str">
        <x:v>MEDIUM</x:v>
      </x:c>
      <x:c r="J49" s="121" t="str">
        <x:v>Bounce-back upside; use a realistic health and role range.</x:v>
      </x:c>
    </x:row>
    <x:row r="50">
      <x:c r="A50" s="109" t="n">
        <x:v>45</x:v>
      </x:c>
      <x:c r="B50" s="109" t="str">
        <x:v>Chet Holmgren</x:v>
      </x:c>
      <x:c r="C50" s="109" t="str">
        <x:v>OKC</x:v>
      </x:c>
      <x:c r="D50" s="109" t="str">
        <x:v>C</x:v>
      </x:c>
      <x:c r="E50" s="122" t="n">
        <x:v>40</x:v>
      </x:c>
      <x:c r="F50" s="122" t="n">
        <x:v>-5</x:v>
      </x:c>
      <x:c r="G50" s="122" t="n">
        <x:v>37.8</x:v>
      </x:c>
      <x:c r="H50" s="122" t="n">
        <x:v>72</x:v>
      </x:c>
      <x:c r="I50" s="122" t="str">
        <x:v>MEDIUM</x:v>
      </x:c>
      <x:c r="J50" s="120" t="str">
        <x:v>Good efficiency, but modest block weighting keeps category-league hype in check.</x:v>
      </x:c>
    </x:row>
    <x:row r="51">
      <x:c r="A51" s="110" t="n">
        <x:v>46</x:v>
      </x:c>
      <x:c r="B51" s="110" t="str">
        <x:v>Trey Murphy III</x:v>
      </x:c>
      <x:c r="C51" s="110" t="str">
        <x:v>NOP</x:v>
      </x:c>
      <x:c r="D51" s="110" t="str">
        <x:v>SF</x:v>
      </x:c>
      <x:c r="E51" s="123" t="n">
        <x:v>46</x:v>
      </x:c>
      <x:c r="F51" s="123" t="n">
        <x:v>0</x:v>
      </x:c>
      <x:c r="G51" s="123" t="n">
        <x:v>38</x:v>
      </x:c>
      <x:c r="H51" s="123" t="n">
        <x:v>73</x:v>
      </x:c>
      <x:c r="I51" s="123" t="str">
        <x:v>STANDARD</x:v>
      </x:c>
      <x:c r="J51" s="121" t="str">
        <x:v>Three-point efficiency is useful; projected below a very strong prior season.</x:v>
      </x:c>
    </x:row>
    <x:row r="52">
      <x:c r="A52" s="109" t="n">
        <x:v>47</x:v>
      </x:c>
      <x:c r="B52" s="109" t="str">
        <x:v>Tyrese Haliburton</x:v>
      </x:c>
      <x:c r="C52" s="109" t="str">
        <x:v>IND</x:v>
      </x:c>
      <x:c r="D52" s="109" t="str">
        <x:v>PG</x:v>
      </x:c>
      <x:c r="E52" s="122" t="n">
        <x:v>41</x:v>
      </x:c>
      <x:c r="F52" s="122" t="n">
        <x:v>-6</x:v>
      </x:c>
      <x:c r="G52" s="122" t="n">
        <x:v>41.3</x:v>
      </x:c>
      <x:c r="H52" s="122" t="n">
        <x:v>66</x:v>
      </x:c>
      <x:c r="I52" s="122" t="str">
        <x:v>MEDIUM</x:v>
      </x:c>
      <x:c r="J52" s="120" t="str">
        <x:v>Returned from Achilles absence, then tweaked right ankle in preseason debut. MRI was encouraging, but return-season workload/ramp remains a real draft risk.</x:v>
      </x:c>
    </x:row>
    <x:row r="53">
      <x:c r="A53" s="110" t="n">
        <x:v>48</x:v>
      </x:c>
      <x:c r="B53" s="110" t="str">
        <x:v>Walker Kessler</x:v>
      </x:c>
      <x:c r="C53" s="110" t="str">
        <x:v>LAL</x:v>
      </x:c>
      <x:c r="D53" s="110" t="str">
        <x:v>C</x:v>
      </x:c>
      <x:c r="E53" s="123" t="n">
        <x:v>43</x:v>
      </x:c>
      <x:c r="F53" s="123" t="n">
        <x:v>-5</x:v>
      </x:c>
      <x:c r="G53" s="123" t="n">
        <x:v>39.5</x:v>
      </x:c>
      <x:c r="H53" s="123" t="n">
        <x:v>68</x:v>
      </x:c>
      <x:c r="I53" s="123" t="str">
        <x:v>MEDIUM</x:v>
      </x:c>
      <x:c r="J53" s="121" t="str">
        <x:v>Finger injury has kept him out of preseason games; role remains strong, but add a small health buffer.</x:v>
      </x:c>
    </x:row>
    <x:row r="54">
      <x:c r="A54" s="109" t="n">
        <x:v>49</x:v>
      </x:c>
      <x:c r="B54" s="109" t="str">
        <x:v>Cameron Boozer</x:v>
      </x:c>
      <x:c r="C54" s="109" t="str">
        <x:v>MEM</x:v>
      </x:c>
      <x:c r="D54" s="109" t="str">
        <x:v>PF</x:v>
      </x:c>
      <x:c r="E54" s="122" t="n">
        <x:v>54</x:v>
      </x:c>
      <x:c r="F54" s="122" t="n">
        <x:v>5</x:v>
      </x:c>
      <x:c r="G54" s="122" t="n">
        <x:v>38</x:v>
      </x:c>
      <x:c r="H54" s="122" t="n">
        <x:v>75</x:v>
      </x:c>
      <x:c r="I54" s="122" t="str">
        <x:v>MEDIUM</x:v>
      </x:c>
      <x:c r="J54" s="120" t="str">
        <x:v>Rookie rebound/scoring profile fits; wide range and no NBA historical baseline.</x:v>
      </x:c>
    </x:row>
    <x:row r="55">
      <x:c r="A55" s="110" t="n">
        <x:v>50</x:v>
      </x:c>
      <x:c r="B55" s="110" t="str">
        <x:v>Rudy Gobert</x:v>
      </x:c>
      <x:c r="C55" s="110" t="str">
        <x:v>MIN</x:v>
      </x:c>
      <x:c r="D55" s="110" t="str">
        <x:v>C</x:v>
      </x:c>
      <x:c r="E55" s="123" t="n">
        <x:v>44</x:v>
      </x:c>
      <x:c r="F55" s="123" t="n">
        <x:v>-6</x:v>
      </x:c>
      <x:c r="G55" s="123" t="n">
        <x:v>37.5</x:v>
      </x:c>
      <x:c r="H55" s="123" t="n">
        <x:v>74</x:v>
      </x:c>
      <x:c r="I55" s="123" t="str">
        <x:v>STANDARD</x:v>
      </x:c>
      <x:c r="J55" s="121" t="str">
        <x:v>Useful custom-format target; rebounds and low-turnover finishing offset weaker free throws.</x:v>
      </x:c>
    </x:row>
    <x:row r="58">
      <x:c r="A58" s="102" t="str">
        <x:v>LIVE AVAILABILITY / HEALTH FLAGS</x:v>
      </x:c>
      <x:c r="B58" s="102"/>
      <x:c r="C58" s="102"/>
      <x:c r="D58" s="102"/>
      <x:c r="E58" s="102"/>
      <x:c r="F58" s="102"/>
      <x:c r="G58" s="102"/>
      <x:c r="H58" s="102"/>
      <x:c r="I58" s="102"/>
      <x:c r="J58" s="102"/>
    </x:row>
    <x:row r="59">
      <x:c r="A59" s="113" t="str">
        <x:v>Rank</x:v>
      </x:c>
      <x:c r="B59" s="113" t="str">
        <x:v>Player</x:v>
      </x:c>
      <x:c r="C59" s="113" t="str">
        <x:v>Risk</x:v>
      </x:c>
      <x:c r="D59" s="113" t="str">
        <x:v>Plan GP</x:v>
      </x:c>
      <x:c r="E59" s="113" t="str">
        <x:v>Live note</x:v>
      </x:c>
      <x:c r="F59" s="113"/>
      <x:c r="G59" s="113"/>
      <x:c r="H59" s="137"/>
      <x:c r="I59" s="137" t="str">
        <x:v>Source</x:v>
      </x:c>
      <x:c r="J59" s="137"/>
    </x:row>
    <x:row r="60" ht="42" customHeight="1">
      <x:c r="A60" s="117" t="n">
        <x:v>13</x:v>
      </x:c>
      <x:c r="B60" s="117" t="str">
        <x:v>Jalen Duren</x:v>
      </x:c>
      <x:c r="C60" s="117" t="str">
        <x:v>STANDARD</x:v>
      </x:c>
      <x:c r="D60" s="117" t="n">
        <x:v>73</x:v>
      </x:c>
      <x:c r="E60" s="117" t="str">
        <x:v>Contract resolved: five-year extension signed; back practicing and expected to play in preseason. Remove prior holdout/contract discount.</x:v>
      </x:c>
      <x:c r="F60" s="117"/>
      <x:c r="G60" s="117"/>
      <x:c r="H60" s="117"/>
      <x:c r="I60" s="117" t="str">
        <x:v>https://www.nba.com/news/pistons-jalen-duren-rookie-extension</x:v>
      </x:c>
      <x:c r="J60" s="117"/>
    </x:row>
    <x:row r="61" ht="42" customHeight="1">
      <x:c r="A61" s="117" t="n">
        <x:v>47</x:v>
      </x:c>
      <x:c r="B61" s="117" t="str">
        <x:v>Tyrese Haliburton</x:v>
      </x:c>
      <x:c r="C61" s="117" t="str">
        <x:v>MEDIUM</x:v>
      </x:c>
      <x:c r="D61" s="117" t="n">
        <x:v>66</x:v>
      </x:c>
      <x:c r="E61" s="117" t="str">
        <x:v>Returned from Achilles absence, then tweaked right ankle in preseason debut. MRI was encouraging, but return-season workload/ramp remains a real draft risk.</x:v>
      </x:c>
      <x:c r="F61" s="117"/>
      <x:c r="G61" s="117"/>
      <x:c r="H61" s="117"/>
      <x:c r="I61" s="117" t="str">
        <x:v>https://sports.yahoo.com/articles/tyrese-haliburton-injury-pacers-star-213647317.html</x:v>
      </x:c>
      <x:c r="J61" s="117"/>
    </x:row>
    <x:row r="62" ht="42" customHeight="1">
      <x:c r="A62" s="117" t="n">
        <x:v>52</x:v>
      </x:c>
      <x:c r="B62" s="117" t="str">
        <x:v>Kyrie Irving</x:v>
      </x:c>
      <x:c r="C62" s="117" t="str">
        <x:v>MEDIUM</x:v>
      </x:c>
      <x:c r="D62" s="117" t="n">
        <x:v>62</x:v>
      </x:c>
      <x:c r="E62" s="117" t="str">
        <x:v>Returning after 19-month ACL absence. No reported physical restriction, but conditioning and game-rhythm risk warrant a modest discount.</x:v>
      </x:c>
      <x:c r="F62" s="117"/>
      <x:c r="G62" s="117"/>
      <x:c r="H62" s="117"/>
      <x:c r="I62" s="117" t="str">
        <x:v>https://www.reuters.com/sports/dallas-mavericks-irving-excited-play-again-after-lengthy-injury-absence-2026-10-08/</x:v>
      </x:c>
      <x:c r="J62" s="117"/>
    </x:row>
    <x:row r="63" ht="42" customHeight="1">
      <x:c r="A63" s="117" t="n">
        <x:v>17</x:v>
      </x:c>
      <x:c r="B63" s="117" t="str">
        <x:v>Anthony Davis</x:v>
      </x:c>
      <x:c r="C63" s="117" t="str">
        <x:v>MEDIUM</x:v>
      </x:c>
      <x:c r="D63" s="117" t="n">
        <x:v>66</x:v>
      </x:c>
      <x:c r="E63" s="117" t="str">
        <x:v>Healthy in camp and productive in preseason debut. Availability history still warrants a modest games discount.</x:v>
      </x:c>
      <x:c r="F63" s="117"/>
      <x:c r="G63" s="117"/>
      <x:c r="H63" s="117"/>
      <x:c r="I63" s="117" t="str">
        <x:v>https://www.nba.com/wizards/player/203076/anthony-davis</x:v>
      </x:c>
      <x:c r="J63" s="117"/>
    </x:row>
    <x:row r="64" ht="42" customHeight="1">
      <x:c r="A64" s="117" t="n">
        <x:v>30</x:v>
      </x:c>
      <x:c r="B64" s="117" t="str">
        <x:v>Joel Embiid</x:v>
      </x:c>
      <x:c r="C64" s="117" t="str">
        <x:v>HIGH</x:v>
      </x:c>
      <x:c r="D64" s="117" t="n">
        <x:v>55</x:v>
      </x:c>
      <x:c r="E64" s="117" t="str">
        <x:v>Healthy enough for preseason work, but recent availability remains too volatile to price at pure per-game value.</x:v>
      </x:c>
      <x:c r="F64" s="117"/>
      <x:c r="G64" s="117"/>
      <x:c r="H64" s="117"/>
      <x:c r="I64" s="117" t="str"/>
      <x:c r="J64" s="117"/>
    </x:row>
    <x:row r="65" ht="42" customHeight="1">
      <x:c r="A65" s="117" t="n">
        <x:v>197</x:v>
      </x:c>
      <x:c r="B65" s="117" t="str">
        <x:v>Kristaps Porzingis</x:v>
      </x:c>
      <x:c r="C65" s="117" t="str">
        <x:v>HIGH</x:v>
      </x:c>
      <x:c r="D65" s="117" t="n">
        <x:v>35</x:v>
      </x:c>
      <x:c r="E65" s="117" t="str">
        <x:v>OUT INDEFINITELY with an unresolved health issue and no return timetable. Treat as late stash, not a normal mid-round target.</x:v>
      </x:c>
      <x:c r="F65" s="117"/>
      <x:c r="G65" s="117"/>
      <x:c r="H65" s="117"/>
      <x:c r="I65" s="117" t="str">
        <x:v>https://www.nba.com/news/kristaps-porzingis-health-issue-out-indefinitely</x:v>
      </x:c>
      <x:c r="J65" s="117"/>
    </x:row>
    <x:row r="66" ht="42" customHeight="1">
      <x:c r="A66" s="117" t="n">
        <x:v>166</x:v>
      </x:c>
      <x:c r="B66" s="117" t="str">
        <x:v>Jimmy Butler</x:v>
      </x:c>
      <x:c r="C66" s="117" t="str">
        <x:v>HIGH</x:v>
      </x:c>
      <x:c r="D66" s="117" t="n">
        <x:v>28</x:v>
      </x:c>
      <x:c r="E66" s="117" t="str">
        <x:v>ACL rehab; current reporting points to a January-February return window. IR stash only at a deep discount.</x:v>
      </x:c>
      <x:c r="F66" s="117"/>
      <x:c r="G66" s="117"/>
      <x:c r="H66" s="117"/>
      <x:c r="I66" s="117" t="str">
        <x:v>https://www.nba.com/news/2026-27-season-preview-gsw</x:v>
      </x:c>
      <x:c r="J66" s="117"/>
    </x:row>
    <x:row r="67" ht="42" customHeight="1">
      <x:c r="A67" s="117" t="n">
        <x:v>90</x:v>
      </x:c>
      <x:c r="B67" s="117" t="str">
        <x:v>Brandon Ingram</x:v>
      </x:c>
      <x:c r="C67" s="117" t="str">
        <x:v>HIGH</x:v>
      </x:c>
      <x:c r="D67" s="117" t="n">
        <x:v>52</x:v>
      </x:c>
      <x:c r="E67" s="117" t="str">
        <x:v>Will miss the start of the season after heel surgery/partial Achilles tear; no firm return date.</x:v>
      </x:c>
      <x:c r="F67" s="117"/>
      <x:c r="G67" s="117"/>
      <x:c r="H67" s="117"/>
      <x:c r="I67" s="117" t="str">
        <x:v>https://www.nba.com/news/brandon-ingrams-clippers-debut-on-hold-after-heel-surgery-partial-achilles-tear</x:v>
      </x:c>
      <x:c r="J67" s="117"/>
    </x:row>
    <x:row r="68" ht="42" customHeight="1">
      <x:c r="A68" s="117" t="n">
        <x:v>203</x:v>
      </x:c>
      <x:c r="B68" s="117" t="str">
        <x:v>Jusuf Nurkic</x:v>
      </x:c>
      <x:c r="C68" s="117" t="str">
        <x:v>HIGH</x:v>
      </x:c>
      <x:c r="D68" s="117" t="n">
        <x:v>50</x:v>
      </x:c>
      <x:c r="E68" s="117" t="str">
        <x:v>Partial plantar plate tear in right foot; scheduled for re-evaluation in four weeks. Significant draft-day downgrade.</x:v>
      </x:c>
      <x:c r="F68" s="117"/>
      <x:c r="G68" s="117"/>
      <x:c r="H68" s="117"/>
      <x:c r="I68" s="117" t="str">
        <x:v>https://www.nba.com/news/jazz-jusuf-nurkic-foot-injury</x:v>
      </x:c>
      <x:c r="J68" s="117"/>
    </x:row>
    <x:row r="69" ht="42" customHeight="1">
      <x:c r="A69" s="117" t="n">
        <x:v>48</x:v>
      </x:c>
      <x:c r="B69" s="117" t="str">
        <x:v>Walker Kessler</x:v>
      </x:c>
      <x:c r="C69" s="117" t="str">
        <x:v>MEDIUM</x:v>
      </x:c>
      <x:c r="D69" s="117" t="n">
        <x:v>68</x:v>
      </x:c>
      <x:c r="E69" s="117" t="str">
        <x:v>Finger injury has kept him out of preseason games; role remains strong, but add a small health buffer.</x:v>
      </x:c>
      <x:c r="F69" s="117"/>
      <x:c r="G69" s="117"/>
      <x:c r="H69" s="117"/>
      <x:c r="I69" s="117" t="str">
        <x:v>https://www.nba.com/player/1631117/walker-kessler</x:v>
      </x:c>
      <x:c r="J69" s="117"/>
    </x:row>
    <x:row r="70" ht="42" customHeight="1">
      <x:c r="A70" s="117" t="n">
        <x:v>76</x:v>
      </x:c>
      <x:c r="B70" s="117" t="str">
        <x:v>Kon Knueppel</x:v>
      </x:c>
      <x:c r="C70" s="117" t="str">
        <x:v>HIGH</x:v>
      </x:c>
      <x:c r="D70" s="117" t="n">
        <x:v>68</x:v>
      </x:c>
      <x:c r="E70" s="117" t="str">
        <x:v>Left hamstring strain will cost him the entire preseason and may cost him the start of the regular season.</x:v>
      </x:c>
      <x:c r="F70" s="117"/>
      <x:c r="G70" s="117"/>
      <x:c r="H70" s="117"/>
      <x:c r="I70" s="117" t="str">
        <x:v>https://www.nba.com/news/hornets-kon-knueppel-injures-his-left-hamstring-and-could-miss-the-start-of-the-season</x:v>
      </x:c>
      <x:c r="J70" s="117"/>
    </x:row>
    <x:row r="71" ht="42" customHeight="1">
      <x:c r="A71" s="117" t="n">
        <x:v>84</x:v>
      </x:c>
      <x:c r="B71" s="117" t="str">
        <x:v>Coby White</x:v>
      </x:c>
      <x:c r="C71" s="117" t="str">
        <x:v>HIGH</x:v>
      </x:c>
      <x:c r="D71" s="117" t="n">
        <x:v>68</x:v>
      </x:c>
      <x:c r="E71" s="117" t="str">
        <x:v>Left calf strain will keep him out for the entire preseason; opening-night availability is unclear.</x:v>
      </x:c>
      <x:c r="F71" s="117"/>
      <x:c r="G71" s="117"/>
      <x:c r="H71" s="117"/>
      <x:c r="I71" s="117" t="str">
        <x:v>https://www.nba.com/news/coby-white-preseason-calf-strain</x:v>
      </x:c>
      <x:c r="J71" s="117"/>
    </x:row>
    <x:row r="72" ht="42" customHeight="1">
      <x:c r="A72" s="117" t="n">
        <x:v>62</x:v>
      </x:c>
      <x:c r="B72" s="117" t="str">
        <x:v>Brandon Miller</x:v>
      </x:c>
      <x:c r="C72" s="117" t="str">
        <x:v>MEDIUM</x:v>
      </x:c>
      <x:c r="D72" s="117" t="n">
        <x:v>70</x:v>
      </x:c>
      <x:c r="E72" s="117" t="str">
        <x:v>Shin contusion is considered day-to-day. Small downgrade only unless recovery stalls.</x:v>
      </x:c>
      <x:c r="F72" s="117"/>
      <x:c r="G72" s="117"/>
      <x:c r="H72" s="117"/>
      <x:c r="I72" s="117" t="str">
        <x:v>https://sports.yahoo.com/articles/brandon-miller-injury-hornets-wing-182632326.html</x:v>
      </x:c>
      <x:c r="J72" s="117"/>
    </x:row>
    <x:row r="73" ht="42" customHeight="1">
      <x:c r="A73" s="117" t="n">
        <x:v>100</x:v>
      </x:c>
      <x:c r="B73" s="117" t="str">
        <x:v>Nic Claxton</x:v>
      </x:c>
      <x:c r="C73" s="117" t="str">
        <x:v>MEDIUM</x:v>
      </x:c>
      <x:c r="D73" s="117" t="n">
        <x:v>68</x:v>
      </x:c>
      <x:c r="E73" s="117" t="str">
        <x:v>Hamstring injury carries a two-week reevaluation window and puts the opener in question.</x:v>
      </x:c>
      <x:c r="F73" s="117"/>
      <x:c r="G73" s="117"/>
      <x:c r="H73" s="117"/>
      <x:c r="I73" s="117" t="str">
        <x:v>https://sports.yahoo.com/articles/nic-claxton-2-weeks-preseason-015856779.html</x:v>
      </x:c>
      <x:c r="J73" s="117"/>
    </x:row>
    <x:row r="74" ht="42" customHeight="1">
      <x:c r="A74" s="117" t="n">
        <x:v>143</x:v>
      </x:c>
      <x:c r="B74" s="117" t="str">
        <x:v>Tobias Harris</x:v>
      </x:c>
      <x:c r="C74" s="117" t="str">
        <x:v>MEDIUM</x:v>
      </x:c>
      <x:c r="D74" s="117" t="n">
        <x:v>65</x:v>
      </x:c>
      <x:c r="E74" s="117" t="str">
        <x:v>Left calf strain; out for preseason and questionable for opening night.</x:v>
      </x:c>
      <x:c r="F74" s="117"/>
      <x:c r="G74" s="117"/>
      <x:c r="H74" s="117"/>
      <x:c r="I74" s="117" t="str">
        <x:v>https://www.nba.com/news/spurs-harris-questionable-for-regular-season-opener-after-straining-left-calf-in-training-camp</x:v>
      </x:c>
      <x:c r="J74" s="117"/>
    </x:row>
    <x:row r="75" ht="42" customHeight="1">
      <x:c r="A75" s="117" t="n">
        <x:v>58</x:v>
      </x:c>
      <x:c r="B75" s="117" t="str">
        <x:v>Damian Lillard</x:v>
      </x:c>
      <x:c r="C75" s="117" t="str">
        <x:v>MEDIUM</x:v>
      </x:c>
      <x:c r="D75" s="117" t="n">
        <x:v>66</x:v>
      </x:c>
      <x:c r="E75" s="117" t="str">
        <x:v>Back on the court in preseason after Achilles recovery. Return is encouraging, but age and post-Achilles workload still warrant a discount.</x:v>
      </x:c>
      <x:c r="F75" s="117"/>
      <x:c r="G75" s="117"/>
      <x:c r="H75" s="117"/>
      <x:c r="I75" s="117" t="str">
        <x:v>https://www.nba.com/news/starting-5-october-8-2026</x:v>
      </x:c>
      <x:c r="J75" s="117"/>
    </x:row>
    <x:row r="76" ht="42" customHeight="1">
      <x:c r="A76" s="117" t="n">
        <x:v>306</x:v>
      </x:c>
      <x:c r="B76" s="117" t="str">
        <x:v>Shaedon Sharpe</x:v>
      </x:c>
      <x:c r="C76" s="117" t="str">
        <x:v>HIGH</x:v>
      </x:c>
      <x:c r="D76" s="117" t="n">
        <x:v>18</x:v>
      </x:c>
      <x:c r="E76" s="117" t="str">
        <x:v>Long-term knee recovery remains a major availability issue. Late IR stash only.</x:v>
      </x:c>
      <x:c r="F76" s="117"/>
      <x:c r="G76" s="117"/>
      <x:c r="H76" s="117"/>
      <x:c r="I76" s="117" t="str">
        <x:v>https://www.reuters.com/sports/blazers-shaedon-sharpe-out-6-months-after-knee-surgery--flm-2026-08-27/</x:v>
      </x:c>
      <x:c r="J76" s="117"/>
    </x:row>
    <x:row r="77" ht="42" customHeight="1">
      <x:c r="A77" s="117" t="n">
        <x:v>312</x:v>
      </x:c>
      <x:c r="B77" s="117" t="str">
        <x:v>Max Strus</x:v>
      </x:c>
      <x:c r="C77" s="117" t="str">
        <x:v>HIGH</x:v>
      </x:c>
      <x:c r="D77" s="117" t="n">
        <x:v>50</x:v>
      </x:c>
      <x:c r="E77" s="117" t="str">
        <x:v>Partial plantar fascia tear; out at least four weeks and expected to miss the start of the season.</x:v>
      </x:c>
      <x:c r="F77" s="117"/>
      <x:c r="G77" s="117"/>
      <x:c r="H77" s="117"/>
      <x:c r="I77" s="117" t="str">
        <x:v>https://www.nba.com/news/clippers-max-strus-to-miss-start-of-season-with-foot-injury</x:v>
      </x:c>
      <x:c r="J77" s="117"/>
    </x:row>
    <x:row r="80">
      <x:c r="A80" s="102" t="str">
        <x:v>DRAFT-NIGHT REMINDERS</x:v>
      </x:c>
      <x:c r="B80" s="102"/>
      <x:c r="C80" s="102"/>
      <x:c r="D80" s="102"/>
      <x:c r="E80" s="102"/>
      <x:c r="F80" s="102"/>
      <x:c r="G80" s="102"/>
      <x:c r="H80" s="102"/>
      <x:c r="I80" s="102"/>
      <x:c r="J80" s="102"/>
    </x:row>
    <x:row r="81" ht="22" customHeight="1">
      <x:c r="A81" s="117" t="str">
        <x:v>1. Do not chase positions early — four UTIL spots keep best-player value high.</x:v>
      </x:c>
      <x:c r="B81" s="117"/>
      <x:c r="C81" s="117"/>
      <x:c r="D81" s="117"/>
      <x:c r="E81" s="117"/>
      <x:c r="F81" s="117"/>
      <x:c r="G81" s="117"/>
      <x:c r="H81" s="117"/>
      <x:c r="I81" s="117"/>
      <x:c r="J81" s="117"/>
    </x:row>
    <x:row r="82" ht="22" customHeight="1">
      <x:c r="A82" s="117" t="str">
        <x:v>2. OREB is worth 3 total points here; efficient rebounders remain unusually valuable.</x:v>
      </x:c>
      <x:c r="B82" s="117"/>
      <x:c r="C82" s="117"/>
      <x:c r="D82" s="117"/>
      <x:c r="E82" s="117"/>
      <x:c r="F82" s="117"/>
      <x:c r="G82" s="117"/>
      <x:c r="H82" s="117"/>
      <x:c r="I82" s="117"/>
      <x:c r="J82" s="117"/>
    </x:row>
    <x:row r="83" ht="22" customHeight="1">
      <x:c r="A83" s="117" t="str">
        <x:v>3. Missed shots and -2 turnovers punish empty-volume scorers.</x:v>
      </x:c>
      <x:c r="B83" s="117"/>
      <x:c r="C83" s="117"/>
      <x:c r="D83" s="117"/>
      <x:c r="E83" s="117"/>
      <x:c r="F83" s="117"/>
      <x:c r="G83" s="117"/>
      <x:c r="H83" s="117"/>
      <x:c r="I83" s="117"/>
      <x:c r="J83" s="117"/>
    </x:row>
    <x:row r="84" ht="22" customHeight="1">
      <x:c r="A84" s="117" t="str">
        <x:v>4. Use injury discounts aggressively: the league has only two IR spots.</x:v>
      </x:c>
      <x:c r="B84" s="117"/>
      <x:c r="C84" s="117"/>
      <x:c r="D84" s="117"/>
      <x:c r="E84" s="117"/>
      <x:c r="F84" s="117"/>
      <x:c r="G84" s="117"/>
      <x:c r="H84" s="117"/>
      <x:c r="I84" s="117"/>
      <x:c r="J84" s="117"/>
    </x:row>
    <x:row r="85" ht="22" customHeight="1">
      <x:c r="A85" s="117" t="str">
        <x:v>5. Draft slot is still unknown; once known, use snake-turn scarcity instead of raw rank alone.</x:v>
      </x:c>
      <x:c r="B85" s="117"/>
      <x:c r="C85" s="117"/>
      <x:c r="D85" s="117"/>
      <x:c r="E85" s="117"/>
      <x:c r="F85" s="117"/>
      <x:c r="G85" s="117"/>
      <x:c r="H85" s="117"/>
      <x:c r="I85" s="117"/>
      <x:c r="J85" s="117"/>
    </x:row>
    <x:row r="86" ht="22" customHeight="1">
      <x:c r="A86" s="117" t="str">
        <x:v>6. Run one final injury/rotation check on Oct. 13 before the draft starts.</x:v>
      </x:c>
      <x:c r="B86" s="117"/>
      <x:c r="C86" s="117"/>
      <x:c r="D86" s="117"/>
      <x:c r="E86" s="117"/>
      <x:c r="F86" s="117"/>
      <x:c r="G86" s="117"/>
      <x:c r="H86" s="117"/>
      <x:c r="I86" s="117"/>
      <x:c r="J86" s="117"/>
    </x:row>
  </x:sheetData>
  <x:mergeCells>
    <x:mergeCell ref="A1:J1"/>
    <x:mergeCell ref="A2:J2"/>
    <x:mergeCell ref="A4:J4"/>
    <x:mergeCell ref="A58:J58"/>
    <x:mergeCell ref="E59:H59"/>
    <x:mergeCell ref="I59:J59"/>
    <x:mergeCell ref="E60:H60"/>
    <x:mergeCell ref="I60:J60"/>
    <x:mergeCell ref="E61:H61"/>
    <x:mergeCell ref="I61:J61"/>
    <x:mergeCell ref="E62:H62"/>
    <x:mergeCell ref="I62:J62"/>
    <x:mergeCell ref="E63:H63"/>
    <x:mergeCell ref="I63:J63"/>
    <x:mergeCell ref="E64:H64"/>
    <x:mergeCell ref="I64:J64"/>
    <x:mergeCell ref="E65:H65"/>
    <x:mergeCell ref="I65:J65"/>
    <x:mergeCell ref="E66:H66"/>
    <x:mergeCell ref="I66:J66"/>
    <x:mergeCell ref="E67:H67"/>
    <x:mergeCell ref="I67:J67"/>
    <x:mergeCell ref="E68:H68"/>
    <x:mergeCell ref="I68:J68"/>
    <x:mergeCell ref="E69:H69"/>
    <x:mergeCell ref="I69:J69"/>
    <x:mergeCell ref="E70:H70"/>
    <x:mergeCell ref="I70:J70"/>
    <x:mergeCell ref="E71:H71"/>
    <x:mergeCell ref="I71:J71"/>
    <x:mergeCell ref="E72:H72"/>
    <x:mergeCell ref="I72:J72"/>
    <x:mergeCell ref="E73:H73"/>
    <x:mergeCell ref="I73:J73"/>
    <x:mergeCell ref="E74:H74"/>
    <x:mergeCell ref="I74:J74"/>
    <x:mergeCell ref="E75:H75"/>
    <x:mergeCell ref="I75:J75"/>
    <x:mergeCell ref="E76:H76"/>
    <x:mergeCell ref="I76:J76"/>
    <x:mergeCell ref="E77:H77"/>
    <x:mergeCell ref="I77:J77"/>
    <x:mergeCell ref="A80:J80"/>
    <x:mergeCell ref="A81:J81"/>
    <x:mergeCell ref="A82:J82"/>
    <x:mergeCell ref="A83:J83"/>
    <x:mergeCell ref="A84:J84"/>
    <x:mergeCell ref="A85:J85"/>
    <x:mergeCell ref="A86:J86"/>
  </x:mergeCells>
  <x:pageMargins left="0.7" right="0.7" top="0.75" bottom="0.75" header="0.3" footer="0.3"/>
</x:worksheet>
</file>